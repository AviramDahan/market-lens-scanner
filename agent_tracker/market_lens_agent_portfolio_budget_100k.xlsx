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Setup Watchlist" sheetId="2" state="visible" r:id="rId2"/>
    <sheet xmlns:r="http://schemas.openxmlformats.org/officeDocument/2006/relationships" name="Trade Log" sheetId="3" state="visible" r:id="rId3"/>
    <sheet xmlns:r="http://schemas.openxmlformats.org/officeDocument/2006/relationships" name="Open Positions" sheetId="4" state="visible" r:id="rId4"/>
    <sheet xmlns:r="http://schemas.openxmlformats.org/officeDocument/2006/relationships" name="Update Log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Sources" sheetId="7" state="visible" r:id="rId7"/>
    <sheet xmlns:r="http://schemas.openxmlformats.org/officeDocument/2006/relationships" name="Agent Control" sheetId="8" state="visible" r:id="rId8"/>
  </sheets>
  <definedNames/>
</workbook>
</file>

<file path=xl/styles.xml><?xml version="1.0" encoding="utf-8"?>
<styleSheet xmlns="http://schemas.openxmlformats.org/spreadsheetml/2006/main">
  <numFmts count="1">
    <numFmt numFmtId="164" formatCode="#,##0 &quot;₪&quot;"/>
  </numFmts>
  <fonts count="4">
    <font>
      <name val="Carlito"/>
      <sz val="11"/>
    </font>
    <font>
      <name val="Carlito"/>
      <b val="1"/>
      <color rgb="00FFFFFF"/>
      <sz val="14"/>
    </font>
    <font>
      <name val="Carlito"/>
      <b val="1"/>
      <color rgb="00FFFFFF"/>
      <sz val="11"/>
    </font>
    <font>
      <name val="Carlito"/>
      <b val="1"/>
      <sz val="11"/>
    </font>
  </fonts>
  <fills count="10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2563EB"/>
      </patternFill>
    </fill>
    <fill>
      <patternFill patternType="solid">
        <fgColor rgb="000F766E"/>
      </patternFill>
    </fill>
    <fill>
      <patternFill patternType="solid">
        <fgColor rgb="007C3AED"/>
      </patternFill>
    </fill>
    <fill>
      <patternFill patternType="solid">
        <fgColor rgb="00EA580C"/>
      </patternFill>
    </fill>
    <fill>
      <patternFill patternType="solid">
        <fgColor rgb="00334155"/>
      </patternFill>
    </fill>
    <fill>
      <patternFill patternType="solid">
        <fgColor rgb="001F4E79"/>
      </patternFill>
    </fill>
    <fill>
      <patternFill patternType="solid">
        <fgColor rgb="000F172A"/>
      </patternFill>
    </fill>
  </fills>
  <borders count="2">
    <border/>
    <border/>
  </borders>
  <cellStyleXfs count="1">
    <xf numFmtId="0" fontId="0" fillId="0" borderId="1"/>
  </cellStyleXfs>
  <cellXfs count="6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10" fontId="0" fillId="0" borderId="0" applyAlignment="1" pivotButton="0" quotePrefix="0" xfId="0">
      <alignment wrapText="1"/>
    </xf>
    <xf numFmtId="0" fontId="0" fillId="0" borderId="0" pivotButton="0" quotePrefix="0" xfId="0"/>
    <xf numFmtId="10" fontId="0" fillId="0" borderId="1" applyAlignment="1" pivotButton="0" quotePrefix="0" xfId="0">
      <alignment wrapText="1"/>
    </xf>
    <xf numFmtId="0" fontId="0" fillId="0" borderId="1" pivotButton="0" quotePrefix="0" xfId="0"/>
    <xf numFmtId="0" fontId="2" fillId="2" borderId="0" pivotButton="0" quotePrefix="0" xfId="0"/>
    <xf numFmtId="0" fontId="2" fillId="2" borderId="1" pivotButton="0" quotePrefix="0" xfId="0"/>
    <xf numFmtId="2" fontId="0" fillId="0" borderId="0" pivotButton="0" quotePrefix="0" xfId="0"/>
    <xf numFmtId="2" fontId="0" fillId="0" borderId="1" pivotButton="0" quotePrefix="0" xfId="0"/>
    <xf numFmtId="0" fontId="0" fillId="4" borderId="0" pivotButton="0" quotePrefix="0" xfId="0"/>
    <xf numFmtId="0" fontId="2" fillId="4" borderId="0" pivotButton="0" quotePrefix="0" xfId="0"/>
    <xf numFmtId="0" fontId="0" fillId="4" borderId="1" pivotButton="0" quotePrefix="0" xfId="0"/>
    <xf numFmtId="0" fontId="2" fillId="4" borderId="1" pivotButton="0" quotePrefix="0" xfId="0"/>
    <xf numFmtId="0" fontId="2" fillId="4" borderId="0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0" fillId="5" borderId="1" pivotButton="0" quotePrefix="0" xfId="0"/>
    <xf numFmtId="0" fontId="2" fillId="5" borderId="1" pivotButton="0" quotePrefix="0" xfId="0"/>
    <xf numFmtId="0" fontId="2" fillId="5" borderId="0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0" fontId="0" fillId="6" borderId="0" pivotButton="0" quotePrefix="0" xfId="0"/>
    <xf numFmtId="0" fontId="2" fillId="6" borderId="0" pivotButton="0" quotePrefix="0" xfId="0"/>
    <xf numFmtId="0" fontId="0" fillId="6" borderId="1" pivotButton="0" quotePrefix="0" xfId="0"/>
    <xf numFmtId="0" fontId="2" fillId="6" borderId="1" pivotButton="0" quotePrefix="0" xfId="0"/>
    <xf numFmtId="0" fontId="2" fillId="6" borderId="0" applyAlignment="1" pivotButton="0" quotePrefix="0" xfId="0">
      <alignment wrapText="1"/>
    </xf>
    <xf numFmtId="0" fontId="2" fillId="6" borderId="1" applyAlignment="1" pivotButton="0" quotePrefix="0" xfId="0">
      <alignment wrapText="1"/>
    </xf>
    <xf numFmtId="0" fontId="0" fillId="7" borderId="0" pivotButton="0" quotePrefix="0" xfId="0"/>
    <xf numFmtId="0" fontId="2" fillId="7" borderId="0" pivotButton="0" quotePrefix="0" xfId="0"/>
    <xf numFmtId="0" fontId="0" fillId="7" borderId="1" pivotButton="0" quotePrefix="0" xfId="0"/>
    <xf numFmtId="0" fontId="2" fillId="7" borderId="1" pivotButton="0" quotePrefix="0" xfId="0"/>
    <xf numFmtId="0" fontId="2" fillId="7" borderId="0" applyAlignment="1" pivotButton="0" quotePrefix="0" xfId="0">
      <alignment wrapText="1"/>
    </xf>
    <xf numFmtId="0" fontId="2" fillId="7" borderId="1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0" fillId="0" borderId="0" pivotButton="0" quotePrefix="0" xfId="0"/>
    <xf numFmtId="0" fontId="0" fillId="0" borderId="0" pivotButton="0" quotePrefix="0" xfId="0"/>
    <xf numFmtId="0" fontId="0" fillId="8" borderId="0" pivotButton="0" quotePrefix="0" xfId="0"/>
    <xf numFmtId="0" fontId="2" fillId="8" borderId="0" pivotButton="0" quotePrefix="0" xfId="0"/>
    <xf numFmtId="0" fontId="2" fillId="8" borderId="0" applyAlignment="1" pivotButton="0" quotePrefix="0" xfId="0">
      <alignment horizontal="center"/>
    </xf>
    <xf numFmtId="0" fontId="3" fillId="0" borderId="0" pivotButton="0" quotePrefix="0" xfId="0"/>
    <xf numFmtId="164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center"/>
    </xf>
    <xf numFmtId="9" fontId="0" fillId="0" borderId="0" pivotButton="0" quotePrefix="0" xfId="0"/>
    <xf numFmtId="4" fontId="0" fillId="0" borderId="0" applyAlignment="1" pivotButton="0" quotePrefix="0" xfId="0">
      <alignment wrapText="1"/>
    </xf>
    <xf numFmtId="10" fontId="0" fillId="0" borderId="0" applyAlignment="1" pivotButton="0" quotePrefix="0" xfId="0">
      <alignment wrapText="1"/>
    </xf>
    <xf numFmtId="0" fontId="2" fillId="8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0" fontId="1" fillId="9" borderId="1" applyAlignment="1" pivotButton="0" quotePrefix="0" xfId="0">
      <alignment horizontal="center"/>
    </xf>
    <xf numFmtId="9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SetupWatchlistTable" displayName="SetupWatchlistTable" ref="A1:O200" headerRowCount="1">
  <tableColumns count="15">
    <tableColumn id="1" name="Run Date"/>
    <tableColumn id="2" name="Ticker"/>
    <tableColumn id="3" name="Setup Type"/>
    <tableColumn id="4" name="Score"/>
    <tableColumn id="5" name="Current Price USD"/>
    <tableColumn id="6" name="Buy Zone Low"/>
    <tableColumn id="7" name="Buy Zone High"/>
    <tableColumn id="8" name="Stop Loss"/>
    <tableColumn id="9" name="Target 1"/>
    <tableColumn id="10" name="Target 2"/>
    <tableColumn id="11" name="Risk/Reward"/>
    <tableColumn id="12" name="Reason"/>
    <tableColumn id="13" name="Agent Decision"/>
    <tableColumn id="14" name="Feedback"/>
    <tableColumn id="15" name="Raw UI Text"/>
  </tableColumns>
  <tableStyleInfo name="TableStyleMedium2" showRowStripes="1"/>
</table>
</file>

<file path=xl/tables/table2.xml><?xml version="1.0" encoding="utf-8"?>
<table xmlns="http://schemas.openxmlformats.org/spreadsheetml/2006/main" id="2" name="TradeLogTable" displayName="TradeLogTable" ref="A1:Q300" headerRowCount="1">
  <tableColumns count="17">
    <tableColumn id="1" name="Timestamp"/>
    <tableColumn id="2" name="Action"/>
    <tableColumn id="3" name="Ticker"/>
    <tableColumn id="4" name="Entry Price USD"/>
    <tableColumn id="5" name="Exit Price USD"/>
    <tableColumn id="6" name="Quantity"/>
    <tableColumn id="7" name="USD/ILS"/>
    <tableColumn id="8" name="Buy Value ILS"/>
    <tableColumn id="9" name="Sell Value ILS"/>
    <tableColumn id="10" name="Cash Out ILS"/>
    <tableColumn id="11" name="Cash In ILS"/>
    <tableColumn id="12" name="Stop Loss"/>
    <tableColumn id="13" name="Target 1"/>
    <tableColumn id="14" name="Target 2"/>
    <tableColumn id="15" name="Risk ILS"/>
    <tableColumn id="16" name="Reason"/>
    <tableColumn id="17" name="Screenshot"/>
  </tableColumns>
  <tableStyleInfo name="TableStyleMedium2" showRowStripes="1"/>
</table>
</file>

<file path=xl/tables/table3.xml><?xml version="1.0" encoding="utf-8"?>
<table xmlns="http://schemas.openxmlformats.org/spreadsheetml/2006/main" id="3" name="OpenPositionsTable" displayName="OpenPositionsTable" ref="A1:O200" headerRowCount="1">
  <tableColumns count="15">
    <tableColumn id="1" name="Ticker"/>
    <tableColumn id="2" name="Entry Date"/>
    <tableColumn id="3" name="Entry Price USD"/>
    <tableColumn id="4" name="Current Price USD"/>
    <tableColumn id="5" name="Quantity"/>
    <tableColumn id="6" name="Stop Loss"/>
    <tableColumn id="7" name="Target 1"/>
    <tableColumn id="8" name="Target 2"/>
    <tableColumn id="9" name="Status"/>
    <tableColumn id="10" name="Unrealized P/L USD"/>
    <tableColumn id="11" name="Unrealized P/L ILS"/>
    <tableColumn id="12" name="Exposure ILS"/>
    <tableColumn id="13" name="Open Risk ILS"/>
    <tableColumn id="14" name="Notes"/>
    <tableColumn id="15" name="Last Screenshot"/>
  </tableColumns>
  <tableStyleInfo name="TableStyleMedium2" showRowStripes="1"/>
</table>
</file>

<file path=xl/tables/table4.xml><?xml version="1.0" encoding="utf-8"?>
<table xmlns="http://schemas.openxmlformats.org/spreadsheetml/2006/main" id="4" name="UpdateLogTable" displayName="UpdateLogTable" ref="A1:K200" headerRowCount="1">
  <tableColumns count="11">
    <tableColumn id="1" name="Run Timestamp"/>
    <tableColumn id="2" name="Run ID"/>
    <tableColumn id="3" name="Scanned Tickers"/>
    <tableColumn id="4" name="Valid Setups"/>
    <tableColumn id="5" name="Actions Summary"/>
    <tableColumn id="6" name="Cash ILS"/>
    <tableColumn id="7" name="Exposure ILS"/>
    <tableColumn id="8" name="Open Risk ILS"/>
    <tableColumn id="9" name="Open Positions"/>
    <tableColumn id="10" name="Summary File"/>
    <tableColumn id="11" name="Screenshot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0" customWidth="1" style="52" min="1" max="1"/>
    <col width="20" customWidth="1" style="52" min="2" max="2"/>
    <col width="20" customWidth="1" style="52" min="3" max="3"/>
    <col width="20" customWidth="1" style="52" min="4" max="4"/>
    <col width="20" customWidth="1" style="52" min="5" max="5"/>
    <col width="20" customWidth="1" style="52" min="6" max="6"/>
    <col width="20" customWidth="1" style="52" min="7" max="7"/>
    <col width="20" customWidth="1" style="52" min="8" max="8"/>
  </cols>
  <sheetData>
    <row r="1">
      <c r="A1" s="7" t="inlineStr">
        <is>
          <t>Market Lens UI Agent — Portfolio Dashboard</t>
        </is>
      </c>
      <c r="B1" s="21" t="n"/>
      <c r="C1" s="21" t="n"/>
      <c r="D1" s="21" t="n"/>
      <c r="E1" s="21" t="n"/>
      <c r="F1" s="21" t="n"/>
      <c r="G1" s="21" t="n"/>
      <c r="H1" s="21" t="n"/>
    </row>
    <row r="2"/>
    <row r="3">
      <c r="A3" s="12" t="inlineStr">
        <is>
          <t>Metric</t>
        </is>
      </c>
      <c r="B3" s="12" t="inlineStr">
        <is>
          <t>Value</t>
        </is>
      </c>
      <c r="C3" s="13" t="n"/>
      <c r="D3" s="12" t="inlineStr">
        <is>
          <t>Agent Rules</t>
        </is>
      </c>
      <c r="E3" s="12" t="str"/>
      <c r="F3" s="12" t="str"/>
      <c r="G3" s="12" t="str"/>
      <c r="H3" s="12" t="str"/>
    </row>
    <row r="4">
      <c r="A4" s="13" t="inlineStr">
        <is>
          <t>Starting Capital (USD)</t>
        </is>
      </c>
      <c r="B4" s="62">
        <f>Settings!B2</f>
        <v/>
      </c>
      <c r="C4" s="13" t="n"/>
      <c r="D4" s="13" t="inlineStr">
        <is>
          <t>Mode</t>
        </is>
      </c>
      <c r="E4" s="13" t="inlineStr">
        <is>
          <t>Paper Trading only</t>
        </is>
      </c>
      <c r="F4" s="13" t="str"/>
      <c r="G4" s="13" t="str"/>
      <c r="H4" s="13" t="str"/>
    </row>
    <row r="5">
      <c r="A5" s="13" t="inlineStr">
        <is>
          <t>Current Cash (USD)</t>
        </is>
      </c>
      <c r="B5" s="62">
        <f>Settings!B2-SUM('Trade Log'!J:J)+SUM('Trade Log'!K:K)</f>
        <v/>
      </c>
      <c r="C5" s="13" t="n"/>
      <c r="D5" s="13" t="inlineStr">
        <is>
          <t>Max position allocation</t>
        </is>
      </c>
      <c r="E5" s="13">
        <f>Settings!B4</f>
        <v/>
      </c>
      <c r="F5" s="13" t="str"/>
      <c r="G5" s="13" t="str"/>
      <c r="H5" s="13" t="str"/>
    </row>
    <row r="6">
      <c r="A6" s="13" t="inlineStr">
        <is>
          <t>Open Exposure (USD)</t>
        </is>
      </c>
      <c r="B6" s="62">
        <f>SUM('Open Positions'!L:L)</f>
        <v/>
      </c>
      <c r="C6" s="13" t="n"/>
      <c r="D6" s="13" t="inlineStr">
        <is>
          <t>Max total exposure</t>
        </is>
      </c>
      <c r="E6" s="13">
        <f>Settings!B5</f>
        <v/>
      </c>
      <c r="F6" s="13" t="str"/>
      <c r="G6" s="13" t="str"/>
      <c r="H6" s="13" t="str"/>
    </row>
    <row r="7">
      <c r="A7" s="13" t="inlineStr">
        <is>
          <t>Total Portfolio Value (USD)</t>
        </is>
      </c>
      <c r="B7" s="62">
        <f>B5+B6</f>
        <v/>
      </c>
      <c r="C7" s="13" t="n"/>
      <c r="D7" s="13" t="inlineStr">
        <is>
          <t>Max risk per trade</t>
        </is>
      </c>
      <c r="E7" s="13">
        <f>Settings!B6</f>
        <v/>
      </c>
      <c r="F7" s="13" t="str"/>
      <c r="G7" s="13" t="str"/>
      <c r="H7" s="13" t="str"/>
    </row>
    <row r="8">
      <c r="A8" s="13" t="inlineStr">
        <is>
          <t>Open Risk (USD)</t>
        </is>
      </c>
      <c r="B8" s="62">
        <f>SUM('Open Positions'!M:M)</f>
        <v/>
      </c>
      <c r="C8" s="13" t="n"/>
      <c r="D8" s="13" t="inlineStr">
        <is>
          <t>Minimum Risk/Reward</t>
        </is>
      </c>
      <c r="E8" s="13">
        <f>Settings!B7</f>
        <v/>
      </c>
      <c r="F8" s="13" t="str"/>
      <c r="G8" s="13" t="str"/>
      <c r="H8" s="13" t="str"/>
    </row>
    <row r="9">
      <c r="A9" s="13" t="inlineStr">
        <is>
          <t>Open Positions</t>
        </is>
      </c>
      <c r="B9" s="62">
        <f>COUNTA('Open Positions'!A:A)-1</f>
        <v/>
      </c>
      <c r="C9" s="13" t="n"/>
      <c r="D9" s="13" t="inlineStr">
        <is>
          <t>Run frequency</t>
        </is>
      </c>
      <c r="E9" s="13" t="inlineStr">
        <is>
          <t>Daily / manual</t>
        </is>
      </c>
      <c r="F9" s="13" t="str"/>
      <c r="G9" s="13" t="str"/>
      <c r="H9" s="13" t="str"/>
    </row>
    <row r="10">
      <c r="A10" s="13" t="inlineStr">
        <is>
          <t>Watchlist Setups</t>
        </is>
      </c>
      <c r="B10" s="62">
        <f>COUNTA('Setup Watchlist'!A:A)-1</f>
        <v/>
      </c>
      <c r="C10" s="13" t="n"/>
      <c r="D10" s="13" t="inlineStr">
        <is>
          <t>Real orders</t>
        </is>
      </c>
      <c r="E10" s="13" t="inlineStr">
        <is>
          <t>Never</t>
        </is>
      </c>
      <c r="F10" s="13" t="str"/>
      <c r="G10" s="13" t="str"/>
      <c r="H10" s="13" t="str"/>
    </row>
    <row r="11">
      <c r="A11" s="13" t="inlineStr">
        <is>
          <t>Closed P/L (USD)</t>
        </is>
      </c>
      <c r="B11" s="63">
        <f>SUM('Trade Log'!K:K)-SUM('Trade Log'!J:J)</f>
        <v/>
      </c>
      <c r="C11" s="13" t="n"/>
      <c r="D11" s="13" t="n"/>
      <c r="E11" s="13" t="n"/>
      <c r="F11" s="13" t="n"/>
      <c r="G11" s="13" t="n"/>
      <c r="H11" s="13" t="n"/>
    </row>
    <row r="12">
      <c r="A12" s="13" t="inlineStr">
        <is>
          <t>Exposure %</t>
        </is>
      </c>
      <c r="B12" s="63">
        <f>IFERROR(B6/B7,0)</f>
        <v/>
      </c>
      <c r="C12" s="13" t="n"/>
      <c r="D12" s="13" t="n"/>
      <c r="E12" s="13" t="n"/>
      <c r="F12" s="13" t="n"/>
      <c r="G12" s="13" t="n"/>
      <c r="H12" s="13" t="n"/>
    </row>
    <row r="13">
      <c r="A13" s="13" t="inlineStr">
        <is>
          <t>Risk %</t>
        </is>
      </c>
      <c r="B13" s="13">
        <f>IFERROR(B8/B7,0)</f>
        <v/>
      </c>
      <c r="C13" s="13" t="n"/>
      <c r="D13" s="13" t="n"/>
      <c r="E13" s="13" t="n"/>
      <c r="F13" s="13" t="n"/>
      <c r="G13" s="13" t="n"/>
      <c r="H13" s="13" t="n"/>
    </row>
    <row r="14">
      <c r="A14" s="64" t="inlineStr">
        <is>
          <t>Budget Definition</t>
        </is>
      </c>
      <c r="B14" s="21" t="n"/>
      <c r="C14" s="21" t="n"/>
      <c r="D14" s="21" t="n"/>
      <c r="E14" s="21" t="n"/>
    </row>
    <row r="15">
      <c r="A15" s="56" t="inlineStr">
        <is>
          <t>Agent Budget (USD)</t>
        </is>
      </c>
      <c r="B15" s="65" t="n">
        <v>100000</v>
      </c>
      <c r="D15" s="56" t="inlineStr">
        <is>
          <t>Budget Mode</t>
        </is>
      </c>
      <c r="E15" t="inlineStr">
        <is>
          <t>Paper Trading only</t>
        </is>
      </c>
    </row>
    <row r="16">
      <c r="A16" s="56" t="inlineStr">
        <is>
          <t>Budget Rule</t>
        </is>
      </c>
      <c r="B16" t="inlineStr">
        <is>
          <t>Agent must manage simulated positions within 100,000 USD only</t>
        </is>
      </c>
      <c r="D16" s="56" t="inlineStr">
        <is>
          <t>Real Orders</t>
        </is>
      </c>
      <c r="E16" t="inlineStr">
        <is>
          <t>Never</t>
        </is>
      </c>
    </row>
    <row r="17">
      <c r="A17" s="56" t="inlineStr">
        <is>
          <t>Tracking Period</t>
        </is>
      </c>
      <c r="B17" t="inlineStr">
        <is>
          <t>30 days</t>
        </is>
      </c>
      <c r="D17" s="56" t="inlineStr">
        <is>
          <t>Excel Update</t>
        </is>
      </c>
      <c r="E17" t="inlineStr">
        <is>
          <t>Every run</t>
        </is>
      </c>
    </row>
  </sheetData>
  <mergeCells count="2">
    <mergeCell ref="A1:H1"/>
    <mergeCell ref="A14:E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40" customWidth="1" style="52" min="12" max="12"/>
    <col width="16" customWidth="1" style="52" min="13" max="13"/>
    <col width="16" customWidth="1" style="52" min="14" max="14"/>
    <col width="50" customWidth="1" style="52" min="15" max="15"/>
  </cols>
  <sheetData>
    <row r="1">
      <c r="A1" s="30" t="inlineStr">
        <is>
          <t>Run Date</t>
        </is>
      </c>
      <c r="B1" s="30" t="inlineStr">
        <is>
          <t>Ticker</t>
        </is>
      </c>
      <c r="C1" s="30" t="inlineStr">
        <is>
          <t>Setup Type</t>
        </is>
      </c>
      <c r="D1" s="30" t="inlineStr">
        <is>
          <t>Score</t>
        </is>
      </c>
      <c r="E1" s="30" t="inlineStr">
        <is>
          <t>Current Price USD</t>
        </is>
      </c>
      <c r="F1" s="30" t="inlineStr">
        <is>
          <t>Buy Zone Low</t>
        </is>
      </c>
      <c r="G1" s="30" t="inlineStr">
        <is>
          <t>Buy Zone High</t>
        </is>
      </c>
      <c r="H1" s="30" t="inlineStr">
        <is>
          <t>Stop Loss</t>
        </is>
      </c>
      <c r="I1" s="30" t="inlineStr">
        <is>
          <t>Target 1</t>
        </is>
      </c>
      <c r="J1" s="30" t="inlineStr">
        <is>
          <t>Target 2</t>
        </is>
      </c>
      <c r="K1" s="30" t="inlineStr">
        <is>
          <t>Risk/Reward</t>
        </is>
      </c>
      <c r="L1" s="30" t="inlineStr">
        <is>
          <t>Reason</t>
        </is>
      </c>
      <c r="M1" s="30" t="inlineStr">
        <is>
          <t>Agent Decision</t>
        </is>
      </c>
      <c r="N1" s="30" t="inlineStr">
        <is>
          <t>Feedback</t>
        </is>
      </c>
      <c r="O1" s="30" t="inlineStr">
        <is>
          <t>Raw UI Text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16" customWidth="1" style="52" min="13" max="13"/>
    <col width="16" customWidth="1" style="52" min="14" max="14"/>
    <col width="16" customWidth="1" style="52" min="15" max="15"/>
    <col width="45" customWidth="1" style="52" min="16" max="16"/>
    <col width="16" customWidth="1" style="52" min="17" max="17"/>
  </cols>
  <sheetData>
    <row r="1">
      <c r="A1" s="36" t="inlineStr">
        <is>
          <t>Timestamp</t>
        </is>
      </c>
      <c r="B1" s="36" t="inlineStr">
        <is>
          <t>Action</t>
        </is>
      </c>
      <c r="C1" s="36" t="inlineStr">
        <is>
          <t>Ticker</t>
        </is>
      </c>
      <c r="D1" s="36" t="inlineStr">
        <is>
          <t>Entry Price USD</t>
        </is>
      </c>
      <c r="E1" s="36" t="inlineStr">
        <is>
          <t>Exit Price USD</t>
        </is>
      </c>
      <c r="F1" s="36" t="inlineStr">
        <is>
          <t>Quantity</t>
        </is>
      </c>
      <c r="G1" s="36" t="inlineStr">
        <is>
          <t>Currency Rate</t>
        </is>
      </c>
      <c r="H1" s="36" t="inlineStr">
        <is>
          <t>Buy Value USD</t>
        </is>
      </c>
      <c r="I1" s="36" t="inlineStr">
        <is>
          <t>Sell Value USD</t>
        </is>
      </c>
      <c r="J1" s="36" t="inlineStr">
        <is>
          <t>Cash Out USD</t>
        </is>
      </c>
      <c r="K1" s="36" t="inlineStr">
        <is>
          <t>Cash In USD</t>
        </is>
      </c>
      <c r="L1" s="36" t="inlineStr">
        <is>
          <t>Stop Loss</t>
        </is>
      </c>
      <c r="M1" s="36" t="inlineStr">
        <is>
          <t>Target 1</t>
        </is>
      </c>
      <c r="N1" s="36" t="inlineStr">
        <is>
          <t>Target 2</t>
        </is>
      </c>
      <c r="O1" s="36" t="inlineStr">
        <is>
          <t>Risk USD</t>
        </is>
      </c>
      <c r="P1" s="36" t="inlineStr">
        <is>
          <t>Reason</t>
        </is>
      </c>
      <c r="Q1" s="36" t="inlineStr">
        <is>
          <t>Screenshot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16" customWidth="1" style="52" min="13" max="13"/>
    <col width="40" customWidth="1" style="52" min="14" max="14"/>
    <col width="16" customWidth="1" style="52" min="15" max="15"/>
  </cols>
  <sheetData>
    <row r="1">
      <c r="A1" s="42" t="inlineStr">
        <is>
          <t>Ticker</t>
        </is>
      </c>
      <c r="B1" s="42" t="inlineStr">
        <is>
          <t>Entry Date</t>
        </is>
      </c>
      <c r="C1" s="42" t="inlineStr">
        <is>
          <t>Entry Price USD</t>
        </is>
      </c>
      <c r="D1" s="42" t="inlineStr">
        <is>
          <t>Current Price USD</t>
        </is>
      </c>
      <c r="E1" s="42" t="inlineStr">
        <is>
          <t>Quantity</t>
        </is>
      </c>
      <c r="F1" s="42" t="inlineStr">
        <is>
          <t>Stop Loss</t>
        </is>
      </c>
      <c r="G1" s="42" t="inlineStr">
        <is>
          <t>Target 1</t>
        </is>
      </c>
      <c r="H1" s="42" t="inlineStr">
        <is>
          <t>Target 2</t>
        </is>
      </c>
      <c r="I1" s="42" t="inlineStr">
        <is>
          <t>Status</t>
        </is>
      </c>
      <c r="J1" s="42" t="inlineStr">
        <is>
          <t>Unrealized P/L USD</t>
        </is>
      </c>
      <c r="K1" s="42" t="inlineStr">
        <is>
          <t>Unrealized P/L USD</t>
        </is>
      </c>
      <c r="L1" s="42" t="inlineStr">
        <is>
          <t>Exposure USD</t>
        </is>
      </c>
      <c r="M1" s="42" t="inlineStr">
        <is>
          <t>Open Risk USD</t>
        </is>
      </c>
      <c r="N1" s="42" t="inlineStr">
        <is>
          <t>Notes</t>
        </is>
      </c>
      <c r="O1" s="42" t="inlineStr">
        <is>
          <t>Last Screenshot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cols>
    <col width="18" customWidth="1" style="52" min="1" max="1"/>
    <col width="18" customWidth="1" style="52" min="2" max="2"/>
    <col width="18" customWidth="1" style="52" min="3" max="3"/>
    <col width="18" customWidth="1" style="52" min="4" max="4"/>
    <col width="45" customWidth="1" style="52" min="5" max="5"/>
    <col width="18" customWidth="1" style="52" min="6" max="6"/>
    <col width="18" customWidth="1" style="52" min="7" max="7"/>
    <col width="18" customWidth="1" style="52" min="8" max="8"/>
    <col width="18" customWidth="1" style="52" min="9" max="9"/>
    <col width="18" customWidth="1" style="52" min="10" max="10"/>
    <col width="18" customWidth="1" style="52" min="11" max="11"/>
  </cols>
  <sheetData>
    <row r="1">
      <c r="A1" s="48" t="inlineStr">
        <is>
          <t>Run Timestamp</t>
        </is>
      </c>
      <c r="B1" s="48" t="inlineStr">
        <is>
          <t>Run ID</t>
        </is>
      </c>
      <c r="C1" s="48" t="inlineStr">
        <is>
          <t>Scanned Tickers</t>
        </is>
      </c>
      <c r="D1" s="48" t="inlineStr">
        <is>
          <t>Valid Setups</t>
        </is>
      </c>
      <c r="E1" s="48" t="inlineStr">
        <is>
          <t>Actions Summary</t>
        </is>
      </c>
      <c r="F1" s="48" t="inlineStr">
        <is>
          <t>Cash USD</t>
        </is>
      </c>
      <c r="G1" s="48" t="inlineStr">
        <is>
          <t>Exposure USD</t>
        </is>
      </c>
      <c r="H1" s="48" t="inlineStr">
        <is>
          <t>Open Risk USD</t>
        </is>
      </c>
      <c r="I1" s="48" t="inlineStr">
        <is>
          <t>Open Positions</t>
        </is>
      </c>
      <c r="J1" s="48" t="inlineStr">
        <is>
          <t>Summary File</t>
        </is>
      </c>
      <c r="K1" s="48" t="inlineStr">
        <is>
          <t>Screenshot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3.01000022888184" customWidth="1" style="52" min="1" max="1"/>
    <col width="39.29999923706055" customWidth="1" style="52" min="2" max="2"/>
    <col width="38" customWidth="1" style="52" min="3" max="3"/>
    <col width="24" customWidth="1" style="52" min="4" max="4"/>
  </cols>
  <sheetData>
    <row r="1">
      <c r="A1" s="22" t="inlineStr">
        <is>
          <t>Setting</t>
        </is>
      </c>
      <c r="B1" s="22" t="inlineStr">
        <is>
          <t>Value</t>
        </is>
      </c>
      <c r="C1" s="22" t="inlineStr">
        <is>
          <t>Description</t>
        </is>
      </c>
      <c r="D1" s="22" t="inlineStr">
        <is>
          <t>Source/Note</t>
        </is>
      </c>
    </row>
    <row r="2">
      <c r="A2" t="inlineStr">
        <is>
          <t>starting_capital_usd</t>
        </is>
      </c>
      <c r="B2" s="66" t="n">
        <v>100000</v>
      </c>
      <c r="C2" t="inlineStr">
        <is>
          <t>Initial paper portfolio capital</t>
        </is>
      </c>
      <c r="D2" t="inlineStr">
        <is>
          <t>User requirement</t>
        </is>
      </c>
    </row>
    <row r="3">
      <c r="A3" t="inlineStr">
        <is>
          <t>usd_conversion_rate</t>
        </is>
      </c>
      <c r="B3" s="66" t="n">
        <v>1</v>
      </c>
      <c r="C3" t="inlineStr">
        <is>
          <t>Used for converting USD trade prices to USD; update manually</t>
        </is>
      </c>
      <c r="D3" t="inlineStr">
        <is>
          <t>Manual input</t>
        </is>
      </c>
    </row>
    <row r="4">
      <c r="A4" t="inlineStr">
        <is>
          <t>max_position_allocation_pct</t>
        </is>
      </c>
      <c r="B4" s="66" t="n">
        <v>0.1</v>
      </c>
      <c r="C4" t="inlineStr">
        <is>
          <t>Max 10% allocation per ticker</t>
        </is>
      </c>
      <c r="D4" t="inlineStr">
        <is>
          <t>Agent risk rule</t>
        </is>
      </c>
    </row>
    <row r="5">
      <c r="A5" t="inlineStr">
        <is>
          <t>max_total_exposure_pct</t>
        </is>
      </c>
      <c r="B5" s="66" t="n">
        <v>0.4</v>
      </c>
      <c r="C5" t="inlineStr">
        <is>
          <t>Max starting total exposure</t>
        </is>
      </c>
      <c r="D5" t="inlineStr">
        <is>
          <t>Agent risk rule</t>
        </is>
      </c>
    </row>
    <row r="6">
      <c r="A6" t="inlineStr">
        <is>
          <t>max_risk_per_trade_pct</t>
        </is>
      </c>
      <c r="B6" s="66" t="n">
        <v>0.01</v>
      </c>
      <c r="C6" t="inlineStr">
        <is>
          <t>Max 1% risk per setup</t>
        </is>
      </c>
      <c r="D6" t="inlineStr">
        <is>
          <t>Agent risk rule</t>
        </is>
      </c>
    </row>
    <row r="7">
      <c r="A7" t="inlineStr">
        <is>
          <t>min_risk_reward</t>
        </is>
      </c>
      <c r="B7" t="n">
        <v>2</v>
      </c>
      <c r="C7" t="inlineStr">
        <is>
          <t>Minimum R/R for simulated entry</t>
        </is>
      </c>
      <c r="D7" t="inlineStr">
        <is>
          <t>Agent risk rule</t>
        </is>
      </c>
    </row>
    <row r="8">
      <c r="A8" t="inlineStr">
        <is>
          <t>paper_trading_only</t>
        </is>
      </c>
      <c r="B8" t="b">
        <v>1</v>
      </c>
      <c r="C8" t="inlineStr">
        <is>
          <t>No real orders are executed</t>
        </is>
      </c>
      <c r="D8" t="inlineStr">
        <is>
          <t>Safety constraint</t>
        </is>
      </c>
    </row>
    <row r="9">
      <c r="A9" t="inlineStr">
        <is>
          <t>app_url</t>
        </is>
      </c>
      <c r="B9" t="inlineStr">
        <is>
          <t>https://market-lens-scanner.onrender.com/</t>
        </is>
      </c>
      <c r="C9" t="inlineStr">
        <is>
          <t>Market Lens UI</t>
        </is>
      </c>
      <c r="D9" t="inlineStr">
        <is>
          <t>App URL</t>
        </is>
      </c>
    </row>
    <row r="10">
      <c r="A10" t="inlineStr">
        <is>
          <t>tracking_days</t>
        </is>
      </c>
      <c r="B10" t="n">
        <v>30</v>
      </c>
      <c r="C10" t="inlineStr">
        <is>
          <t>Planned monitoring period</t>
        </is>
      </c>
      <c r="D10" t="inlineStr">
        <is>
          <t>User requirement</t>
        </is>
      </c>
    </row>
    <row r="11">
      <c r="A11" t="inlineStr">
        <is>
          <t>Budget Definition</t>
        </is>
      </c>
    </row>
    <row r="12">
      <c r="A12" s="64" t="inlineStr">
        <is>
          <t>agent_budget_usd</t>
        </is>
      </c>
      <c r="B12" t="n">
        <v>100000</v>
      </c>
    </row>
    <row r="13">
      <c r="A13" s="56" t="inlineStr">
        <is>
          <t>budget_currency</t>
        </is>
      </c>
      <c r="B13" s="65" t="inlineStr">
        <is>
          <t>USD</t>
        </is>
      </c>
      <c r="C13" t="inlineStr">
        <is>
          <t>Total budget available for the Market Lens paper-trading agent</t>
        </is>
      </c>
      <c r="D13" t="inlineStr">
        <is>
          <t>User requirement</t>
        </is>
      </c>
    </row>
    <row r="14">
      <c r="A14" s="56" t="inlineStr">
        <is>
          <t>budget_mode</t>
        </is>
      </c>
      <c r="B14" t="inlineStr">
        <is>
          <t>Paper Trading</t>
        </is>
      </c>
      <c r="C14" t="inlineStr">
        <is>
          <t>Budget currency for portfolio tracking</t>
        </is>
      </c>
      <c r="D14" t="inlineStr">
        <is>
          <t>User requirement</t>
        </is>
      </c>
    </row>
    <row r="15">
      <c r="A15" s="56" t="inlineStr">
        <is>
          <t>budget_rule</t>
        </is>
      </c>
      <c r="B15" t="inlineStr">
        <is>
          <t>Do not exceed 100,000 USD total simulated capital</t>
        </is>
      </c>
      <c r="C15" t="inlineStr">
        <is>
          <t>100,000 USD is simulated capital only, not real-money execution</t>
        </is>
      </c>
      <c r="D15" t="inlineStr">
        <is>
          <t>Safety constraint</t>
        </is>
      </c>
    </row>
    <row r="16">
      <c r="A16" s="56" t="n"/>
      <c r="C16" t="inlineStr">
        <is>
          <t>Agent must manage cash, exposure and risk inside this budget</t>
        </is>
      </c>
      <c r="D16" t="inlineStr">
        <is>
          <t>Agent rule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6" customWidth="1" style="52" min="1" max="1"/>
    <col width="36" customWidth="1" style="52" min="2" max="2"/>
    <col width="36" customWidth="1" style="52" min="3" max="3"/>
  </cols>
  <sheetData>
    <row r="1">
      <c r="A1" s="50" t="inlineStr">
        <is>
          <t>Topic</t>
        </is>
      </c>
      <c r="B1" s="50" t="inlineStr">
        <is>
          <t>URL</t>
        </is>
      </c>
      <c r="C1" s="50" t="inlineStr">
        <is>
          <t>Why it matters</t>
        </is>
      </c>
    </row>
    <row r="2">
      <c r="A2" s="13" t="inlineStr">
        <is>
          <t>Market Lens app</t>
        </is>
      </c>
      <c r="B2" s="13" t="inlineStr">
        <is>
          <t>https://market-lens-scanner.onrender.com/</t>
        </is>
      </c>
      <c r="C2" s="13" t="inlineStr">
        <is>
          <t>UI used by the Agent</t>
        </is>
      </c>
    </row>
    <row r="3">
      <c r="A3" s="13" t="inlineStr">
        <is>
          <t>Playwright Python docs</t>
        </is>
      </c>
      <c r="B3" s="13" t="inlineStr">
        <is>
          <t>https://playwright.dev/python/docs/intro</t>
        </is>
      </c>
      <c r="C3" s="13" t="inlineStr">
        <is>
          <t>Browser automation / UI Agent framework</t>
        </is>
      </c>
    </row>
    <row r="4">
      <c r="A4" s="13" t="inlineStr">
        <is>
          <t>Playwright Locator docs</t>
        </is>
      </c>
      <c r="B4" s="13" t="inlineStr">
        <is>
          <t>https://playwright.dev/python/docs/api/class-locator</t>
        </is>
      </c>
      <c r="C4" s="13" t="inlineStr">
        <is>
          <t>Reliable element selection</t>
        </is>
      </c>
    </row>
    <row r="5">
      <c r="A5" s="13" t="inlineStr">
        <is>
          <t>openpyxl docs</t>
        </is>
      </c>
      <c r="B5" s="13" t="inlineStr">
        <is>
          <t>https://openpyxl.readthedocs.io/</t>
        </is>
      </c>
      <c r="C5" s="13" t="inlineStr">
        <is>
          <t>Excel read/write library used by the external Agent</t>
        </is>
      </c>
    </row>
    <row r="6">
      <c r="A6" s="13" t="inlineStr">
        <is>
          <t>Microsoft schtasks docs</t>
        </is>
      </c>
      <c r="B6" s="13" t="inlineStr">
        <is>
          <t>https://learn.microsoft.com/en-us/windows-server/administration/windows-commands/schtasks</t>
        </is>
      </c>
      <c r="C6" s="13" t="inlineStr">
        <is>
          <t>Windows scheduled task automation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3.7400016784668" customWidth="1" style="52" min="1" max="1"/>
    <col width="10.89999961853027" customWidth="1" style="52" min="2" max="2"/>
    <col width="34" customWidth="1" style="52" min="3" max="3"/>
    <col width="22" customWidth="1" style="52" min="4" max="4"/>
  </cols>
  <sheetData>
    <row r="1">
      <c r="A1" s="67" t="inlineStr">
        <is>
          <t>Market Lens UI Agent — Control &amp; Budget</t>
        </is>
      </c>
      <c r="B1" s="21" t="n"/>
      <c r="C1" s="21" t="n"/>
      <c r="D1" s="21" t="n"/>
    </row>
    <row r="2"/>
    <row r="3">
      <c r="A3" s="55" t="inlineStr">
        <is>
          <t>Parameter</t>
        </is>
      </c>
      <c r="B3" s="55" t="inlineStr">
        <is>
          <t>Value</t>
        </is>
      </c>
      <c r="C3" s="55" t="inlineStr">
        <is>
          <t>Meaning</t>
        </is>
      </c>
      <c r="D3" s="55" t="inlineStr">
        <is>
          <t>Rule</t>
        </is>
      </c>
    </row>
    <row r="4">
      <c r="A4" s="56" t="inlineStr">
        <is>
          <t>Agent Budget</t>
        </is>
      </c>
      <c r="B4" s="65" t="n">
        <v>100000</v>
      </c>
      <c r="C4" t="inlineStr">
        <is>
          <t>Total simulated capital available to the agent</t>
        </is>
      </c>
      <c r="D4" t="inlineStr">
        <is>
          <t>Hard limit</t>
        </is>
      </c>
    </row>
    <row r="5">
      <c r="A5" s="56" t="inlineStr">
        <is>
          <t>Currency</t>
        </is>
      </c>
      <c r="B5" t="inlineStr">
        <is>
          <t>USD</t>
        </is>
      </c>
      <c r="C5" t="inlineStr">
        <is>
          <t>Portfolio and Excel tracking currency</t>
        </is>
      </c>
      <c r="D5" t="inlineStr">
        <is>
          <t>Fixed</t>
        </is>
      </c>
    </row>
    <row r="6">
      <c r="A6" s="56" t="inlineStr">
        <is>
          <t>Mode</t>
        </is>
      </c>
      <c r="B6" t="inlineStr">
        <is>
          <t>Paper Trading</t>
        </is>
      </c>
      <c r="C6" t="inlineStr">
        <is>
          <t>Simulated trading only</t>
        </is>
      </c>
      <c r="D6" t="inlineStr">
        <is>
          <t>No real orders</t>
        </is>
      </c>
    </row>
    <row r="7">
      <c r="A7" s="56" t="inlineStr">
        <is>
          <t>Tracking Period</t>
        </is>
      </c>
      <c r="B7" t="inlineStr">
        <is>
          <t>30 days</t>
        </is>
      </c>
      <c r="C7" t="inlineStr">
        <is>
          <t>The agent should keep daily activity logs for one month</t>
        </is>
      </c>
      <c r="D7" t="inlineStr">
        <is>
          <t>User requirement</t>
        </is>
      </c>
    </row>
    <row r="8">
      <c r="A8" s="56" t="inlineStr">
        <is>
          <t>Max Allocation per Ticker</t>
        </is>
      </c>
      <c r="B8" s="68" t="inlineStr">
        <is>
          <t>10%</t>
        </is>
      </c>
      <c r="C8" t="inlineStr">
        <is>
          <t>Maximum exposure to one simulated position</t>
        </is>
      </c>
      <c r="D8" t="inlineStr">
        <is>
          <t>Risk rule</t>
        </is>
      </c>
    </row>
    <row r="9">
      <c r="A9" s="56" t="inlineStr">
        <is>
          <t>Max Total Starting Exposure</t>
        </is>
      </c>
      <c r="B9" s="68" t="inlineStr">
        <is>
          <t>40%</t>
        </is>
      </c>
      <c r="C9" t="inlineStr">
        <is>
          <t>Maximum deployed capital at the beginning</t>
        </is>
      </c>
      <c r="D9" t="inlineStr">
        <is>
          <t>Risk rule</t>
        </is>
      </c>
    </row>
    <row r="10">
      <c r="A10" s="56" t="inlineStr">
        <is>
          <t>Max Risk per Trade</t>
        </is>
      </c>
      <c r="B10" s="68" t="inlineStr">
        <is>
          <t>1%</t>
        </is>
      </c>
      <c r="C10" t="inlineStr">
        <is>
          <t>Maximum loss risk per simulated setup</t>
        </is>
      </c>
      <c r="D10" t="inlineStr">
        <is>
          <t>Risk rule</t>
        </is>
      </c>
    </row>
    <row r="11">
      <c r="A11" s="56" t="inlineStr">
        <is>
          <t>Minimum Risk/Reward</t>
        </is>
      </c>
      <c r="B11" t="inlineStr">
        <is>
          <t>2.0</t>
        </is>
      </c>
      <c r="C11" t="inlineStr">
        <is>
          <t>Required R/R before simulated entry</t>
        </is>
      </c>
      <c r="D11" t="inlineStr">
        <is>
          <t>Entry rule</t>
        </is>
      </c>
    </row>
    <row r="12">
      <c r="A12" s="56" t="inlineStr">
        <is>
          <t>Excel Update</t>
        </is>
      </c>
      <c r="B12" t="inlineStr">
        <is>
          <t>Every run</t>
        </is>
      </c>
      <c r="C12" t="inlineStr">
        <is>
          <t>Agent must update workbook and summary after every run</t>
        </is>
      </c>
      <c r="D12" t="inlineStr">
        <is>
          <t>Reporting rule</t>
        </is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2026-06-06T10:21:08Z</dcterms:created>
  <dcterms:modified xmlns:dcterms="http://purl.org/dc/terms/" xmlns:xsi="http://www.w3.org/2001/XMLSchema-instance" xsi:type="dcterms:W3CDTF">2026-06-06T16:09:51Z</dcterms:modified>
</cp:coreProperties>
</file>