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Setup Watchlist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Open Positions" sheetId="4" state="visible" r:id="rId4"/>
    <sheet xmlns:r="http://schemas.openxmlformats.org/officeDocument/2006/relationships" name="Update Log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Sources" sheetId="7" state="visible" r:id="rId7"/>
    <sheet xmlns:r="http://schemas.openxmlformats.org/officeDocument/2006/relationships" name="Agent Control" sheetId="8" state="visible" r:id="rId8"/>
    <sheet xmlns:r="http://schemas.openxmlformats.org/officeDocument/2006/relationships" name="Position Events" sheetId="9" state="visible" r:id="rId9"/>
  </sheets>
  <definedNames/>
</workbook>
</file>

<file path=xl/styles.xml><?xml version="1.0" encoding="utf-8"?>
<styleSheet xmlns="http://schemas.openxmlformats.org/spreadsheetml/2006/main">
  <numFmts count="1">
    <numFmt numFmtId="164" formatCode="#,##0 &quot;₪&quot;"/>
  </numFmts>
  <fonts count="4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  <font>
      <name val="Carlito"/>
      <b val="1"/>
      <sz val="11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2563EB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EA580C"/>
      </patternFill>
    </fill>
    <fill>
      <patternFill patternType="solid">
        <fgColor rgb="00334155"/>
      </patternFill>
    </fill>
    <fill>
      <patternFill patternType="solid">
        <fgColor rgb="001F4E79"/>
      </patternFill>
    </fill>
    <fill>
      <patternFill patternType="solid">
        <fgColor rgb="000F172A"/>
      </patternFill>
    </fill>
  </fills>
  <borders count="2">
    <border/>
    <border/>
  </borders>
  <cellStyleXfs count="1">
    <xf numFmtId="0" fontId="0" fillId="0" borderId="1"/>
  </cellStyleXfs>
  <cellXfs count="6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0" fillId="0" borderId="0" pivotButton="0" quotePrefix="0" xfId="0"/>
    <xf numFmtId="10" fontId="0" fillId="0" borderId="1" applyAlignment="1" pivotButton="0" quotePrefix="0" xfId="0">
      <alignment wrapText="1"/>
    </xf>
    <xf numFmtId="0" fontId="0" fillId="0" borderId="1" pivotButton="0" quotePrefix="0" xfId="0"/>
    <xf numFmtId="0" fontId="2" fillId="2" borderId="0" pivotButton="0" quotePrefix="0" xfId="0"/>
    <xf numFmtId="0" fontId="2" fillId="2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0" applyAlignment="1" pivotButton="0" quotePrefix="0" xfId="0">
      <alignment wrapText="1"/>
    </xf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0" fillId="7" borderId="1" pivotButton="0" quotePrefix="0" xfId="0"/>
    <xf numFmtId="0" fontId="2" fillId="7" borderId="1" pivotButton="0" quotePrefix="0" xfId="0"/>
    <xf numFmtId="0" fontId="2" fillId="7" borderId="0" applyAlignment="1" pivotButton="0" quotePrefix="0" xfId="0">
      <alignment wrapText="1"/>
    </xf>
    <xf numFmtId="0" fontId="2" fillId="7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9" fontId="0" fillId="0" borderId="0" pivotButton="0" quotePrefix="0" xfId="0"/>
    <xf numFmtId="4" fontId="0" fillId="0" borderId="0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1" fillId="9" borderId="1" applyAlignment="1" pivotButton="0" quotePrefix="0" xfId="0">
      <alignment horizontal="center"/>
    </xf>
    <xf numFmtId="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etupWatchlistTable" displayName="SetupWatchlistTable" ref="A1:O200" headerRowCount="1">
  <tableColumns count="15">
    <tableColumn id="1" name="Run Date"/>
    <tableColumn id="2" name="Ticker"/>
    <tableColumn id="3" name="Setup Type"/>
    <tableColumn id="4" name="Score"/>
    <tableColumn id="5" name="Current Price USD"/>
    <tableColumn id="6" name="Buy Zone Low"/>
    <tableColumn id="7" name="Buy Zone High"/>
    <tableColumn id="8" name="Stop Loss"/>
    <tableColumn id="9" name="Target 1"/>
    <tableColumn id="10" name="Target 2"/>
    <tableColumn id="11" name="Risk/Reward"/>
    <tableColumn id="12" name="Reason"/>
    <tableColumn id="13" name="Agent Decision"/>
    <tableColumn id="14" name="Feedback"/>
    <tableColumn id="15" name="Raw UI Text"/>
  </tableColumns>
  <tableStyleInfo name="TableStyleMedium2" showRowStripes="1"/>
</table>
</file>

<file path=xl/tables/table2.xml><?xml version="1.0" encoding="utf-8"?>
<table xmlns="http://schemas.openxmlformats.org/spreadsheetml/2006/main" id="2" name="TradeLogTable" displayName="TradeLogTable" ref="A1:Q300" headerRowCount="1">
  <tableColumns count="17">
    <tableColumn id="1" name="Timestamp"/>
    <tableColumn id="2" name="Action"/>
    <tableColumn id="3" name="Ticker"/>
    <tableColumn id="4" name="Entry Price USD"/>
    <tableColumn id="5" name="Exit Price USD"/>
    <tableColumn id="6" name="Quantity"/>
    <tableColumn id="7" name="USD/ILS"/>
    <tableColumn id="8" name="Buy Value ILS"/>
    <tableColumn id="9" name="Sell Value ILS"/>
    <tableColumn id="10" name="Cash Out ILS"/>
    <tableColumn id="11" name="Cash In ILS"/>
    <tableColumn id="12" name="Stop Loss"/>
    <tableColumn id="13" name="Target 1"/>
    <tableColumn id="14" name="Target 2"/>
    <tableColumn id="15" name="Risk ILS"/>
    <tableColumn id="16" name="Reason"/>
    <tableColumn id="17" name="Screenshot"/>
  </tableColumns>
  <tableStyleInfo name="TableStyleMedium2" showRowStripes="1"/>
</table>
</file>

<file path=xl/tables/table3.xml><?xml version="1.0" encoding="utf-8"?>
<table xmlns="http://schemas.openxmlformats.org/spreadsheetml/2006/main" id="3" name="OpenPositionsTable" displayName="OpenPositionsTable" ref="A1:O200" headerRowCount="1">
  <tableColumns count="15">
    <tableColumn id="1" name="Ticker"/>
    <tableColumn id="2" name="Entry Date"/>
    <tableColumn id="3" name="Entry Price USD"/>
    <tableColumn id="4" name="Current Price USD"/>
    <tableColumn id="5" name="Quantity"/>
    <tableColumn id="6" name="Stop Loss"/>
    <tableColumn id="7" name="Target 1"/>
    <tableColumn id="8" name="Target 2"/>
    <tableColumn id="9" name="Status"/>
    <tableColumn id="10" name="Unrealized P/L USD"/>
    <tableColumn id="11" name="Unrealized P/L ILS"/>
    <tableColumn id="12" name="Exposure ILS"/>
    <tableColumn id="13" name="Open Risk ILS"/>
    <tableColumn id="14" name="Notes"/>
    <tableColumn id="15" name="Last Screenshot"/>
  </tableColumns>
  <tableStyleInfo name="TableStyleMedium2" showRowStripes="1"/>
</table>
</file>

<file path=xl/tables/table4.xml><?xml version="1.0" encoding="utf-8"?>
<table xmlns="http://schemas.openxmlformats.org/spreadsheetml/2006/main" id="4" name="UpdateLogTable" displayName="UpdateLogTable" ref="A1:K200" headerRowCount="1">
  <tableColumns count="11">
    <tableColumn id="1" name="Run Timestamp"/>
    <tableColumn id="2" name="Run ID"/>
    <tableColumn id="3" name="Scanned Tickers"/>
    <tableColumn id="4" name="Valid Setups"/>
    <tableColumn id="5" name="Actions Summary"/>
    <tableColumn id="6" name="Cash ILS"/>
    <tableColumn id="7" name="Exposure ILS"/>
    <tableColumn id="8" name="Open Risk ILS"/>
    <tableColumn id="9" name="Open Positions"/>
    <tableColumn id="10" name="Summary File"/>
    <tableColumn id="11" name="Screensho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>
      <c r="A1" s="7" t="inlineStr">
        <is>
          <t>Market Lens UI Agent — Portfolio Dashboard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12" t="inlineStr">
        <is>
          <t>Starting Capital (USD)</t>
        </is>
      </c>
      <c r="B3" s="12" t="inlineStr">
        <is>
          <t>Value</t>
        </is>
      </c>
      <c r="C3" s="13" t="n"/>
      <c r="D3" s="12" t="inlineStr">
        <is>
          <t>Agent Rules</t>
        </is>
      </c>
      <c r="E3" s="12" t="str"/>
      <c r="F3" s="12" t="str"/>
      <c r="G3" s="12" t="str"/>
      <c r="H3" s="12" t="str"/>
    </row>
    <row r="4">
      <c r="A4" s="13" t="inlineStr">
        <is>
          <t>Current Cash (USD)</t>
        </is>
      </c>
      <c r="B4" s="62">
        <f>Settings!B2</f>
        <v/>
      </c>
      <c r="C4" s="13" t="n"/>
      <c r="D4" s="13" t="inlineStr">
        <is>
          <t>Mode</t>
        </is>
      </c>
      <c r="E4" s="13" t="inlineStr">
        <is>
          <t>Paper Trading only</t>
        </is>
      </c>
      <c r="F4" s="13" t="str"/>
      <c r="G4" s="13" t="str"/>
      <c r="H4" s="13" t="str"/>
    </row>
    <row r="5">
      <c r="A5" s="13" t="inlineStr">
        <is>
          <t>Open Exposure (USD)</t>
        </is>
      </c>
      <c r="B5" s="62">
        <f>Settings!B2-SUM('Trade Log'!J:J)+SUM('Trade Log'!K:K)</f>
        <v/>
      </c>
      <c r="C5" s="13" t="n"/>
      <c r="D5" s="13" t="inlineStr">
        <is>
          <t>Max position allocation</t>
        </is>
      </c>
      <c r="E5" s="13">
        <f>Settings!B4</f>
        <v/>
      </c>
      <c r="F5" s="13" t="str"/>
      <c r="G5" s="13" t="str"/>
      <c r="H5" s="13" t="str"/>
    </row>
    <row r="6">
      <c r="A6" s="13" t="inlineStr">
        <is>
          <t>Total Portfolio Value (USD)</t>
        </is>
      </c>
      <c r="B6" s="62">
        <f>SUM('Open Positions'!L:L)</f>
        <v/>
      </c>
      <c r="C6" s="13" t="n"/>
      <c r="D6" s="13" t="inlineStr">
        <is>
          <t>Max total exposure</t>
        </is>
      </c>
      <c r="E6" s="13">
        <f>Settings!B5</f>
        <v/>
      </c>
      <c r="F6" s="13" t="str"/>
      <c r="G6" s="13" t="str"/>
      <c r="H6" s="13" t="str"/>
    </row>
    <row r="7">
      <c r="A7" s="13" t="inlineStr">
        <is>
          <t>Open Risk (USD)</t>
        </is>
      </c>
      <c r="B7" s="62">
        <f>B5+B6</f>
        <v/>
      </c>
      <c r="C7" s="13" t="n"/>
      <c r="D7" s="13" t="inlineStr">
        <is>
          <t>Max risk per trade</t>
        </is>
      </c>
      <c r="E7" s="13">
        <f>Settings!B6</f>
        <v/>
      </c>
      <c r="F7" s="13" t="str"/>
      <c r="G7" s="13" t="str"/>
      <c r="H7" s="13" t="str"/>
    </row>
    <row r="8">
      <c r="A8" s="13" t="inlineStr">
        <is>
          <t>Closed P/L (USD)</t>
        </is>
      </c>
      <c r="B8" s="62">
        <f>SUM('Open Positions'!M:M)</f>
        <v/>
      </c>
      <c r="C8" s="13" t="n"/>
      <c r="D8" s="13" t="inlineStr">
        <is>
          <t>Minimum Risk/Reward</t>
        </is>
      </c>
      <c r="E8" s="13">
        <f>Settings!B7</f>
        <v/>
      </c>
      <c r="F8" s="13" t="str"/>
      <c r="G8" s="13" t="str"/>
      <c r="H8" s="13" t="str"/>
    </row>
    <row r="9">
      <c r="A9" s="13" t="inlineStr">
        <is>
          <t>Open Positions</t>
        </is>
      </c>
      <c r="B9" s="62">
        <f>COUNTA('Open Positions'!A:A)-1</f>
        <v/>
      </c>
      <c r="C9" s="13" t="n"/>
      <c r="D9" s="13" t="inlineStr">
        <is>
          <t>Run frequency</t>
        </is>
      </c>
      <c r="E9" s="13" t="inlineStr">
        <is>
          <t>Daily / manual</t>
        </is>
      </c>
      <c r="F9" s="13" t="str"/>
      <c r="G9" s="13" t="str"/>
      <c r="H9" s="13" t="str"/>
    </row>
    <row r="10">
      <c r="A10" s="13" t="inlineStr">
        <is>
          <t>Watchlist Setups</t>
        </is>
      </c>
      <c r="B10" s="62">
        <f>COUNTA('Setup Watchlist'!A:A)-1</f>
        <v/>
      </c>
      <c r="C10" s="13" t="n"/>
      <c r="D10" s="13" t="inlineStr">
        <is>
          <t>Real orders</t>
        </is>
      </c>
      <c r="E10" s="13" t="inlineStr">
        <is>
          <t>Never</t>
        </is>
      </c>
      <c r="F10" s="13" t="str"/>
      <c r="G10" s="13" t="str"/>
      <c r="H10" s="13" t="str"/>
    </row>
    <row r="11">
      <c r="A11" s="13" t="inlineStr">
        <is>
          <t>Agent Budget (USD)</t>
        </is>
      </c>
      <c r="B11" s="63">
        <f>SUM('Trade Log'!K:K)-SUM('Trade Log'!J:J)</f>
        <v/>
      </c>
      <c r="C11" s="13" t="n"/>
      <c r="D11" s="13" t="n"/>
      <c r="E11" s="13" t="n"/>
      <c r="F11" s="13" t="n"/>
      <c r="G11" s="13" t="n"/>
      <c r="H11" s="13" t="n"/>
    </row>
    <row r="12">
      <c r="A12" s="13" t="inlineStr">
        <is>
          <t>Exposure %</t>
        </is>
      </c>
      <c r="B12" s="63">
        <f>IFERROR(B6/B7,0)</f>
        <v/>
      </c>
      <c r="C12" s="13" t="n"/>
      <c r="D12" s="13" t="n"/>
      <c r="E12" s="13" t="n"/>
      <c r="F12" s="13" t="n"/>
      <c r="G12" s="13" t="n"/>
      <c r="H12" s="13" t="n"/>
    </row>
    <row r="13">
      <c r="A13" s="13" t="inlineStr">
        <is>
          <t>Risk %</t>
        </is>
      </c>
      <c r="B13" s="13">
        <f>IFERROR(B8/B7,0)</f>
        <v/>
      </c>
      <c r="C13" s="13" t="n"/>
      <c r="D13" s="13" t="n"/>
      <c r="E13" s="13" t="n"/>
      <c r="F13" s="13" t="n"/>
      <c r="G13" s="13" t="n"/>
      <c r="H13" s="13" t="n"/>
    </row>
    <row r="14">
      <c r="A14" s="64" t="inlineStr">
        <is>
          <t>Budget Definition</t>
        </is>
      </c>
      <c r="B14" s="21" t="n"/>
      <c r="C14" s="21" t="n"/>
      <c r="D14" s="21" t="n"/>
      <c r="E14" s="21" t="n"/>
    </row>
    <row r="15">
      <c r="A15" s="56" t="inlineStr">
        <is>
          <t>Agent Budget (USD)</t>
        </is>
      </c>
      <c r="B15" s="65" t="n">
        <v>100000</v>
      </c>
      <c r="D15" s="56" t="inlineStr">
        <is>
          <t>Budget Mode</t>
        </is>
      </c>
      <c r="E15" t="inlineStr">
        <is>
          <t>Paper Trading only</t>
        </is>
      </c>
    </row>
    <row r="16">
      <c r="A16" s="56" t="inlineStr">
        <is>
          <t>Budget Rule</t>
        </is>
      </c>
      <c r="B16" t="inlineStr">
        <is>
          <t>Agent must manage simulated positions within 100,000 USD only</t>
        </is>
      </c>
      <c r="D16" s="56" t="inlineStr">
        <is>
          <t>Real Orders</t>
        </is>
      </c>
      <c r="E16" t="inlineStr">
        <is>
          <t>Never</t>
        </is>
      </c>
    </row>
    <row r="17">
      <c r="A17" s="56" t="inlineStr">
        <is>
          <t>Tracking Period</t>
        </is>
      </c>
      <c r="B17" t="inlineStr">
        <is>
          <t>30 days</t>
        </is>
      </c>
      <c r="D17" s="56" t="inlineStr">
        <is>
          <t>Excel Update</t>
        </is>
      </c>
      <c r="E17" t="inlineStr">
        <is>
          <t>Every run</t>
        </is>
      </c>
    </row>
  </sheetData>
  <mergeCells count="2">
    <mergeCell ref="A1:H1"/>
    <mergeCell ref="A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40" customWidth="1" style="52" min="12" max="12"/>
    <col width="16" customWidth="1" style="52" min="13" max="13"/>
    <col width="16" customWidth="1" style="52" min="14" max="14"/>
    <col width="50" customWidth="1" style="52" min="15" max="15"/>
  </cols>
  <sheetData>
    <row r="1">
      <c r="A1" s="30" t="inlineStr">
        <is>
          <t>Run Date</t>
        </is>
      </c>
      <c r="B1" s="30" t="inlineStr">
        <is>
          <t>Ticker</t>
        </is>
      </c>
      <c r="C1" s="30" t="inlineStr">
        <is>
          <t>Setup Type</t>
        </is>
      </c>
      <c r="D1" s="30" t="inlineStr">
        <is>
          <t>Score</t>
        </is>
      </c>
      <c r="E1" s="30" t="inlineStr">
        <is>
          <t>Current Price USD</t>
        </is>
      </c>
      <c r="F1" s="30" t="inlineStr">
        <is>
          <t>Buy Zone Low USD</t>
        </is>
      </c>
      <c r="G1" s="30" t="inlineStr">
        <is>
          <t>Buy Zone High USD</t>
        </is>
      </c>
      <c r="H1" s="30" t="inlineStr">
        <is>
          <t>Stop Loss USD</t>
        </is>
      </c>
      <c r="I1" s="30" t="inlineStr">
        <is>
          <t>Target 1 USD</t>
        </is>
      </c>
      <c r="J1" s="30" t="inlineStr">
        <is>
          <t>Target 2 USD</t>
        </is>
      </c>
      <c r="K1" s="30" t="inlineStr">
        <is>
          <t>Risk/Reward</t>
        </is>
      </c>
      <c r="L1" s="30" t="inlineStr">
        <is>
          <t>Reason</t>
        </is>
      </c>
      <c r="M1" s="30" t="inlineStr">
        <is>
          <t>Agent Action</t>
        </is>
      </c>
      <c r="N1" s="30" t="inlineStr">
        <is>
          <t>Agent Feedback</t>
        </is>
      </c>
      <c r="O1" s="30" t="inlineStr">
        <is>
          <t>Raw UI Text</t>
        </is>
      </c>
      <c r="P1" t="inlineStr">
        <is>
          <t>Chart URL</t>
        </is>
      </c>
      <c r="Q1" t="inlineStr">
        <is>
          <t>Selection Context</t>
        </is>
      </c>
      <c r="R1" t="inlineStr">
        <is>
          <t>Decision JSON</t>
        </is>
      </c>
    </row>
    <row r="2">
      <c r="A2" t="inlineStr">
        <is>
          <t>2026-06-08T00:27:00</t>
        </is>
      </c>
      <c r="B2" t="inlineStr">
        <is>
          <t>V</t>
        </is>
      </c>
      <c r="C2" t="inlineStr">
        <is>
          <t>Fib 61.8 Confluence Buy Zone</t>
        </is>
      </c>
      <c r="D2" t="n">
        <v>0.45</v>
      </c>
      <c r="E2" t="n">
        <v>323.57</v>
      </c>
      <c r="F2" t="n">
        <v>321.22</v>
      </c>
      <c r="G2" t="n">
        <v>324.81</v>
      </c>
      <c r="H2" t="n">
        <v>319</v>
      </c>
      <c r="I2" t="n">
        <v>325.34</v>
      </c>
      <c r="J2" t="n">
        <v>338.49</v>
      </c>
      <c r="K2" t="n">
        <v>1.39</v>
      </c>
      <c r="L2" t="inlineStr">
        <is>
          <t>Price at 61.8% fib retracement (323.02) with confluence at VWAP. Planned entry at zone low 321.22; executable entry 323.57, stop below fib 78.6% at 319.00.</t>
        </is>
      </c>
      <c r="M2" t="inlineStr">
        <is>
          <t>WATCH</t>
        </is>
      </c>
      <c r="N2" t="inlineStr">
        <is>
          <t>WATCH: Technical setup detected, but weighted risk/reward 1.39 is below minimum 2.00. Market regime NEUTRAL; sector STRONG; net R/R 1.16.</t>
        </is>
      </c>
      <c r="O2" t="inlineStr">
        <is>
          <t>V
Fib 61.8 Confluence Buy Zone
0.45
score
Price
323.57
R/R
1.39x
Grade
B
Quality
70%
Buy Zone
321.22 - 324.81
Stop
319.00
Targets
325.34 / 338.49
Tradable if trigger confirms
Mixed
Relative Strength
Leadership
100%
Trend Quality
Constructive
68%
Liquidity
Institutional liquidity
100%
Volume
Distribution risk
30%
Trigger
Break above prior-day high at 324.76 after holding buy zone.
Invalidation
Exit if price closes below 319.00 or setup support fails.
Recent volume shows distribution risk.
Market regime: Mixed.
Relative strength: Leadership.
Price at 61.8% fib retracement (323.02) with confluence at VWAP. Planned entry at zone low 321.22; executable entry 323.57, stop below fib 78.6% at 319.00.
Fib 61.8
323.02
Fib Zone
321.22 - 324.81
Swing Low
315.51
Swing High
335.17
Save setup
Click chart to open full size</t>
        </is>
      </c>
      <c r="P2" t="inlineStr">
        <is>
          <t>C:\Users\User\Documents\Codex\2026-05-29\adva-mo-project-orion-https-github\work\market-lens-scanner\agent_results\charts\market_lens_agent_20260608_002548_v.png</t>
        </is>
      </c>
      <c r="Q2" t="inlineStr">
        <is>
          <t>Smart Universe: broad liquid US universe, diversified by sector | Sector: Financials - Strong (70/100); XLF sector regime is strong: 4.4% 3m return, -4.6% vs SPY | Setup: Fib 61.8 Confluence Buy Zone; score 0.45; R/R 1.39x; price 323.57 | Market: NEUTRAL; Sector regime: STRONG; Net R/R: 1.16; Factors: Financials | Agent action: WATCH - WATCH: Technical setup detected, but weighted risk/reward 1.39 is below minimum 2.00. Market regime NEUTRAL; sector STRONG; net R/R 1.16.</t>
        </is>
      </c>
      <c r="R2" t="inlineStr">
        <is>
          <t>{"adjusted_cash_out": 0.0, "adjusted_position_size": 0, "adjusted_risk_amount": 0.0, "ask": 0.0, "bid": 0.0, "buy_zone_high": 324.81, "buy_zone_low": 321.22, "cash_available": 100000.0, "company_name": "Visa Inc.", "correlation_warning": false, "days_to_earnings": 36, "earnings_blackout": false, "earnings_date": "2026-07-28T00:00:00", "estimated_fees": 0.0, "estimated_slippage": 0.453, "estimated_spread": 0.0971, "executable_entry": 323.57, "execution_liquidity_bucket": "large_liquid", "factor_exposure_after": {}, "factor_exposure_before": {}, "factor_exposure_cap": 7000.0, "factor_exposure_limit_exceeded": false, "factor_tags": ["Financials"], "final_action": "WATCH", "gross_reward_1_per_share": 1.77, "gross_reward_2_per_share": 14.92, "gross_risk_per_share": 4.57, "gross_rr": 1.3944, "gross_rr_1": 0.3873, "gross_rr_2": 3.2648, "gross_rr_decision": 1.3944, "highest_correlation_ticker": "", "highest_correlation_value": null, "initial_action": "WATCH", "market_cap": 615347255294.79,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"SUPPORTED_BY_20D_RESISTANCE", "net_entry": 323.845, "net_reward_1_per_share": 1.3332, "net_reward_2_per_share": 14.4832, "net_risk_per_share": 5.1201, "net_rr": 1.1593, "net_rr_1": 0.2604, "net_rr_2": 2.8287, "net_stop_assumption": 318.725, "net_target_1_assumption": 325.1782, "net_target_2_assumption": 338.3282, "normalized_atr_score": 100.0, "normalized_liquidity_score": 59.95, "normalized_momentum_score": 60.9, "normalized_quality_score": 70.39,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335.17, "price": 323.57, "prior_high_20": 335.17, "prior_high_63": 341.2725, "reason": "WATCH: Technical setup detected, but weighted risk/reward 1.39 is below minimum 2.00. Market regime NEUTRAL; sector STRONG; net R/R 1.16.",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0.45, "setup_type": "Fib 61.8 Confluence Buy Zone", "sizing_adjustment_reason": "", "spread_source": "liquidity_fallback", "stock_score": 0.45, "stop_loss": 319.0, "target_1": 325.34, "target_1_atr_distance": 0.2466, "target_2": 338.49, "target_2_atr_distance": 2.0787, "target_feasibility_status": "LOW_REWARD_DISTANCE", "theoretical_entry": 321.22, "ticker": "V", "timestamp": "2026-06-08T00:27:00", "warnings": ["Target 1 is close versus daily ATR."]}</t>
        </is>
      </c>
    </row>
    <row r="3">
      <c r="A3" t="inlineStr">
        <is>
          <t>2026-06-08T00:27:00</t>
        </is>
      </c>
      <c r="B3" t="inlineStr">
        <is>
          <t>AMAT</t>
        </is>
      </c>
      <c r="C3" t="inlineStr">
        <is>
          <t>No Trade</t>
        </is>
      </c>
      <c r="D3" t="n">
        <v>0</v>
      </c>
      <c r="E3" t="n">
        <v>453.01</v>
      </c>
      <c r="H3" t="n">
        <v>0</v>
      </c>
      <c r="K3" t="n">
        <v>0</v>
      </c>
      <c r="L3" t="inlineStr">
        <is>
          <t>No clean technical setup detected. Price in middle of value area or poor risk/reward.</t>
        </is>
      </c>
      <c r="M3" t="inlineStr">
        <is>
          <t>SKIP</t>
        </is>
      </c>
      <c r="N3" t="inlineStr">
        <is>
          <t>SKIP: No Trade result. Market regime NEUTRAL; sector STRONG; net R/R 0.00.</t>
        </is>
      </c>
      <c r="O3" t="inlineStr">
        <is>
          <t>AMAT
No Trade
0.00
score
Price
453.01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403.84
Fib Zone
398.18 - 409.49
Swing Low
376.60
Swing High
447.89
Click chart to open full size</t>
        </is>
      </c>
      <c r="P3" t="inlineStr">
        <is>
          <t>C:\Users\User\Documents\Codex\2026-05-29\adva-mo-project-orion-https-github\work\market-lens-scanner\agent_results\charts\market_lens_agent_20260608_002548_amat.png</t>
        </is>
      </c>
      <c r="Q3" t="inlineStr">
        <is>
          <t>Smart Universe: broad liquid US universe, diversified by sector | Sector: Semiconductors - Strong (79/100); SMH sector regime is strong: 44.5% 3m return, 35.4% vs SPY | Setup: No Trade; score 0.00; R/R 0.00x; price 453.01 | Market: NEUTRAL; Sector regime: STRONG; Net R/R: 0.00; Factors: AI / Semiconductors, Semiconductors | Agent action: SKIP - SKIP: No Trade result. Market regime NEUTRAL; sector STRONG; net R/R 0.00.</t>
        </is>
      </c>
      <c r="R3" t="inlineStr">
        <is>
          <t>{"adjusted_cash_out": 0.0, "adjusted_position_size": 0, "adjusted_risk_amount": 0.0, "ask": 0.0, "bid": 0.0, "buy_zone_high": null, "buy_zone_low": null, "cash_available": 100000.0, "company_name": "Applied Materials, Inc.", "correlation_warning": false, "days_to_earnings": 48, "earnings_blackout": false, "earnings_date": "2026-08-13T00:00:00", "estimated_fees": 0.0, "estimated_slippage": 0.6342, "estimated_spread": 0.1359, "executable_entry": 453.01,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453.01, "gross_rr": 0.0, "gross_rr_1": 0.0, "gross_rr_2": 0.0, "gross_rr_decision": 0.0, "highest_correlation_ticker": "", "highest_correlation_value": null, "initial_action": "SKIP", "market_cap": 359671569137.81,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453.3951, "net_reward_1_per_share": 0.0, "net_reward_2_per_share": 0.0, "net_risk_per_share": 453.7801, "net_rr": 0.0, "net_rr_1": 0.0, "net_rr_2": 0.0, "net_stop_assumption": -0.3851, "net_target_1_assumption": -0.2265, "net_target_2_assumption": -0.2265, "normalized_atr_score": 98.01, "normalized_liquidity_score": 69.65, "normalized_momentum_score": 100, "normalized_quality_score": 90.4,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453.01,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453.01, "ticker": "AMAT", "timestamp": "2026-06-08T00:27:00", "warnings": ["Target ATR feasibility unavailable."]}</t>
        </is>
      </c>
    </row>
    <row r="4">
      <c r="A4" t="inlineStr">
        <is>
          <t>2026-06-08T00:27:00</t>
        </is>
      </c>
      <c r="B4" t="inlineStr">
        <is>
          <t>PANW</t>
        </is>
      </c>
      <c r="C4" t="inlineStr">
        <is>
          <t>No Trade</t>
        </is>
      </c>
      <c r="D4" t="n">
        <v>0</v>
      </c>
      <c r="E4" t="n">
        <v>272.05</v>
      </c>
      <c r="H4" t="n">
        <v>0</v>
      </c>
      <c r="K4" t="n">
        <v>0</v>
      </c>
      <c r="L4" t="inlineStr">
        <is>
          <t>No clean technical setup detected. Price in middle of value area or poor risk/reward.</t>
        </is>
      </c>
      <c r="M4" t="inlineStr">
        <is>
          <t>SKIP</t>
        </is>
      </c>
      <c r="N4" t="inlineStr">
        <is>
          <t>SKIP: No Trade result. Market regime NEUTRAL; sector STRONG; net R/R 0.00.</t>
        </is>
      </c>
      <c r="O4" t="inlineStr">
        <is>
          <t>PANW
No Trade
0.00
score
Price
272.05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157.16
Fib Zone
153.95 - 160.38
Swing Low
143.50
Swing High
179.27
Click chart to open full size</t>
        </is>
      </c>
      <c r="P4" t="inlineStr">
        <is>
          <t>C:\Users\User\Documents\Codex\2026-05-29\adva-mo-project-orion-https-github\work\market-lens-scanner\agent_results\charts\market_lens_agent_20260608_002548_panw.png</t>
        </is>
      </c>
      <c r="Q4" t="inlineStr">
        <is>
          <t>Smart Universe: broad liquid US universe, diversified by sector | Sector: Technology - Strong (76/100); XLK sector regime is strong: 29.2% 3m return, 20.1% vs SPY | Setup: No Trade; score 0.00; R/R 0.00x; price 272.05 | Market: NEUTRAL; Sector regime: STRONG; Net R/R: 0.00; Factors: High Beta Growth, Technology | Agent action: SKIP - SKIP: No Trade result. Market regime NEUTRAL; sector STRONG; net R/R 0.00.</t>
        </is>
      </c>
      <c r="R4" t="inlineStr">
        <is>
          <t>{"adjusted_cash_out": 0.0, "adjusted_position_size": 0, "adjusted_risk_amount": 0.0, "ask": 0.0, "bid": 0.0, "buy_zone_high": null, "buy_zone_low": null, "cash_available": 100000.0, "company_name": "Palo Alto Networks, Inc.", "correlation_warning": false, "days_to_earnings": 51, "earnings_blackout": false, "earnings_date": "2026-08-18T00:00:00", "estimated_fees": 0.0, "estimated_slippage": 0.3809, "estimated_spread": 0.0816, "executable_entry": 272.05, "execution_liquidity_bucket": "large_liquid", "factor_exposure_after": {}, "factor_exposure_before": {}, "factor_exposure_cap": 7000.0, "factor_exposure_limit_exceeded": false, "factor_tags": ["High Beta Growth", "Technology"], "final_action": "SKIP", "gross_reward_1_per_share": 0.0, "gross_reward_2_per_share": 0.0, "gross_risk_per_share": 272.05, "gross_rr": 0.0, "gross_rr_1": 0.0, "gross_rr_2": 0.0, "gross_rr_decision": 0.0, "highest_correlation_ticker": "", "highest_correlation_value": null, "initial_action": "SKIP", "market_cap": 221720740051.27,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272.2812, "net_reward_1_per_share": 0.0, "net_reward_2_per_share": 0.0, "net_risk_per_share": 272.5125, "net_rr": 0.0, "net_rr_1": 0.0, "net_rr_2": 0.0, "net_stop_assumption": -0.2312, "net_target_1_assumption": -0.136, "net_target_2_assumption": -0.136, "normalized_atr_score": 100.0, "normalized_liquidity_score": 59.83, "normalized_momentum_score": 100, "normalized_quality_score": 87.95,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272.05,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272.05, "ticker": "PANW", "timestamp": "2026-06-08T00:27:00", "warnings": ["Target ATR feasibility unavailable."]}</t>
        </is>
      </c>
    </row>
    <row r="5">
      <c r="A5" t="inlineStr">
        <is>
          <t>2026-06-08T00:27:00</t>
        </is>
      </c>
      <c r="B5" t="inlineStr">
        <is>
          <t>KLAC</t>
        </is>
      </c>
      <c r="C5" t="inlineStr">
        <is>
          <t>No Trade</t>
        </is>
      </c>
      <c r="D5" t="n">
        <v>0</v>
      </c>
      <c r="E5" t="n">
        <v>1929.2</v>
      </c>
      <c r="H5" t="n">
        <v>0</v>
      </c>
      <c r="K5" t="n">
        <v>0</v>
      </c>
      <c r="L5" t="inlineStr">
        <is>
          <t>No clean technical setup detected. Price in middle of value area or poor risk/reward.</t>
        </is>
      </c>
      <c r="M5" t="inlineStr">
        <is>
          <t>SKIP</t>
        </is>
      </c>
      <c r="N5" t="inlineStr">
        <is>
          <t>SKIP: No Trade result. Market regime NEUTRAL; sector STRONG; net R/R 0.00.</t>
        </is>
      </c>
      <c r="O5" t="inlineStr">
        <is>
          <t>KLAC
No Trade
0.00
score
Price
1929.20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1745.04
Fib Zone
1720.95 - 1769.14
Swing Low
1643.90
Swing High
1908.67
Click chart to open full size</t>
        </is>
      </c>
      <c r="P5" t="inlineStr">
        <is>
          <t>C:\Users\User\Documents\Codex\2026-05-29\adva-mo-project-orion-https-github\work\market-lens-scanner\agent_results\charts\market_lens_agent_20260608_002548_klac.png</t>
        </is>
      </c>
      <c r="Q5" t="inlineStr">
        <is>
          <t>Smart Universe: broad liquid US universe, diversified by sector | Sector: Semiconductors - Strong (79/100); SMH sector regime is strong: 44.5% 3m return, 35.4% vs SPY | Setup: No Trade; score 0.00; R/R 0.00x; price 1929.20 | Market: NEUTRAL; Sector regime: STRONG; Net R/R: 0.00; Factors: AI / Semiconductors, Semiconductors | Agent action: SKIP - SKIP: No Trade result. Market regime NEUTRAL; sector STRONG; net R/R 0.00.</t>
        </is>
      </c>
      <c r="R5" t="inlineStr">
        <is>
          <t>{"adjusted_cash_out": 0.0, "adjusted_position_size": 0, "adjusted_risk_amount": 0.0, "ask": 0.0, "bid": 0.0, "buy_zone_high": null, "buy_zone_low": null, "cash_available": 100000.0, "company_name": "KLA Corporation", "correlation_warning": false, "days_to_earnings": 38, "earnings_blackout": false, "earnings_date": "2026-07-30T00:00:00", "estimated_fees": 0.0, "estimated_slippage": 2.7009, "estimated_spread": 0.5788, "executable_entry": 1929.2,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1929.2, "gross_rr": 0.0, "gross_rr_1": 0.0, "gross_rr_2": 0.0, "gross_rr_decision": 0.0, "highest_correlation_ticker": "", "highest_correlation_value": null, "initial_action": "SKIP", "market_cap": 252006607134.9,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1930.8398, "net_reward_1_per_share": 0.0, "net_reward_2_per_share": 0.0, "net_risk_per_share": 1932.4796, "net_rr": 0.0, "net_rr_1": 0.0, "net_rr_2": 0.0, "net_stop_assumption": -1.6398, "net_target_1_assumption": -0.9646, "net_target_2_assumption": -0.9646, "normalized_atr_score": 97.97, "normalized_liquidity_score": 51.67, "normalized_momentum_score": 100, "normalized_quality_score": 84.99,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1929.2,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1929.2, "ticker": "KLAC", "timestamp": "2026-06-08T00:27:00", "warnings": ["Target ATR feasibility unavailable."]}</t>
        </is>
      </c>
    </row>
    <row r="6">
      <c r="A6" t="inlineStr">
        <is>
          <t>2026-06-08T00:27:00</t>
        </is>
      </c>
      <c r="B6" t="inlineStr">
        <is>
          <t>ORCL</t>
        </is>
      </c>
      <c r="C6" t="inlineStr">
        <is>
          <t>No Trade</t>
        </is>
      </c>
      <c r="D6" t="n">
        <v>0</v>
      </c>
      <c r="E6" t="n">
        <v>213.68</v>
      </c>
      <c r="H6" t="n">
        <v>0</v>
      </c>
      <c r="K6" t="n">
        <v>0</v>
      </c>
      <c r="L6" t="inlineStr">
        <is>
          <t>No clean technical setup detected. Price in middle of value area or poor risk/reward.</t>
        </is>
      </c>
      <c r="M6" t="inlineStr">
        <is>
          <t>SKIP</t>
        </is>
      </c>
      <c r="N6" t="inlineStr">
        <is>
          <t>SKIP: No Trade result. Market regime NEUTRAL; sector STRONG; net R/R 0.00.</t>
        </is>
      </c>
      <c r="O6" t="inlineStr">
        <is>
          <t>ORCL
No Trade
0.00
score
Price
213.68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175.76
Fib Zone
172.62 - 178.89
Swing Low
160.33
Swing High
200.71
Click chart to open full size</t>
        </is>
      </c>
      <c r="P6" t="inlineStr">
        <is>
          <t>C:\Users\User\Documents\Codex\2026-05-29\adva-mo-project-orion-https-github\work\market-lens-scanner\agent_results\charts\market_lens_agent_20260608_002548_orcl.png</t>
        </is>
      </c>
      <c r="Q6" t="inlineStr">
        <is>
          <t>Smart Universe: broad liquid US universe, diversified by sector | Sector: Technology - Strong (76/100); XLK sector regime is strong: 29.2% 3m return, 20.1% vs SPY | Setup: No Trade; score 0.00; R/R 0.00x; price 213.68 | Market: NEUTRAL; Sector regime: STRONG; Net R/R: 0.00; Factors: Technology | Agent action: SKIP - SKIP: No Trade result. Market regime NEUTRAL; sector STRONG; net R/R 0.00.</t>
        </is>
      </c>
      <c r="R6" t="inlineStr">
        <is>
          <t>{"adjusted_cash_out": 0.0, "adjusted_position_size": 0, "adjusted_risk_amount": 0.0, "ask": 0.0, "bid": 0.0, "buy_zone_high": null, "buy_zone_low": null, "cash_available": 100000.0, "company_name": "Oracle Corporation", "correlation_warning": false, "days_to_earnings": 2, "earnings_blackout": true, "earnings_date": "2026-06-10T00:00:00", "estimated_fees": 0.0, "estimated_slippage": 0.2992, "estimated_spread": 0.0641, "executable_entry": 213.68, "execution_liquidity_bucket": "large_liquid", "factor_exposure_after": {}, "factor_exposure_before": {}, "factor_exposure_cap": 7000.0, "factor_exposure_limit_exceeded": false, "factor_tags": ["Technology"], "final_action": "SKIP", "gross_reward_1_per_share": 0.0, "gross_reward_2_per_share": 0.0, "gross_risk_per_share": 213.68, "gross_rr": 0.0, "gross_rr_1": 0.0, "gross_rr_2": 0.0, "gross_rr_decision": 0.0, "highest_correlation_ticker": "", "highest_correlation_value": null, "initial_action": "SKIP", "market_cap": 614553488215.21,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213.8616, "net_reward_1_per_share": 0.0, "net_reward_2_per_share": 0.0, "net_risk_per_share": 214.0433, "net_rr": 0.0, "net_rr_1": 0.0, "net_rr_2": 0.0, "net_stop_assumption": -0.1816, "net_target_1_assumption": -0.1068, "net_target_2_assumption": -0.1068, "normalized_atr_score": 88.94, "normalized_liquidity_score": 75.35, "normalized_momentum_score": 100, "normalized_quality_score": 89.84,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213.68,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213.68, "ticker": "ORCL", "timestamp": "2026-06-08T00:27:00", "warnings": ["Target ATR feasibility unavailable.", "Earnings blackout active."]}</t>
        </is>
      </c>
    </row>
    <row r="7">
      <c r="A7" t="inlineStr">
        <is>
          <t>2026-06-08T00:27:00</t>
        </is>
      </c>
      <c r="B7" t="inlineStr">
        <is>
          <t>CRWD</t>
        </is>
      </c>
      <c r="C7" t="inlineStr">
        <is>
          <t>No Trade</t>
        </is>
      </c>
      <c r="D7" t="n">
        <v>0</v>
      </c>
      <c r="E7" t="n">
        <v>671.02</v>
      </c>
      <c r="H7" t="n">
        <v>0</v>
      </c>
      <c r="K7" t="n">
        <v>0</v>
      </c>
      <c r="L7" t="inlineStr">
        <is>
          <t>No clean technical setup detected. Price in middle of value area or poor risk/reward.</t>
        </is>
      </c>
      <c r="M7" t="inlineStr">
        <is>
          <t>SKIP</t>
        </is>
      </c>
      <c r="N7" t="inlineStr">
        <is>
          <t>SKIP: No Trade result. Market regime NEUTRAL; sector STRONG; net R/R 0.00.</t>
        </is>
      </c>
      <c r="O7" t="inlineStr">
        <is>
          <t>CRWD
No Trade
0.00
score
Price
671.02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404.00
Fib Zone
395.22 - 412.77
Swing Low
364.47
Swing High
467.95
Click chart to open full size</t>
        </is>
      </c>
      <c r="P7" t="inlineStr">
        <is>
          <t>C:\Users\User\Documents\Codex\2026-05-29\adva-mo-project-orion-https-github\work\market-lens-scanner\agent_results\charts\market_lens_agent_20260608_002548_crwd.png</t>
        </is>
      </c>
      <c r="Q7" t="inlineStr">
        <is>
          <t>Smart Universe: broad liquid US universe, diversified by sector | Sector: Technology - Strong (76/100); XLK sector regime is strong: 29.2% 3m return, 20.1% vs SPY | Setup: No Trade; score 0.00; R/R 0.00x; price 671.02 | Market: NEUTRAL; Sector regime: STRONG; Net R/R: 0.00; Factors: High Beta Growth, Technology | Agent action: SKIP - SKIP: No Trade result. Market regime NEUTRAL; sector STRONG; net R/R 0.00.</t>
        </is>
      </c>
      <c r="R7" t="inlineStr">
        <is>
          <t>{"adjusted_cash_out": 0.0, "adjusted_position_size": 0, "adjusted_risk_amount": 0.0, "ask": 0.0, "bid": 0.0, "buy_zone_high": null, "buy_zone_low": null, "cash_available": 100000.0, "company_name": "CrowdStrike Holdings, Inc.", "correlation_warning": false, "days_to_earnings": 61, "earnings_blackout": false, "earnings_date": "2026-09-01T00:00:00", "estimated_fees": 0.0, "estimated_slippage": 0.9394, "estimated_spread": 0.2013, "executable_entry": 671.02, "execution_liquidity_bucket": "large_liquid", "factor_exposure_after": {}, "factor_exposure_before": {}, "factor_exposure_cap": 7000.0, "factor_exposure_limit_exceeded": false, "factor_tags": ["High Beta Growth", "Technology"], "final_action": "SKIP", "gross_reward_1_per_share": 0.0, "gross_reward_2_per_share": 0.0, "gross_risk_per_share": 671.02, "gross_rr": 0.0, "gross_rr_1": 0.0, "gross_rr_2": 0.0, "gross_rr_decision": 0.0, "highest_correlation_ticker": "", "highest_correlation_value": null, "initial_action": "SKIP", "market_cap": 170818090488.37,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671.5904, "net_reward_1_per_share": 0.0, "net_reward_2_per_share": 0.0, "net_risk_per_share": 672.1607, "net_rr": 0.0, "net_rr_1": 0.0, "net_rr_2": 0.0, "net_stop_assumption": -0.5704, "net_target_1_assumption": -0.3355, "net_target_2_assumption": -0.3355, "normalized_atr_score": 100.0, "normalized_liquidity_score": 94.37, "normalized_momentum_score": 100, "normalized_quality_score": 98.31,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671.02,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671.02, "ticker": "CRWD", "timestamp": "2026-06-08T00:27:00", "warnings": ["Target ATR feasibility unavailable."]}</t>
        </is>
      </c>
    </row>
    <row r="8">
      <c r="A8" t="inlineStr">
        <is>
          <t>2026-06-08T00:27:00</t>
        </is>
      </c>
      <c r="B8" t="inlineStr">
        <is>
          <t>MU</t>
        </is>
      </c>
      <c r="C8" t="inlineStr">
        <is>
          <t>No Trade</t>
        </is>
      </c>
      <c r="D8" t="n">
        <v>0</v>
      </c>
      <c r="E8" t="n">
        <v>864.01</v>
      </c>
      <c r="H8" t="n">
        <v>0</v>
      </c>
      <c r="K8" t="n">
        <v>0</v>
      </c>
      <c r="L8" t="inlineStr">
        <is>
          <t>No clean technical setup detected. Price in middle of value area or poor risk/reward.</t>
        </is>
      </c>
      <c r="M8" t="inlineStr">
        <is>
          <t>SKIP</t>
        </is>
      </c>
      <c r="N8" t="inlineStr">
        <is>
          <t>SKIP: No Trade result. Market regime NEUTRAL; sector STRONG; net R/R 0.00.</t>
        </is>
      </c>
      <c r="O8" t="inlineStr">
        <is>
          <t>MU
No Trade
0.00
score
Price
864.01
R/R
0.00x
Grade
No Trade
Quality
0%
Buy Zone
-
Stop
0.00
Targets
-
Skip
Mixed
Relative Strength
Leadership
100%
Trend Quality
Clean uptrend
86%
Liquidity
Institutional liquidity
100%
Volume
Confirmed
100%
No actionable setup detected.
No clean technical setup detected. Price in middle of value area or poor risk/reward.
Fib 61.8
505.23
Fib Zone
488.78 - 521.68
Swing Low
311.49
Swing High
818.67
Click chart to open full size</t>
        </is>
      </c>
      <c r="P8" t="inlineStr">
        <is>
          <t>C:\Users\User\Documents\Codex\2026-05-29\adva-mo-project-orion-https-github\work\market-lens-scanner\agent_results\charts\market_lens_agent_20260608_002548_mu.png</t>
        </is>
      </c>
      <c r="Q8" t="inlineStr">
        <is>
          <t>Smart Universe: broad liquid US universe, diversified by sector | Sector: Semiconductors - Strong (79/100); SMH sector regime is strong: 44.5% 3m return, 35.4% vs SPY | Setup: No Trade; score 0.00; R/R 0.00x; price 864.01 | Market: NEUTRAL; Sector regime: STRONG; Net R/R: 0.00; Factors: AI / Semiconductors, Semiconductors | Agent action: SKIP - SKIP: No Trade result. Market regime NEUTRAL; sector STRONG; net R/R 0.00.</t>
        </is>
      </c>
      <c r="R8" t="inlineStr">
        <is>
          <t>{"adjusted_cash_out": 0.0, "adjusted_position_size": 0, "adjusted_risk_amount": 0.0, "ask": 0.0, "bid": 0.0, "buy_zone_high": null, "buy_zone_low": null, "cash_available": 100000.0, "company_name": "Micron Technology, Inc.", "correlation_warning": false, "days_to_earnings": 12, "earnings_blackout": false, "earnings_date": "2026-06-24T00:00:00", "estimated_fees": 0.0, "estimated_slippage": 1.3911, "estimated_spread": 0.2592, "executable_entry": 864.01,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864.01, "gross_rr": 0.0, "gross_rr_1": 0.0, "gross_rr_2": 0.0, "gross_rr_decision": 0.0, "highest_correlation_ticker": "", "highest_correlation_value": null, "initial_action": "SKIP", "market_cap": 974373508417.54,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864.8351, "net_reward_1_per_share": 0.0, "net_reward_2_per_share": 0.0, "net_risk_per_share": 865.6603, "net_rr": 0.0, "net_rr_1": 0.0, "net_rr_2": 0.0, "net_stop_assumption": -0.8251, "net_target_1_assumption": -0.4774, "net_target_2_assumption": -0.4774, "normalized_atr_score": 70.68, "normalized_liquidity_score": 100, "normalized_momentum_score": 100, "normalized_quality_score": 92.67,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864.01,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864.01, "ticker": "MU", "timestamp": "2026-06-08T00:27:00", "warnings": ["Target ATR feasibility unavailable."]}</t>
        </is>
      </c>
    </row>
    <row r="9">
      <c r="A9" t="inlineStr">
        <is>
          <t>2026-06-08T00:27:00</t>
        </is>
      </c>
      <c r="B9" t="inlineStr">
        <is>
          <t>UNH</t>
        </is>
      </c>
      <c r="C9" t="inlineStr">
        <is>
          <t>No Trade</t>
        </is>
      </c>
      <c r="D9" t="n">
        <v>0</v>
      </c>
      <c r="E9" t="n">
        <v>399.47</v>
      </c>
      <c r="H9" t="n">
        <v>0</v>
      </c>
      <c r="K9" t="n">
        <v>0</v>
      </c>
      <c r="L9" t="inlineStr">
        <is>
          <t>No clean technical setup detected. Price in middle of value area or poor risk/reward.</t>
        </is>
      </c>
      <c r="M9" t="inlineStr">
        <is>
          <t>SKIP</t>
        </is>
      </c>
      <c r="N9" t="inlineStr">
        <is>
          <t>SKIP: No Trade result. Market regime NEUTRAL; sector NEUTRAL; net R/R 0.00.</t>
        </is>
      </c>
      <c r="O9" t="inlineStr">
        <is>
          <t>UNH
No Trade
0.00
score
Price
399.47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312.57
Fib Zone
310.10 - 315.05
Swing Low
255.97
Swing High
404.15
Click chart to open full size</t>
        </is>
      </c>
      <c r="P9" t="inlineStr">
        <is>
          <t>C:\Users\User\Documents\Codex\2026-05-29\adva-mo-project-orion-https-github\work\market-lens-scanner\agent_results\charts\market_lens_agent_20260608_002548_unh.png</t>
        </is>
      </c>
      <c r="Q9" t="inlineStr">
        <is>
          <t>Smart Universe: broad liquid US universe, diversified by sector | Sector: Healthcare - Neutral (66/100); XLV sector regime is neutral: -0.4% 3m return, -9.4% vs SPY | Setup: No Trade; score 0.00; R/R 0.00x; price 399.47 | Market: NEUTRAL; Sector regime: NEUTRAL; Net R/R: 0.00; Factors: Defensive, Healthcare | Agent action: SKIP - SKIP: No Trade result. Market regime NEUTRAL; sector NEUTRAL; net R/R 0.00.</t>
        </is>
      </c>
      <c r="R9" t="inlineStr">
        <is>
          <t>{"adjusted_cash_out": 0.0, "adjusted_position_size": 0, "adjusted_risk_amount": 0.0, "ask": 0.0, "bid": 0.0, "buy_zone_high": null, "buy_zone_low": null, "cash_available": 100000.0, "company_name": "UnitedHealth Group Incorporated", "correlation_warning": false, "days_to_earnings": 36, "earnings_blackout": false, "earnings_date": "2026-07-28T00:00:00", "estimated_fees": 0.0, "estimated_slippage": 0.5593, "estimated_spread": 0.1198, "executable_entry": 399.47,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399.47, "gross_rr": 0.0, "gross_rr_1": 0.0, "gross_rr_2": 0.0, "gross_rr_decision": 0.0, "highest_correlation_ticker": "", "highest_correlation_value": null, "initial_action": "SKIP", "market_cap": 362776446174.45,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399.8095, "net_reward_1_per_share": 0.0, "net_reward_2_per_share": 0.0, "net_risk_per_share": 400.1491, "net_rr": 0.0, "net_rr_1": 0.0, "net_rr_2": 0.0, "net_stop_assumption": -0.3395, "net_target_1_assumption": -0.1997, "net_target_2_assumption": -0.1997, "normalized_atr_score": 100.0, "normalized_liquidity_score": 61.49, "normalized_momentum_score": 100, "normalized_quality_score": 88.45,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399.47,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399.47, "ticker": "UNH", "timestamp": "2026-06-08T00:27:00", "warnings": ["Target ATR feasibility unavailable."]}</t>
        </is>
      </c>
    </row>
    <row r="10">
      <c r="A10" t="inlineStr">
        <is>
          <t>2026-06-08T00:27:00</t>
        </is>
      </c>
      <c r="B10" t="inlineStr">
        <is>
          <t>MS</t>
        </is>
      </c>
      <c r="C10" t="inlineStr">
        <is>
          <t>No Trade</t>
        </is>
      </c>
      <c r="D10" t="n">
        <v>0</v>
      </c>
      <c r="E10" t="n">
        <v>211.93</v>
      </c>
      <c r="H10" t="n">
        <v>0</v>
      </c>
      <c r="K10" t="n">
        <v>0</v>
      </c>
      <c r="L10" t="inlineStr">
        <is>
          <t>No clean technical setup detected. Price in middle of value area or poor risk/reward.</t>
        </is>
      </c>
      <c r="M10" t="inlineStr">
        <is>
          <t>SKIP</t>
        </is>
      </c>
      <c r="N10" t="inlineStr">
        <is>
          <t>SKIP: No Trade result. Market regime NEUTRAL; sector STRONG; net R/R 0.00.</t>
        </is>
      </c>
      <c r="O10" t="inlineStr">
        <is>
          <t>MS
No Trade
0.00
score
Price
211.93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167.86
Fib Zone
166.53 - 169.19
Swing Low
151.98
Swing High
193.55
Click chart to open full size</t>
        </is>
      </c>
      <c r="P10" t="inlineStr">
        <is>
          <t>C:\Users\User\Documents\Codex\2026-05-29\adva-mo-project-orion-https-github\work\market-lens-scanner\agent_results\charts\market_lens_agent_20260608_002548_ms.png</t>
        </is>
      </c>
      <c r="Q10" t="inlineStr">
        <is>
          <t>Smart Universe: broad liquid US universe, diversified by sector | Sector: Financials - Strong (70/100); XLF sector regime is strong: 4.4% 3m return, -4.6% vs SPY | Setup: No Trade; score 0.00; R/R 0.00x; price 211.93 | Market: NEUTRAL; Sector regime: STRONG; Net R/R: 0.00; Factors: Financials | Agent action: SKIP - SKIP: No Trade result. Market regime NEUTRAL; sector STRONG; net R/R 0.00.</t>
        </is>
      </c>
      <c r="R10" t="inlineStr">
        <is>
          <t>{"adjusted_cash_out": 0.0, "adjusted_position_size": 0, "adjusted_risk_amount": 0.0, "ask": 0.0, "bid": 0.0, "buy_zone_high": null, "buy_zone_low": null, "cash_available": 100000.0, "company_name": "Morgan Stanley", "correlation_warning": false, "days_to_earnings": 27, "earnings_blackout": false, "earnings_date": "2026-07-15T00:00:00", "estimated_fees": 0.0, "estimated_slippage": 0.2967, "estimated_spread": 0.0636, "executable_entry": 211.93,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211.93, "gross_rr": 0.0, "gross_rr_1": 0.0, "gross_rr_2": 0.0, "gross_rr_decision": 0.0, "highest_correlation_ticker": "", "highest_correlation_value": null, "initial_action": "SKIP", "market_cap": 334273959714.43,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212.1101, "net_reward_1_per_share": 0.0, "net_reward_2_per_share": 0.0, "net_risk_per_share": 212.2903, "net_rr": 0.0, "net_rr_1": 0.0, "net_rr_2": 0.0, "net_stop_assumption": -0.1801, "net_target_1_assumption": -0.106, "net_target_2_assumption": -0.106, "normalized_atr_score": 100.0, "normalized_liquidity_score": 39.49, "normalized_momentum_score": 100, "normalized_quality_score": 81.85,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211.93,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211.93, "ticker": "MS", "timestamp": "2026-06-08T00:27:00", "warnings": ["Target ATR feasibility unavailable."]}</t>
        </is>
      </c>
    </row>
    <row r="11">
      <c r="A11" t="inlineStr">
        <is>
          <t>2026-06-08T00:27:00</t>
        </is>
      </c>
      <c r="B11" t="inlineStr">
        <is>
          <t>SMCI</t>
        </is>
      </c>
      <c r="C11" t="inlineStr">
        <is>
          <t>No Trade</t>
        </is>
      </c>
      <c r="D11" t="n">
        <v>0</v>
      </c>
      <c r="E11" t="n">
        <v>41.64</v>
      </c>
      <c r="H11" t="n">
        <v>0</v>
      </c>
      <c r="K11" t="n">
        <v>0</v>
      </c>
      <c r="L11" t="inlineStr">
        <is>
          <t>No clean technical setup detected. Price in middle of value area or poor risk/reward.</t>
        </is>
      </c>
      <c r="M11" t="inlineStr">
        <is>
          <t>SKIP</t>
        </is>
      </c>
      <c r="N11" t="inlineStr">
        <is>
          <t>SKIP: No Trade result. Market regime NEUTRAL; sector STRONG; net R/R 0.00.</t>
        </is>
      </c>
      <c r="O11" t="inlineStr">
        <is>
          <t>SMCI
No Trade
0.00
score
Price
41.64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29.63
Fib Zone
28.83 - 30.42
Swing Low
25.46
Swing High
36.37
Click chart to open full size</t>
        </is>
      </c>
      <c r="P11" t="inlineStr">
        <is>
          <t>C:\Users\User\Documents\Codex\2026-05-29\adva-mo-project-orion-https-github\work\market-lens-scanner\agent_results\charts\market_lens_agent_20260608_002548_smci.png</t>
        </is>
      </c>
      <c r="Q11" t="inlineStr">
        <is>
          <t>Smart Universe: broad liquid US universe, diversified by sector | Sector: Semiconductors - Strong (79/100); SMH sector regime is strong: 44.5% 3m return, 35.4% vs SPY | Setup: No Trade; score 0.00; R/R 0.00x; price 41.64 | Market: NEUTRAL; Sector regime: STRONG; Net R/R: 0.00; Factors: AI / Semiconductors, High Beta Growth, Semiconductors | Agent action: SKIP - SKIP: No Trade result. Market regime NEUTRAL; sector STRONG; net R/R 0.00.</t>
        </is>
      </c>
      <c r="R11" t="inlineStr">
        <is>
          <t>{"adjusted_cash_out": 0.0, "adjusted_position_size": 0, "adjusted_risk_amount": 0.0, "ask": 0.0, "bid": 0.0, "buy_zone_high": null, "buy_zone_low": null, "cash_available": 100000.0, "company_name": "Super Micro Computer, Inc.", "correlation_warning": false, "days_to_earnings": 41, "earnings_blackout": false, "earnings_date": "2026-08-04T00:00:00", "estimated_fees": 0.0, "estimated_slippage": 0.067, "estimated_spread": 0.0125, "executable_entry": 41.64, "execution_liquidity_bucket": "large_liquid", "factor_exposure_after": {}, "factor_exposure_before": {}, "factor_exposure_cap": 7000.0, "factor_exposure_limit_exceeded": false, "factor_tags": ["AI / Semiconductors", "High Beta Growth", "Semiconductors"], "final_action": "SKIP", "gross_reward_1_per_share": 0.0, "gross_reward_2_per_share": 0.0, "gross_risk_per_share": 41.64, "gross_rr": 0.0, "gross_rr_1": 0.0, "gross_rr_2": 0.0, "gross_rr_decision": 0.0, "highest_correlation_ticker": "", "highest_correlation_value": null, "initial_action": "SKIP", "market_cap": 25043065223.4,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41.6798, "net_reward_1_per_share": 0.0, "net_reward_2_per_share": 0.0, "net_risk_per_share": 41.7195, "net_rr": 0.0, "net_rr_1": 0.0, "net_rr_2": 0.0, "net_stop_assumption": -0.0398, "net_target_1_assumption": -0.023, "net_target_2_assumption": -0.023, "normalized_atr_score": 80.49, "normalized_liquidity_score": 81.49, "normalized_momentum_score": 100, "normalized_quality_score": 89.57,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41.64,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41.64, "ticker": "SMCI", "timestamp": "2026-06-08T00:27:00", "warnings": ["Target ATR feasibility unavailable."]}</t>
        </is>
      </c>
    </row>
    <row r="12">
      <c r="A12" t="inlineStr">
        <is>
          <t>2026-06-08T00:27:00</t>
        </is>
      </c>
      <c r="B12" t="inlineStr">
        <is>
          <t>CAT</t>
        </is>
      </c>
      <c r="C12" t="inlineStr">
        <is>
          <t>No Trade</t>
        </is>
      </c>
      <c r="D12" t="n">
        <v>0</v>
      </c>
      <c r="E12" t="n">
        <v>904.28</v>
      </c>
      <c r="H12" t="n">
        <v>0</v>
      </c>
      <c r="K12" t="n">
        <v>0</v>
      </c>
      <c r="L12" t="inlineStr">
        <is>
          <t>No clean technical setup detected. Price in middle of value area or poor risk/reward.</t>
        </is>
      </c>
      <c r="M12" t="inlineStr">
        <is>
          <t>SKIP</t>
        </is>
      </c>
      <c r="N12" t="inlineStr">
        <is>
          <t>SKIP: No Trade result. Market regime NEUTRAL; sector NEUTRAL; net R/R 0.00.</t>
        </is>
      </c>
      <c r="O12" t="inlineStr">
        <is>
          <t>CAT
No Trade
0.00
score
Price
904.28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764.64
Fib Zone
757.07 - 772.21
Swing Low
661.59
Swing High
931.35
Click chart to open full size</t>
        </is>
      </c>
      <c r="P12" t="inlineStr">
        <is>
          <t>C:\Users\User\Documents\Codex\2026-05-29\adva-mo-project-orion-https-github\work\market-lens-scanner\agent_results\charts\market_lens_agent_20260608_002548_cat.png</t>
        </is>
      </c>
      <c r="Q12" t="inlineStr">
        <is>
          <t>Smart Universe: broad liquid US universe, diversified by sector | Sector: Industrials - Neutral (67/100); XLI sector regime is neutral: 2.2% 3m return, -6.9% vs SPY | Setup: No Trade; score 0.00; R/R 0.00x; price 904.28 | Market: NEUTRAL; Sector regime: NEUTRAL; Net R/R: 0.00; Factors: Industrials | Agent action: SKIP - SKIP: No Trade result. Market regime NEUTRAL; sector NEUTRAL; net R/R 0.00.</t>
        </is>
      </c>
      <c r="R12" t="inlineStr">
        <is>
          <t>{"adjusted_cash_out": 0.0, "adjusted_position_size": 0, "adjusted_risk_amount": 0.0, "ask": 0.0, "bid": 0.0, "buy_zone_high": null, "buy_zone_low": null, "cash_available": 100000.0, "company_name": "Caterpillar Inc.", "correlation_warning": false, "days_to_earnings": 41, "earnings_blackout": false, "earnings_date": "2026-08-04T00:00:00", "estimated_fees": 0.0, "estimated_slippage": 1.266, "estimated_spread": 0.2713, "executable_entry": 904.28,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904.28, "gross_rr": 0.0, "gross_rr_1": 0.0, "gross_rr_2": 0.0, "gross_rr_decision": 0.0, "highest_correlation_ticker": "", "highest_correlation_value": null, "initial_action": "SKIP", "market_cap": 416504131881.15,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905.0486, "net_reward_1_per_share": 0.0, "net_reward_2_per_share": 0.0, "net_risk_per_share": 905.8173, "net_rr": 0.0, "net_rr_1": 0.0, "net_rr_2": 0.0, "net_stop_assumption": -0.7686, "net_target_1_assumption": -0.4521, "net_target_2_assumption": -0.4521, "normalized_atr_score": 100.0, "normalized_liquidity_score": 56.89, "normalized_momentum_score": 100, "normalized_quality_score": 87.07,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904.28,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904.28, "ticker": "CAT", "timestamp": "2026-06-08T00:27:00", "warnings": ["Target ATR feasibility unavailable."]}</t>
        </is>
      </c>
    </row>
    <row r="13">
      <c r="A13" t="inlineStr">
        <is>
          <t>2026-06-08T00:27:00</t>
        </is>
      </c>
      <c r="B13" t="inlineStr">
        <is>
          <t>GS</t>
        </is>
      </c>
      <c r="C13" t="inlineStr">
        <is>
          <t>No Trade</t>
        </is>
      </c>
      <c r="D13" t="n">
        <v>0</v>
      </c>
      <c r="E13" t="n">
        <v>1038.68</v>
      </c>
      <c r="H13" t="n">
        <v>0</v>
      </c>
      <c r="K13" t="n">
        <v>0</v>
      </c>
      <c r="L13" t="inlineStr">
        <is>
          <t>No clean technical setup detected. Price in middle of value area or poor risk/reward.</t>
        </is>
      </c>
      <c r="M13" t="inlineStr">
        <is>
          <t>SKIP</t>
        </is>
      </c>
      <c r="N13" t="inlineStr">
        <is>
          <t>SKIP: No Trade result. Market regime NEUTRAL; sector STRONG; net R/R 0.00.</t>
        </is>
      </c>
      <c r="O13" t="inlineStr">
        <is>
          <t>GS
No Trade
0.00
score
Price
1038.68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842.30
Fib Zone
834.41 - 850.20
Swing Low
777.08
Swing High
947.83
Click chart to open full size</t>
        </is>
      </c>
      <c r="P13" t="inlineStr">
        <is>
          <t>C:\Users\User\Documents\Codex\2026-05-29\adva-mo-project-orion-https-github\work\market-lens-scanner\agent_results\charts\market_lens_agent_20260608_002548_gs.png</t>
        </is>
      </c>
      <c r="Q13" t="inlineStr">
        <is>
          <t>Smart Universe: broad liquid US universe, diversified by sector | Sector: Financials - Strong (70/100); XLF sector regime is strong: 4.4% 3m return, -4.6% vs SPY | Setup: No Trade; score 0.00; R/R 0.00x; price 1038.68 | Market: NEUTRAL; Sector regime: STRONG; Net R/R: 0.00; Factors: Financials | Agent action: SKIP - SKIP: No Trade result. Market regime NEUTRAL; sector STRONG; net R/R 0.00.</t>
        </is>
      </c>
      <c r="R13" t="inlineStr">
        <is>
          <t>{"adjusted_cash_out": 0.0, "adjusted_position_size": 0, "adjusted_risk_amount": 0.0, "ask": 0.0, "bid": 0.0, "buy_zone_high": null, "buy_zone_low": null, "cash_available": 100000.0, "company_name": "Goldman Sachs Group, Inc.", "correlation_warning": false, "days_to_earnings": 26, "earnings_blackout": false, "earnings_date": "2026-07-14T00:00:00", "estimated_fees": 0.0, "estimated_slippage": 1.4542, "estimated_spread": 0.3116, "executable_entry": 1038.68,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1038.68, "gross_rr": 0.0, "gross_rr_1": 0.0, "gross_rr_2": 0.0, "gross_rr_decision": 0.0, "highest_correlation_ticker": "", "highest_correlation_value": null, "initial_action": "SKIP", "market_cap": 306418323889.41,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1039.5629, "net_reward_1_per_share": 0.0, "net_reward_2_per_share": 0.0, "net_risk_per_share": 1040.4458, "net_rr": 0.0, "net_rr_1": 0.0, "net_rr_2": 0.0, "net_stop_assumption": -0.8829, "net_target_1_assumption": -0.5193, "net_target_2_assumption": -0.5193, "normalized_atr_score": 100.0, "normalized_liquidity_score": 55.06, "normalized_momentum_score": 100, "normalized_quality_score": 86.52,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1038.68,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1038.68, "ticker": "GS", "timestamp": "2026-06-08T00:27:00", "warnings": ["Target ATR feasibility unavailable."]}</t>
        </is>
      </c>
    </row>
    <row r="14">
      <c r="A14" t="inlineStr">
        <is>
          <t>2026-06-08T00:27:00</t>
        </is>
      </c>
      <c r="B14" t="inlineStr">
        <is>
          <t>URI</t>
        </is>
      </c>
      <c r="C14" t="inlineStr">
        <is>
          <t>No Trade</t>
        </is>
      </c>
      <c r="D14" t="n">
        <v>0</v>
      </c>
      <c r="E14" t="n">
        <v>1067.77</v>
      </c>
      <c r="H14" t="n">
        <v>0</v>
      </c>
      <c r="K14" t="n">
        <v>0</v>
      </c>
      <c r="L14" t="inlineStr">
        <is>
          <t>No clean technical setup detected. Price in middle of value area or poor risk/reward.</t>
        </is>
      </c>
      <c r="M14" t="inlineStr">
        <is>
          <t>SKIP</t>
        </is>
      </c>
      <c r="N14" t="inlineStr">
        <is>
          <t>SKIP: No Trade result. Market regime NEUTRAL; sector NEUTRAL; net R/R 0.00.</t>
        </is>
      </c>
      <c r="O14" t="inlineStr">
        <is>
          <t>URI
No Trade
0.00
score
Price
1067.77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819.18
Fib Zone
811.20 - 827.15
Swing Low
707.99
Swing High
999.06
Click chart to open full size</t>
        </is>
      </c>
      <c r="P14" t="inlineStr">
        <is>
          <t>C:\Users\User\Documents\Codex\2026-05-29\adva-mo-project-orion-https-github\work\market-lens-scanner\agent_results\charts\market_lens_agent_20260608_002548_uri.png</t>
        </is>
      </c>
      <c r="Q14" t="inlineStr">
        <is>
          <t>Smart Universe: broad liquid US universe, diversified by sector | Sector: Industrials - Neutral (67/100); XLI sector regime is neutral: 2.2% 3m return, -6.9% vs SPY | Setup: No Trade; score 0.00; R/R 0.00x; price 1067.77 | Market: NEUTRAL; Sector regime: NEUTRAL; Net R/R: 0.00; Factors: Industrials | Agent action: SKIP - SKIP: No Trade result. Market regime NEUTRAL; sector NEUTRAL; net R/R 0.00.</t>
        </is>
      </c>
      <c r="R14" t="inlineStr">
        <is>
          <t>{"adjusted_cash_out": 0.0, "adjusted_position_size": 0, "adjusted_risk_amount": 0.0, "ask": 0.0, "bid": 0.0, "buy_zone_high": null, "buy_zone_low": null, "cash_available": 100000.0, "company_name": "United Rentals, Inc.", "correlation_warning": false, "days_to_earnings": 32, "earnings_blackout": false, "earnings_date": "2026-07-22T00:00:00", "estimated_fees": 0.0, "estimated_slippage": 3.2033, "estimated_spread": 0.8542, "executable_entry": 1067.77, "execution_liquidity_bucket": "mid_liquid",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1067.77, "gross_rr": 0.0, "gross_rr_1": 0.0, "gross_rr_2": 0.0, "gross_rr_decision": 0.0, "highest_correlation_ticker": "", "highest_correlation_value": null, "initial_action": "SKIP", "market_cap": 66892115391.46,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1069.7988, "net_reward_1_per_share": 0.0, "net_reward_2_per_share": 0.0, "net_risk_per_share": 1071.8275, "net_rr": 0.0, "net_rr_1": 0.0, "net_rr_2": 0.0, "net_stop_assumption": -2.0288, "net_target_1_assumption": -1.2279, "net_target_2_assumption": -1.2279, "normalized_atr_score": 100.0, "normalized_liquidity_score": 47.57, "normalized_momentum_score": 100, "normalized_quality_score": 84.27,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1067.77,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1067.77, "ticker": "URI", "timestamp": "2026-06-08T00:27:00", "warnings": ["Target ATR feasibility unavailable."]}</t>
        </is>
      </c>
    </row>
    <row r="15">
      <c r="A15" t="inlineStr">
        <is>
          <t>2026-06-08T00:27:00</t>
        </is>
      </c>
      <c r="B15" t="inlineStr">
        <is>
          <t>ASML</t>
        </is>
      </c>
      <c r="C15" t="inlineStr">
        <is>
          <t>No Trade</t>
        </is>
      </c>
      <c r="D15" t="n">
        <v>0</v>
      </c>
      <c r="E15" t="n">
        <v>1641.74</v>
      </c>
      <c r="H15" t="n">
        <v>0</v>
      </c>
      <c r="K15" t="n">
        <v>0</v>
      </c>
      <c r="L15" t="inlineStr">
        <is>
          <t>No clean technical setup detected. Price in middle of value area or poor risk/reward.</t>
        </is>
      </c>
      <c r="M15" t="inlineStr">
        <is>
          <t>SKIP</t>
        </is>
      </c>
      <c r="N15" t="inlineStr">
        <is>
          <t>SKIP: No Trade result. Market regime NEUTRAL; sector STRONG; net R/R 0.00.</t>
        </is>
      </c>
      <c r="O15" t="inlineStr">
        <is>
          <t>ASML
No Trade
0.00
score
Price
1641.74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1455.99
Fib Zone
1438.81 - 1473.16
Swing Low
1364.81
Swing High
1603.49
Click chart to open full size</t>
        </is>
      </c>
      <c r="P15" t="inlineStr">
        <is>
          <t>C:\Users\User\Documents\Codex\2026-05-29\adva-mo-project-orion-https-github\work\market-lens-scanner\agent_results\charts\market_lens_agent_20260608_002548_asml.png</t>
        </is>
      </c>
      <c r="Q15" t="inlineStr">
        <is>
          <t>Smart Universe: broad liquid US universe, diversified by sector | Sector: Semiconductors - Strong (79/100); SMH sector regime is strong: 44.5% 3m return, 35.4% vs SPY | Setup: No Trade; score 0.00; R/R 0.00x; price 1641.74 | Market: NEUTRAL; Sector regime: STRONG; Net R/R: 0.00; Factors: AI / Semiconductors, Semiconductors | Agent action: SKIP - SKIP: No Trade result. Market regime NEUTRAL; sector STRONG; net R/R 0.00.</t>
        </is>
      </c>
      <c r="R15" t="inlineStr">
        <is>
          <t>{"adjusted_cash_out": 0.0, "adjusted_position_size": 0, "adjusted_risk_amount": 0.0, "ask": 0.0, "bid": 0.0, "buy_zone_high": null, "buy_zone_low": null, "cash_available": 100000.0, "company_name": "ASML Holding N.V.", "correlation_warning": false, "days_to_earnings": 27, "earnings_blackout": false, "earnings_date": "2026-07-15T00:00:00", "estimated_fees": 0.0, "estimated_slippage": 2.2984, "estimated_spread": 0.4925, "executable_entry": 1641.74,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1641.74, "gross_rr": 0.0, "gross_rr_1": 0.0, "gross_rr_2": 0.0, "gross_rr_decision": 0.0, "highest_correlation_ticker": "", "highest_correlation_value": null, "initial_action": "SKIP", "market_cap": 632755593573.26,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1643.1355, "net_reward_1_per_share": 0.0, "net_reward_2_per_share": 0.0, "net_risk_per_share": 1644.531, "net_rr": 0.0, "net_rr_1": 0.0, "net_rr_2": 0.0, "net_stop_assumption": -1.3955, "net_target_1_assumption": -0.8209, "net_target_2_assumption": -0.8209, "normalized_atr_score": 100.0, "normalized_liquidity_score": 60.26, "normalized_momentum_score": 100, "normalized_quality_score": 88.08,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1641.74,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1641.74, "ticker": "ASML", "timestamp": "2026-06-08T00:27:00", "warnings": ["Target ATR feasibility unavailable."]}</t>
        </is>
      </c>
    </row>
    <row r="16">
      <c r="A16" t="inlineStr">
        <is>
          <t>2026-06-08T00:27:00</t>
        </is>
      </c>
      <c r="B16" t="inlineStr">
        <is>
          <t>LRCX</t>
        </is>
      </c>
      <c r="C16" t="inlineStr">
        <is>
          <t>No Trade</t>
        </is>
      </c>
      <c r="D16" t="n">
        <v>0</v>
      </c>
      <c r="E16" t="n">
        <v>303.28</v>
      </c>
      <c r="H16" t="n">
        <v>0</v>
      </c>
      <c r="K16" t="n">
        <v>0</v>
      </c>
      <c r="L16" t="inlineStr">
        <is>
          <t>No clean technical setup detected. Price in middle of value area or poor risk/reward.</t>
        </is>
      </c>
      <c r="M16" t="inlineStr">
        <is>
          <t>SKIP</t>
        </is>
      </c>
      <c r="N16" t="inlineStr">
        <is>
          <t>SKIP: No Trade result. Market regime NEUTRAL; sector STRONG; net R/R 0.00.</t>
        </is>
      </c>
      <c r="O16" t="inlineStr">
        <is>
          <t>LRCX
No Trade
0.00
score
Price
303.28
R/R
0.00x
Grade
No Trade
Quality
0%
Buy Zone
-
Stop
0.00
Targets
-
Skip
Mixed
Relative Strength
Leadership
100%
Trend Quality
Constructive
68%
Liquidity
Institutional liquidity
100%
Volume
Confirmed
85%
No actionable setup detected.
No clean technical setup detected. Price in middle of value area or poor risk/reward.
Fib 61.8
227.21
Fib Zone
223.23 - 231.20
Swing Low
198.60
Swing High
273.50
Click chart to open full size</t>
        </is>
      </c>
      <c r="P16" t="inlineStr">
        <is>
          <t>C:\Users\User\Documents\Codex\2026-05-29\adva-mo-project-orion-https-github\work\market-lens-scanner\agent_results\charts\market_lens_agent_20260608_002548_lrcx.png</t>
        </is>
      </c>
      <c r="Q16" t="inlineStr">
        <is>
          <t>Smart Universe: broad liquid US universe, diversified by sector | Sector: Semiconductors - Strong (79/100); SMH sector regime is strong: 44.5% 3m return, 35.4% vs SPY | Setup: No Trade; score 0.00; R/R 0.00x; price 303.28 | Market: NEUTRAL; Sector regime: STRONG; Net R/R: 0.00; Factors: AI / Semiconductors, Semiconductors | Agent action: SKIP - SKIP: No Trade result. Market regime NEUTRAL; sector STRONG; net R/R 0.00.</t>
        </is>
      </c>
      <c r="R16" t="inlineStr">
        <is>
          <t>{"adjusted_cash_out": 0.0, "adjusted_position_size": 0, "adjusted_risk_amount": 0.0, "ask": 0.0, "bid": 0.0, "buy_zone_high": null, "buy_zone_low": null, "cash_available": 100000.0, "company_name": "Lam Research Corporation", "correlation_warning": false, "days_to_earnings": 37, "earnings_blackout": false, "earnings_date": "2026-07-29T00:00:00", "estimated_fees": 0.0, "estimated_slippage": 0.4246, "estimated_spread": 0.091, "executable_entry": 303.28,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303.28, "gross_rr": 0.0, "gross_rr_1": 0.0, "gross_rr_2": 0.0, "gross_rr_decision": 0.0, "highest_correlation_ticker": "", "highest_correlation_value": null, "initial_action": "SKIP", "market_cap": 379263466393.46,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303.5378, "net_reward_1_per_share": 0.0, "net_reward_2_per_share": 0.0, "net_risk_per_share": 303.7956, "net_rr": 0.0, "net_rr_1": 0.0, "net_rr_2": 0.0, "net_stop_assumption": -0.2578, "net_target_1_assumption": -0.1516, "net_target_2_assumption": -0.1516, "normalized_atr_score": 95.25, "normalized_liquidity_score": 60.92, "normalized_momentum_score": 100, "normalized_quality_score": 87.09,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303.28,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303.28, "ticker": "LRCX", "timestamp": "2026-06-08T00:27:00", "warnings": ["Target ATR feasibility unavailable."]}</t>
        </is>
      </c>
    </row>
    <row r="17">
      <c r="A17" t="inlineStr">
        <is>
          <t>2026-06-08T00:27:00</t>
        </is>
      </c>
      <c r="B17" t="inlineStr">
        <is>
          <t>TXN</t>
        </is>
      </c>
      <c r="C17" t="inlineStr">
        <is>
          <t>No Trade</t>
        </is>
      </c>
      <c r="D17" t="n">
        <v>0</v>
      </c>
      <c r="E17" t="n">
        <v>285.06</v>
      </c>
      <c r="H17" t="n">
        <v>0</v>
      </c>
      <c r="K17" t="n">
        <v>0</v>
      </c>
      <c r="L17" t="inlineStr">
        <is>
          <t>No clean technical setup detected. Price in middle of value area or poor risk/reward.</t>
        </is>
      </c>
      <c r="M17" t="inlineStr">
        <is>
          <t>SKIP</t>
        </is>
      </c>
      <c r="N17" t="inlineStr">
        <is>
          <t>SKIP: No Trade result. Market regime NEUTRAL; sector STRONG; net R/R 0.00.</t>
        </is>
      </c>
      <c r="O17" t="inlineStr">
        <is>
          <t>TXN
No Trade
0.00
score
Price
285.06
R/R
0.00x
Grade
No Trade
Quality
0%
Buy Zone
-
Stop
0.00
Targets
-
Skip
Mixed
Relative Strength
Leadership
87%
Trend Quality
Constructive
68%
Liquidity
Institutional liquidity
100%
Volume
Confirmed
85%
No actionable setup detected.
No clean technical setup detected. Price in middle of value area or poor risk/reward.
Fib 61.8
223.12
Fib Zone
220.05 - 226.19
Swing Low
184.01
Swing High
286.37
Click chart to open full size</t>
        </is>
      </c>
      <c r="P17" t="inlineStr">
        <is>
          <t>C:\Users\User\Documents\Codex\2026-05-29\adva-mo-project-orion-https-github\work\market-lens-scanner\agent_results\charts\market_lens_agent_20260608_002548_txn.png</t>
        </is>
      </c>
      <c r="Q17" t="inlineStr">
        <is>
          <t>Smart Universe: broad liquid US universe, diversified by sector | Sector: Technology - Strong (76/100); XLK sector regime is strong: 29.2% 3m return, 20.1% vs SPY | Setup: No Trade; score 0.00; R/R 0.00x; price 285.06 | Market: NEUTRAL; Sector regime: STRONG; Net R/R: 0.00; Factors: AI / Semiconductors, Technology | Agent action: SKIP - SKIP: No Trade result. Market regime NEUTRAL; sector STRONG; net R/R 0.00.</t>
        </is>
      </c>
      <c r="R17" t="inlineStr">
        <is>
          <t>{"adjusted_cash_out": 0.0, "adjusted_position_size": 0, "adjusted_risk_amount": 0.0, "ask": 0.0, "bid": 0.0, "buy_zone_high": null, "buy_zone_low": null, "cash_available": 100000.0, "company_name": "Texas Instruments Incorporated", "correlation_warning": false, "days_to_earnings": 32, "earnings_blackout": false, "earnings_date": "2026-07-22T00:00:00", "estimated_fees": 0.0, "estimated_slippage": 0.3991, "estimated_spread": 0.0855, "executable_entry": 285.06, "execution_liquidity_bucket": "large_liquid", "factor_exposure_after": {}, "factor_exposure_before": {}, "factor_exposure_cap": 7000.0, "factor_exposure_limit_exceeded": false, "factor_tags": ["AI / Semiconductors", "Technology"], "final_action": "SKIP", "gross_reward_1_per_share": 0.0, "gross_reward_2_per_share": 0.0, "gross_risk_per_share": 285.06, "gross_rr": 0.0, "gross_rr_1": 0.0, "gross_rr_2": 0.0, "gross_rr_decision": 0.0, "highest_correlation_ticker": "", "highest_correlation_value": null, "initial_action": "SKIP", "market_cap": 259431048780.55,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285.3023, "net_reward_1_per_share": 0.0, "net_reward_2_per_share": 0.0, "net_risk_per_share": 285.5446, "net_rr": 0.0, "net_rr_1": 0.0, "net_rr_2": 0.0, "net_stop_assumption": -0.2423, "net_target_1_assumption": -0.1425, "net_target_2_assumption": -0.1425, "normalized_atr_score": 100.0, "normalized_liquidity_score": 58.24, "normalized_momentum_score": 100, "normalized_quality_score": 87.47,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285.06,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285.06, "ticker": "TXN", "timestamp": "2026-06-08T00:27:00", "warnings": ["Target ATR feasibility unavailable."]}</t>
        </is>
      </c>
    </row>
    <row r="18">
      <c r="A18" t="inlineStr">
        <is>
          <t>2026-06-08T00:27:00</t>
        </is>
      </c>
      <c r="B18" t="inlineStr">
        <is>
          <t>AMD</t>
        </is>
      </c>
      <c r="C18" t="inlineStr">
        <is>
          <t>No Trade</t>
        </is>
      </c>
      <c r="D18" t="n">
        <v>0</v>
      </c>
      <c r="E18" t="n">
        <v>466.38</v>
      </c>
      <c r="H18" t="n">
        <v>0</v>
      </c>
      <c r="K18" t="n">
        <v>0</v>
      </c>
      <c r="L18" t="inlineStr">
        <is>
          <t>No clean technical setup detected. Price in middle of value area or poor risk/reward.</t>
        </is>
      </c>
      <c r="M18" t="inlineStr">
        <is>
          <t>SKIP</t>
        </is>
      </c>
      <c r="N18" t="inlineStr">
        <is>
          <t>SKIP: No Trade result. Market regime NEUTRAL; sector STRONG; net R/R 0.00.</t>
        </is>
      </c>
      <c r="O18" t="inlineStr">
        <is>
          <t>AMD
No Trade
0.00
score
Price
466.38
R/R
0.00x
Grade
No Trade
Quality
0%
Buy Zone
-
Stop
0.00
Targets
-
Skip
Mixed
Relative Strength
Leadership
100%
Trend Quality
Constructive
68%
Liquidity
Institutional liquidity
100%
Volume
Confirmed
100%
No actionable setup detected.
No clean technical setup detected. Price in middle of value area or poor risk/reward.
Fib 61.8
298.44
Fib Zone
291.08 - 305.79
Swing Low
192.87
Swing High
469.22
Click chart to open full size</t>
        </is>
      </c>
      <c r="P18" t="inlineStr">
        <is>
          <t>C:\Users\User\Documents\Codex\2026-05-29\adva-mo-project-orion-https-github\work\market-lens-scanner\agent_results\charts\market_lens_agent_20260608_002548_amd.png</t>
        </is>
      </c>
      <c r="Q18" t="inlineStr">
        <is>
          <t>Smart Universe: broad liquid US universe, diversified by sector | Sector: Technology - Strong (76/100); XLK sector regime is strong: 29.2% 3m return, 20.1% vs SPY | Setup: No Trade; score 0.00; R/R 0.00x; price 466.38 | Market: NEUTRAL; Sector regime: STRONG; Net R/R: 0.00; Factors: AI / Semiconductors, High Beta Growth, Technology | Agent action: SKIP - SKIP: No Trade result. Market regime NEUTRAL; sector STRONG; net R/R 0.00.</t>
        </is>
      </c>
      <c r="R18" t="inlineStr">
        <is>
          <t>{"adjusted_cash_out": 0.0, "adjusted_position_size": 0, "adjusted_risk_amount": 0.0, "ask": 0.0, "bid": 0.0, "buy_zone_high": null, "buy_zone_low": null, "cash_available": 100000.0, "company_name": "Advanced Micro Devices, Inc.", "correlation_warning": false, "days_to_earnings": 41, "earnings_blackout": false, "earnings_date": "2026-08-04T00:00:00", "estimated_fees": 0.0, "estimated_slippage": 0.7509, "estimated_spread": 0.1399, "executable_entry": 466.38, "execution_liquidity_bucket": "large_liquid", "factor_exposure_after": {}, "factor_exposure_before": {}, "factor_exposure_cap": 7000.0, "factor_exposure_limit_exceeded": false, "factor_tags": ["AI / Semiconductors", "High Beta Growth", "Technology"], "final_action": "SKIP", "gross_reward_1_per_share": 0.0, "gross_reward_2_per_share": 0.0, "gross_risk_per_share": 466.38, "gross_rr": 0.0, "gross_rr_1": 0.0, "gross_rr_2": 0.0, "gross_rr_decision": 0.0, "highest_correlation_ticker": "", "highest_correlation_value": null, "initial_action": "SKIP", "market_cap": 760479533978.74,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466.8254, "net_reward_1_per_share": 0.0, "net_reward_2_per_share": 0.0, "net_risk_per_share": 467.2708, "net_rr": 0.0, "net_rr_1": 0.0, "net_rr_2": 0.0, "net_stop_assumption": -0.4454, "net_target_1_assumption": -0.2577, "net_target_2_assumption": -0.2577, "normalized_atr_score": 84.31, "normalized_liquidity_score": 100, "normalized_momentum_score": 100, "normalized_quality_score": 96.08,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466.38,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466.38, "ticker": "AMD", "timestamp": "2026-06-08T00:27:00", "warnings": ["Target ATR feasibility unavailable."]}</t>
        </is>
      </c>
    </row>
    <row r="19">
      <c r="A19" t="inlineStr">
        <is>
          <t>2026-06-08T00:27:00</t>
        </is>
      </c>
      <c r="B19" t="inlineStr">
        <is>
          <t>C</t>
        </is>
      </c>
      <c r="C19" t="inlineStr">
        <is>
          <t>No Trade</t>
        </is>
      </c>
      <c r="D19" t="n">
        <v>0</v>
      </c>
      <c r="E19" t="n">
        <v>132.47</v>
      </c>
      <c r="H19" t="n">
        <v>0</v>
      </c>
      <c r="K19" t="n">
        <v>0</v>
      </c>
      <c r="L19" t="inlineStr">
        <is>
          <t>No clean technical setup detected. Price in middle of value area or poor risk/reward.</t>
        </is>
      </c>
      <c r="M19" t="inlineStr">
        <is>
          <t>SKIP</t>
        </is>
      </c>
      <c r="N19" t="inlineStr">
        <is>
          <t>SKIP: No Trade result. Market regime NEUTRAL; sector STRONG; net R/R 0.00.</t>
        </is>
      </c>
      <c r="O19" t="inlineStr">
        <is>
          <t>C
No Trade
0.00
score
Price
132.47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114.18
Fib Zone
113.29 - 115.07
Swing Low
101.53
Swing High
134.65
Click chart to open full size</t>
        </is>
      </c>
      <c r="P19" t="inlineStr">
        <is>
          <t>C:\Users\User\Documents\Codex\2026-05-29\adva-mo-project-orion-https-github\work\market-lens-scanner\agent_results\charts\market_lens_agent_20260608_002548_c.png</t>
        </is>
      </c>
      <c r="Q19" t="inlineStr">
        <is>
          <t>Smart Universe: broad liquid US universe, diversified by sector | Sector: Financials - Strong (70/100); XLF sector regime is strong: 4.4% 3m return, -4.6% vs SPY | Setup: No Trade; score 0.00; R/R 0.00x; price 132.47 | Market: NEUTRAL; Sector regime: STRONG; Net R/R: 0.00; Factors: Financials | Agent action: SKIP - SKIP: No Trade result. Market regime NEUTRAL; sector STRONG; net R/R 0.00.</t>
        </is>
      </c>
      <c r="R19" t="inlineStr">
        <is>
          <t>{"adjusted_cash_out": 0.0, "adjusted_position_size": 0, "adjusted_risk_amount": 0.0, "ask": 0.0, "bid": 0.0, "buy_zone_high": null, "buy_zone_low": null, "cash_available": 100000.0, "company_name": "Citigroup Inc.", "correlation_warning": false, "days_to_earnings": 26, "earnings_blackout": false, "earnings_date": "2026-07-14T00:00:00", "estimated_fees": 0.0, "estimated_slippage": 0.1855, "estimated_spread": 0.0397, "executable_entry": 132.47,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132.47, "gross_rr": 0.0, "gross_rr_1": 0.0, "gross_rr_2": 0.0, "gross_rr_decision": 0.0, "highest_correlation_ticker": "", "highest_correlation_value": null, "initial_action": "SKIP", "market_cap": 225937781310.85,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132.5826, "net_reward_1_per_share": 0.0, "net_reward_2_per_share": 0.0, "net_risk_per_share": 132.6952, "net_rr": 0.0, "net_rr_1": 0.0, "net_rr_2": 0.0, "net_stop_assumption": -0.1126, "net_target_1_assumption": -0.0662, "net_target_2_assumption": -0.0662, "normalized_atr_score": 100.0, "normalized_liquidity_score": 42.28, "normalized_momentum_score": 100, "normalized_quality_score": 82.68,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132.47,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132.47, "ticker": "C", "timestamp": "2026-06-08T00:27:00", "warnings": ["Target ATR feasibility unavailable."]}</t>
        </is>
      </c>
    </row>
    <row r="20">
      <c r="A20" t="inlineStr">
        <is>
          <t>2026-06-08T00:27:00</t>
        </is>
      </c>
      <c r="B20" t="inlineStr">
        <is>
          <t>AAPL</t>
        </is>
      </c>
      <c r="C20" t="inlineStr">
        <is>
          <t>No Trade</t>
        </is>
      </c>
      <c r="D20" t="n">
        <v>0</v>
      </c>
      <c r="E20" t="n">
        <v>307.34</v>
      </c>
      <c r="H20" t="n">
        <v>0</v>
      </c>
      <c r="K20" t="n">
        <v>0</v>
      </c>
      <c r="L20" t="inlineStr">
        <is>
          <t>No clean technical setup detected. Price in middle of value area or poor risk/reward.</t>
        </is>
      </c>
      <c r="M20" t="inlineStr">
        <is>
          <t>SKIP</t>
        </is>
      </c>
      <c r="N20" t="inlineStr">
        <is>
          <t>SKIP: No Trade result. Market regime NEUTRAL; sector STRONG; net R/R 0.00.</t>
        </is>
      </c>
      <c r="O20" t="inlineStr">
        <is>
          <t>AAPL
No Trade
0.00
score
Price
307.34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257.26
Fib Zone
255.75 - 258.78
Swing Low
242.97
Swing High
280.39
Click chart to open full size</t>
        </is>
      </c>
      <c r="P20" t="inlineStr">
        <is>
          <t>C:\Users\User\Documents\Codex\2026-05-29\adva-mo-project-orion-https-github\work\market-lens-scanner\agent_results\charts\market_lens_agent_20260608_002548_aapl.png</t>
        </is>
      </c>
      <c r="Q20" t="inlineStr">
        <is>
          <t>Smart Universe: broad liquid US universe, diversified by sector | Sector: Technology - Strong (76/100); XLK sector regime is strong: 29.2% 3m return, 20.1% vs SPY | Setup: No Trade; score 0.00; R/R 0.00x; price 307.34 | Market: NEUTRAL; Sector regime: STRONG; Net R/R: 0.00; Factors: Mega Cap Tech, Rates-sensitive Growth, Technology | Agent action: SKIP - SKIP: No Trade result. Market regime NEUTRAL; sector STRONG; net R/R 0.00.</t>
        </is>
      </c>
      <c r="R20" t="inlineStr">
        <is>
          <t>{"adjusted_cash_out": 0.0, "adjusted_position_size": 0, "adjusted_risk_amount": 0.0, "ask": 0.0, "bid": 0.0, "buy_zone_high": null, "buy_zone_low": null, "cash_available": 100000.0, "company_name": "Apple Inc.", "correlation_warning": false, "days_to_earnings": 38, "earnings_blackout": false, "earnings_date": "2026-07-30T00:00:00", "estimated_fees": 0.0, "estimated_slippage": 0.4303, "estimated_spread": 0.0922, "executable_entry": 307.34, "execution_liquidity_bucket": "large_liquid", "factor_exposure_after": {}, "factor_exposure_before": {}, "factor_exposure_cap": 7000.0, "factor_exposure_limit_exceeded": false, "factor_tags": ["Mega Cap Tech", "Rates-sensitive Growth", "Technology"], "final_action": "SKIP", "gross_reward_1_per_share": 0.0, "gross_reward_2_per_share": 0.0, "gross_risk_per_share": 307.34, "gross_rr": 0.0, "gross_rr_1": 0.0, "gross_rr_2": 0.0, "gross_rr_decision": 0.0, "highest_correlation_ticker": "", "highest_correlation_value": null, "initial_action": "SKIP", "market_cap": 4514011939253.3,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307.6012, "net_reward_1_per_share": 0.0, "net_reward_2_per_share": 0.0, "net_risk_per_share": 307.8625, "net_rr": 0.0, "net_rr_1": 0.0, "net_rr_2": 0.0, "net_stop_assumption": -0.2612, "net_target_1_assumption": -0.1537, "net_target_2_assumption": -0.1537, "normalized_atr_score": 100.0, "normalized_liquidity_score": 100, "normalized_momentum_score": 100, "normalized_quality_score": 100.0,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307.34,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307.34, "ticker": "AAPL", "timestamp": "2026-06-08T00:27:00", "warnings": ["Target ATR feasibility unavailable."]}</t>
        </is>
      </c>
    </row>
    <row r="21">
      <c r="A21" t="inlineStr">
        <is>
          <t>2026-06-08T00:27:00</t>
        </is>
      </c>
      <c r="B21" t="inlineStr">
        <is>
          <t>LLY</t>
        </is>
      </c>
      <c r="C21" t="inlineStr">
        <is>
          <t>No Trade</t>
        </is>
      </c>
      <c r="D21" t="n">
        <v>0</v>
      </c>
      <c r="E21" t="n">
        <v>1131.42</v>
      </c>
      <c r="H21" t="n">
        <v>0</v>
      </c>
      <c r="K21" t="n">
        <v>0</v>
      </c>
      <c r="L21" t="inlineStr">
        <is>
          <t>No clean technical setup detected. Price in middle of value area or poor risk/reward.</t>
        </is>
      </c>
      <c r="M21" t="inlineStr">
        <is>
          <t>SKIP</t>
        </is>
      </c>
      <c r="N21" t="inlineStr">
        <is>
          <t>SKIP: No Trade result. Market regime NEUTRAL; sector NEUTRAL; net R/R 0.00.</t>
        </is>
      </c>
      <c r="O21" t="inlineStr">
        <is>
          <t>LLY
No Trade
0.00
score
Price
1131.42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963.67
Fib Zone
954.73 - 972.61
Swing Low
849.05
Swing High
1149.10
Click chart to open full size</t>
        </is>
      </c>
      <c r="P21" t="inlineStr">
        <is>
          <t>C:\Users\User\Documents\Codex\2026-05-29\adva-mo-project-orion-https-github\work\market-lens-scanner\agent_results\charts\market_lens_agent_20260608_002548_lly.png</t>
        </is>
      </c>
      <c r="Q21" t="inlineStr">
        <is>
          <t>Smart Universe: broad liquid US universe, diversified by sector | Sector: Healthcare - Neutral (66/100); XLV sector regime is neutral: -0.4% 3m return, -9.4% vs SPY | Setup: No Trade; score 0.00; R/R 0.00x; price 1131.42 | Market: NEUTRAL; Sector regime: NEUTRAL; Net R/R: 0.00; Factors: Defensive, Healthcare | Agent action: SKIP - SKIP: No Trade result. Market regime NEUTRAL; sector NEUTRAL; net R/R 0.00.</t>
        </is>
      </c>
      <c r="R21" t="inlineStr">
        <is>
          <t>{"adjusted_cash_out": 0.0, "adjusted_position_size": 0, "adjusted_risk_amount": 0.0, "ask": 0.0, "bid": 0.0, "buy_zone_high": null, "buy_zone_low": null, "cash_available": 100000.0, "company_name": "Eli Lilly and Company", "correlation_warning": false, "days_to_earnings": 42, "earnings_blackout": false, "earnings_date": "2026-08-05T00:00:00", "estimated_fees": 0.0, "estimated_slippage": 1.584, "estimated_spread": 0.3394, "executable_entry": 1131.42,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1131.42, "gross_rr": 0.0, "gross_rr_1": 0.0, "gross_rr_2": 0.0, "gross_rr_decision": 0.0, "highest_correlation_ticker": "", "highest_correlation_value": null, "initial_action": "SKIP", "market_cap": 1008934100764.37,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1132.3817, "net_reward_1_per_share": 0.0, "net_reward_2_per_share": 0.0, "net_risk_per_share": 1133.3434, "net_rr": 0.0, "net_rr_1": 0.0, "net_rr_2": 0.0, "net_stop_assumption": -0.9617, "net_target_1_assumption": -0.5657, "net_target_2_assumption": -0.5657, "normalized_atr_score": 100.0, "normalized_liquidity_score": 66.54, "normalized_momentum_score": 100, "normalized_quality_score": 89.96,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1131.42,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1131.42, "ticker": "LLY", "timestamp": "2026-06-08T00:27:00", "warnings": ["Target ATR feasibility unavailable."]}</t>
        </is>
      </c>
    </row>
    <row r="22">
      <c r="A22" t="inlineStr">
        <is>
          <t>2026-06-08T00:27:00</t>
        </is>
      </c>
      <c r="B22" t="inlineStr">
        <is>
          <t>TSM</t>
        </is>
      </c>
      <c r="C22" t="inlineStr">
        <is>
          <t>No Trade</t>
        </is>
      </c>
      <c r="D22" t="n">
        <v>0</v>
      </c>
      <c r="E22" t="n">
        <v>415.17</v>
      </c>
      <c r="H22" t="n">
        <v>0</v>
      </c>
      <c r="K22" t="n">
        <v>0</v>
      </c>
      <c r="L22" t="inlineStr">
        <is>
          <t>No clean technical setup detected. Price in middle of value area or poor risk/reward.</t>
        </is>
      </c>
      <c r="M22" t="inlineStr">
        <is>
          <t>SKIP</t>
        </is>
      </c>
      <c r="N22" t="inlineStr">
        <is>
          <t>SKIP: No Trade result. Market regime NEUTRAL; sector STRONG; net R/R 0.00.</t>
        </is>
      </c>
      <c r="O22" t="inlineStr">
        <is>
          <t>TSM
No Trade
0.00
score
Price
415.17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381.16
Fib Zone
376.97 - 385.35
Swing Low
360.55
Swing High
414.50
Click chart to open full size</t>
        </is>
      </c>
      <c r="P22" t="inlineStr">
        <is>
          <t>C:\Users\User\Documents\Codex\2026-05-29\adva-mo-project-orion-https-github\work\market-lens-scanner\agent_results\charts\market_lens_agent_20260608_002548_tsm.png</t>
        </is>
      </c>
      <c r="Q22" t="inlineStr">
        <is>
          <t>Smart Universe: broad liquid US universe, diversified by sector | Sector: Semiconductors - Strong (79/100); SMH sector regime is strong: 44.5% 3m return, 35.4% vs SPY | Setup: No Trade; score 0.00; R/R 0.00x; price 415.17 | Market: NEUTRAL; Sector regime: STRONG; Net R/R: 0.00; Factors: AI / Semiconductors, Semiconductors | Agent action: SKIP - SKIP: No Trade result. Market regime NEUTRAL; sector STRONG; net R/R 0.00.</t>
        </is>
      </c>
      <c r="R22" t="inlineStr">
        <is>
          <t>{"adjusted_cash_out": 0.0, "adjusted_position_size": 0, "adjusted_risk_amount": 0.0, "ask": 0.0, "bid": 0.0, "buy_zone_high": null, "buy_zone_low": null, "cash_available": 100000.0, "company_name": "Taiwan Semiconductor Manufacturing Company Limited", "correlation_warning": false, "days_to_earnings": 28, "earnings_blackout": false, "earnings_date": "2026-07-16T00:00:00", "estimated_fees": 0.0, "estimated_slippage": 0.5812, "estimated_spread": 0.1246, "executable_entry": 415.17,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415.17, "gross_rr": 0.0, "gross_rr_1": 0.0, "gross_rr_2": 0.0, "gross_rr_decision": 0.0, "highest_correlation_ticker": "", "highest_correlation_value": null, "initial_action": "SKIP", "market_cap": 2153268485619.81,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415.5229, "net_reward_1_per_share": 0.0, "net_reward_2_per_share": 0.0, "net_risk_per_share": 415.8758, "net_rr": 0.0, "net_rr_1": 0.0, "net_rr_2": 0.0, "net_stop_assumption": -0.3529, "net_target_1_assumption": -0.2076, "net_target_2_assumption": -0.2076, "normalized_atr_score": 100.0, "normalized_liquidity_score": 80.47, "normalized_momentum_score": 100, "normalized_quality_score": 94.14,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415.17,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415.17, "ticker": "TSM", "timestamp": "2026-06-08T00:27:00", "warnings": ["Target ATR feasibility unavailable."]}</t>
        </is>
      </c>
    </row>
    <row r="23">
      <c r="A23" t="inlineStr">
        <is>
          <t>2026-06-08T00:27:00</t>
        </is>
      </c>
      <c r="B23" t="inlineStr">
        <is>
          <t>BAC</t>
        </is>
      </c>
      <c r="C23" t="inlineStr">
        <is>
          <t>No Trade</t>
        </is>
      </c>
      <c r="D23" t="n">
        <v>0</v>
      </c>
      <c r="E23" t="n">
        <v>53.83</v>
      </c>
      <c r="H23" t="n">
        <v>0</v>
      </c>
      <c r="K23" t="n">
        <v>0</v>
      </c>
      <c r="L23" t="inlineStr">
        <is>
          <t>No clean technical setup detected. Price in middle of value area or poor risk/reward.</t>
        </is>
      </c>
      <c r="M23" t="inlineStr">
        <is>
          <t>SKIP</t>
        </is>
      </c>
      <c r="N23" t="inlineStr">
        <is>
          <t>SKIP: No Trade result. Market regime NEUTRAL; sector STRONG; net R/R 0.00.</t>
        </is>
      </c>
      <c r="O23" t="inlineStr">
        <is>
          <t>BAC
No Trade
0.00
score
Price
53.83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49.41
Fib Zone
49.12 - 49.70
Swing Low
45.88
Swing High
55.11
Click chart to open full size</t>
        </is>
      </c>
      <c r="P23" t="inlineStr">
        <is>
          <t>C:\Users\User\Documents\Codex\2026-05-29\adva-mo-project-orion-https-github\work\market-lens-scanner\agent_results\charts\market_lens_agent_20260608_002548_bac.png</t>
        </is>
      </c>
      <c r="Q23" t="inlineStr">
        <is>
          <t>Smart Universe: broad liquid US universe, diversified by sector | Sector: Financials - Strong (70/100); XLF sector regime is strong: 4.4% 3m return, -4.6% vs SPY | Setup: No Trade; score 0.00; R/R 0.00x; price 53.83 | Market: NEUTRAL; Sector regime: STRONG; Net R/R: 0.00; Factors: Financials | Agent action: SKIP - SKIP: No Trade result. Market regime NEUTRAL; sector STRONG; net R/R 0.00.</t>
        </is>
      </c>
      <c r="R23" t="inlineStr">
        <is>
          <t>{"adjusted_cash_out": 0.0, "adjusted_position_size": 0, "adjusted_risk_amount": 0.0, "ask": 0.0, "bid": 0.0, "buy_zone_high": null, "buy_zone_low": null, "cash_available": 100000.0, "company_name": "Bank of America Corporation", "correlation_warning": false, "days_to_earnings": 26, "earnings_blackout": false, "earnings_date": "2026-07-14T00:00:00", "estimated_fees": 0.0, "estimated_slippage": 0.0754, "estimated_spread": 0.0161, "executable_entry": 53.83,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53.83, "gross_rr": 0.0, "gross_rr_1": 0.0, "gross_rr_2": 0.0, "gross_rr_decision": 0.0, "highest_correlation_ticker": "", "highest_correlation_value": null, "initial_action": "SKIP", "market_cap": 382009487737.58,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53.8758, "net_reward_1_per_share": 0.0, "net_reward_2_per_share": 0.0, "net_risk_per_share": 53.9215, "net_rr": 0.0, "net_rr_1": 0.0, "net_rr_2": 0.0, "net_stop_assumption": -0.0458, "net_target_1_assumption": -0.0269, "net_target_2_assumption": -0.0269, "normalized_atr_score": 100.0, "normalized_liquidity_score": 52.83, "normalized_momentum_score": 100, "normalized_quality_score": 85.85,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53.83,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53.83, "ticker": "BAC", "timestamp": "2026-06-08T00:27:00", "warnings": ["Target ATR feasibility unavailable."]}</t>
        </is>
      </c>
    </row>
    <row r="24">
      <c r="A24" t="inlineStr">
        <is>
          <t>2026-06-08T00:27:00</t>
        </is>
      </c>
      <c r="B24" t="inlineStr">
        <is>
          <t>UPS</t>
        </is>
      </c>
      <c r="C24" t="inlineStr">
        <is>
          <t>No Trade</t>
        </is>
      </c>
      <c r="D24" t="n">
        <v>0</v>
      </c>
      <c r="E24" t="n">
        <v>108.54</v>
      </c>
      <c r="H24" t="n">
        <v>0</v>
      </c>
      <c r="K24" t="n">
        <v>0</v>
      </c>
      <c r="L24" t="inlineStr">
        <is>
          <t>No clean technical setup detected. Price in middle of value area or poor risk/reward.</t>
        </is>
      </c>
      <c r="M24" t="inlineStr">
        <is>
          <t>SKIP</t>
        </is>
      </c>
      <c r="N24" t="inlineStr">
        <is>
          <t>SKIP: No Trade result. Market regime NEUTRAL; sector NEUTRAL; net R/R 0.00.</t>
        </is>
      </c>
      <c r="O24" t="inlineStr">
        <is>
          <t>UPS
No Trade
0.00
score
Price
108.54
R/R
0.00x
Grade
No Trade
Quality
0%
Buy Zone
-
Stop
0.00
Targets
-
Skip
Mixed
Relative Strength
Leadership
100%
Trend Quality
Clean uptrend
86%
Liquidity
Institutional liquidity
100%
Volume
Confirmed
80%
No actionable setup detected.
No clean technical setup detected. Price in middle of value area or poor risk/reward.
Fib 61.8
98.43
Fib Zone
97.76 - 99.10
Swing Low
92.50
Swing High
108.02
Click chart to open full size</t>
        </is>
      </c>
      <c r="P24" t="inlineStr">
        <is>
          <t>C:\Users\User\Documents\Codex\2026-05-29\adva-mo-project-orion-https-github\work\market-lens-scanner\agent_results\charts\market_lens_agent_20260608_002548_ups.png</t>
        </is>
      </c>
      <c r="Q24" t="inlineStr">
        <is>
          <t>Smart Universe: broad liquid US universe, diversified by sector | Sector: Industrials - Neutral (67/100); XLI sector regime is neutral: 2.2% 3m return, -6.9% vs SPY | Setup: No Trade; score 0.00; R/R 0.00x; price 108.54 | Market: NEUTRAL; Sector regime: NEUTRAL; Net R/R: 0.00; Factors: Industrials | Agent action: SKIP - SKIP: No Trade result. Market regime NEUTRAL; sector NEUTRAL; net R/R 0.00.</t>
        </is>
      </c>
      <c r="R24" t="inlineStr">
        <is>
          <t>{"adjusted_cash_out": 0.0, "adjusted_position_size": 0, "adjusted_risk_amount": 0.0, "ask": 0.0, "bid": 0.0, "buy_zone_high": null, "buy_zone_low": null, "cash_available": 100000.0, "company_name": "United Parcel Service, Inc.", "correlation_warning": false, "days_to_earnings": 36, "earnings_blackout": false, "earnings_date": "2026-07-28T00:00:00", "estimated_fees": 0.0, "estimated_slippage": 0.152, "estimated_spread": 0.0326, "executable_entry": 108.54,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108.54, "gross_rr": 0.0, "gross_rr_1": 0.0, "gross_rr_2": 0.0, "gross_rr_decision": 0.0, "highest_correlation_ticker": "", "highest_correlation_value": null, "initial_action": "SKIP", "market_cap": 92259682300.86,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108.6323, "net_reward_1_per_share": 0.0, "net_reward_2_per_share": 0.0, "net_risk_per_share": 108.7245, "net_rr": 0.0, "net_rr_1": 0.0, "net_rr_2": 0.0, "net_stop_assumption": -0.0923, "net_target_1_assumption": -0.0543, "net_target_2_assumption": -0.0543, "normalized_atr_score": 100.0, "normalized_liquidity_score": 51.52, "normalized_momentum_score": 99.81, "normalized_quality_score": 85.37,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108.54,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108.54, "ticker": "UPS", "timestamp": "2026-06-08T00:27:00", "warnings": ["Target ATR feasibility unavailable."]}</t>
        </is>
      </c>
    </row>
    <row r="25">
      <c r="A25" t="inlineStr">
        <is>
          <t>2026-06-08T00:27:00</t>
        </is>
      </c>
      <c r="B25" t="inlineStr">
        <is>
          <t>PSX</t>
        </is>
      </c>
      <c r="C25" t="inlineStr">
        <is>
          <t>No Trade</t>
        </is>
      </c>
      <c r="D25" t="n">
        <v>0</v>
      </c>
      <c r="E25" t="n">
        <v>183.08</v>
      </c>
      <c r="H25" t="n">
        <v>0</v>
      </c>
      <c r="K25" t="n">
        <v>0</v>
      </c>
      <c r="L25" t="inlineStr">
        <is>
          <t>No clean technical setup detected. Price in middle of value area or poor risk/reward.</t>
        </is>
      </c>
      <c r="M25" t="inlineStr">
        <is>
          <t>SKIP</t>
        </is>
      </c>
      <c r="N25" t="inlineStr">
        <is>
          <t>SKIP: No Trade result. Market regime NEUTRAL; sector NEUTRAL; net R/R 0.00.</t>
        </is>
      </c>
      <c r="O25" t="inlineStr">
        <is>
          <t>PSX
No Trade
0.00
score
Price
183.08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172.07
Fib Zone
170.69 - 173.44
Swing Low
164.25
Swing High
184.72
Click chart to open full size</t>
        </is>
      </c>
      <c r="P25" t="inlineStr">
        <is>
          <t>C:\Users\User\Documents\Codex\2026-05-29\adva-mo-project-orion-https-github\work\market-lens-scanner\agent_results\charts\market_lens_agent_20260608_002548_psx.png</t>
        </is>
      </c>
      <c r="Q25" t="inlineStr">
        <is>
          <t>Smart Universe: broad liquid US universe, diversified by sector | Sector: Energy - Neutral (48/100); XLE sector regime is neutral: 3.1% 3m return, -6.0% vs SPY | Setup: No Trade; score 0.00; R/R 0.00x; price 183.08 | Market: NEUTRAL; Sector regime: NEUTRAL; Net R/R: 0.00; Factors: Energy | Agent action: SKIP - SKIP: No Trade result. Market regime NEUTRAL; sector NEUTRAL; net R/R 0.00.</t>
        </is>
      </c>
      <c r="R25" t="inlineStr">
        <is>
          <t>{"adjusted_cash_out": 0.0, "adjusted_position_size": 0, "adjusted_risk_amount": 0.0, "ask": 0.0, "bid": 0.0, "buy_zone_high": null, "buy_zone_low": null, "cash_available": 100000.0, "company_name": "Phillips 66", "correlation_warning": false, "days_to_earnings": 34, "earnings_blackout": false, "earnings_date": "2026-07-24T00:00:00", "estimated_fees": 0.0, "estimated_slippage": 0.5492, "estimated_spread": 0.1465, "executable_entry": 183.08, "execution_liquidity_bucket": "mid_liquid", "factor_exposure_after": {}, "factor_exposure_before": {}, "factor_exposure_cap": 7000.0, "factor_exposure_limit_exceeded": false, "factor_tags": ["Energy"], "final_action": "SKIP", "gross_reward_1_per_share": 0.0, "gross_reward_2_per_share": 0.0, "gross_risk_per_share": 183.08, "gross_rr": 0.0, "gross_rr_1": 0.0, "gross_rr_2": 0.0, "gross_rr_decision": 0.0, "highest_correlation_ticker": "", "highest_correlation_value": null, "initial_action": "SKIP", "market_cap": 73403184195.73,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183.4279, "net_reward_1_per_share": 0.0, "net_reward_2_per_share": 0.0, "net_risk_per_share": 183.7757, "net_rr": 0.0, "net_rr_1": 0.0, "net_rr_2": 0.0, "net_stop_assumption": -0.3479, "net_target_1_assumption": -0.2105, "net_target_2_assumption": -0.2105, "normalized_atr_score": 100.0, "normalized_liquidity_score": 42.74, "normalized_momentum_score": 100, "normalized_quality_score": 82.82,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183.08, "prior_high_20": 0.0, "prior_high_63": 0.0, "reason": "SKIP: No Trade result. Market regime NEUTRAL; sector NEUTRAL; net R/R 0.00.", "risk_amount": 0.0, "scan_source": "Smart Universe: broad liquid US universe filtered and diversified by the Market Lens UI.", "sector": "Energy", "sector_etf": "XLE", "sector_exposure_after": 0.0, "sector_exposure_before": 0.0, "sector_exposure_cap": 6000.0, "sector_exposure_limit_exceeded": false, "sector_regime": "NEUTRAL", "sector_score": 47.51,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183.08, "ticker": "PSX", "timestamp": "2026-06-08T00:27:00", "warnings": ["Target ATR feasibility unavailable."]}</t>
        </is>
      </c>
    </row>
    <row r="26">
      <c r="A26" t="inlineStr">
        <is>
          <t>2026-06-08T00:27:00</t>
        </is>
      </c>
      <c r="B26" t="inlineStr">
        <is>
          <t>UNP</t>
        </is>
      </c>
      <c r="C26" t="inlineStr">
        <is>
          <t>No Trade</t>
        </is>
      </c>
      <c r="D26" t="n">
        <v>0</v>
      </c>
      <c r="E26" t="n">
        <v>272.32</v>
      </c>
      <c r="H26" t="n">
        <v>0</v>
      </c>
      <c r="K26" t="n">
        <v>0</v>
      </c>
      <c r="L26" t="inlineStr">
        <is>
          <t>No clean technical setup detected. Price in middle of value area or poor risk/reward.</t>
        </is>
      </c>
      <c r="M26" t="inlineStr">
        <is>
          <t>SKIP</t>
        </is>
      </c>
      <c r="N26" t="inlineStr">
        <is>
          <t>SKIP: No Trade result. Market regime NEUTRAL; sector NEUTRAL; net R/R 0.00.</t>
        </is>
      </c>
      <c r="O26" t="inlineStr">
        <is>
          <t>UNP
No Trade
0.00
score
Price
272.32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265.53
Fib Zone
263.88 - 267.17
Swing Low
259.69
Swing High
274.97
Click chart to open full size</t>
        </is>
      </c>
      <c r="P26" t="inlineStr">
        <is>
          <t>C:\Users\User\Documents\Codex\2026-05-29\adva-mo-project-orion-https-github\work\market-lens-scanner\agent_results\charts\market_lens_agent_20260608_002548_unp.png</t>
        </is>
      </c>
      <c r="Q26" t="inlineStr">
        <is>
          <t>Smart Universe: broad liquid US universe, diversified by sector | Sector: Industrials - Neutral (67/100); XLI sector regime is neutral: 2.2% 3m return, -6.9% vs SPY | Setup: No Trade; score 0.00; R/R 0.00x; price 272.32 | Market: NEUTRAL; Sector regime: NEUTRAL; Net R/R: 0.00; Factors: Industrials | Agent action: SKIP - SKIP: No Trade result. Market regime NEUTRAL; sector NEUTRAL; net R/R 0.00.</t>
        </is>
      </c>
      <c r="R26" t="inlineStr">
        <is>
          <t>{"adjusted_cash_out": 0.0, "adjusted_position_size": 0, "adjusted_risk_amount": 0.0, "ask": 0.0, "bid": 0.0, "buy_zone_high": null, "buy_zone_low": null, "cash_available": 100000.0, "company_name": "Union Pacific Corporation", "correlation_warning": false, "days_to_earnings": 33, "earnings_blackout": false, "earnings_date": "2026-07-23T00:00:00", "estimated_fees": 0.0, "estimated_slippage": 0.3812, "estimated_spread": 0.0817, "executable_entry": 272.32,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272.32, "gross_rr": 0.0, "gross_rr_1": 0.0, "gross_rr_2": 0.0, "gross_rr_decision": 0.0, "highest_correlation_ticker": "", "highest_correlation_value": null, "initial_action": "SKIP", "market_cap": 161679986512.65,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272.5515, "net_reward_1_per_share": 0.0, "net_reward_2_per_share": 0.0, "net_risk_per_share": 272.7829, "net_rr": 0.0, "net_rr_1": 0.0, "net_rr_2": 0.0, "net_stop_assumption": -0.2315, "net_target_1_assumption": -0.1362, "net_target_2_assumption": -0.1362, "normalized_atr_score": 100.0, "normalized_liquidity_score": 61.12, "normalized_momentum_score": 80.74, "normalized_quality_score": 79.67,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272.32,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272.32, "ticker": "UNP", "timestamp": "2026-06-08T00:27:00", "warnings": ["Target ATR feasibility unavailable."]}</t>
        </is>
      </c>
    </row>
    <row r="27">
      <c r="A27" t="inlineStr">
        <is>
          <t>2026-06-08T00:27:00</t>
        </is>
      </c>
      <c r="B27" t="inlineStr">
        <is>
          <t>ANET</t>
        </is>
      </c>
      <c r="C27" t="inlineStr">
        <is>
          <t>No Trade</t>
        </is>
      </c>
      <c r="D27" t="n">
        <v>0</v>
      </c>
      <c r="E27" t="n">
        <v>154.27</v>
      </c>
      <c r="H27" t="n">
        <v>0</v>
      </c>
      <c r="K27" t="n">
        <v>0</v>
      </c>
      <c r="L27" t="inlineStr">
        <is>
          <t>No clean technical setup detected. Price in middle of value area or poor risk/reward.</t>
        </is>
      </c>
      <c r="M27" t="inlineStr">
        <is>
          <t>SKIP</t>
        </is>
      </c>
      <c r="N27" t="inlineStr">
        <is>
          <t>SKIP: No Trade result. Market regime NEUTRAL; sector STRONG; net R/R 0.00.</t>
        </is>
      </c>
      <c r="O27" t="inlineStr">
        <is>
          <t>ANET
No Trade
0.00
score
Price
154.27
R/R
0.00x
Grade
No Trade
Quality
0%
Buy Zone
-
Stop
0.00
Targets
-
Skip
Mixed
Relative Strength
Leadership
100%
Trend Quality
Constructive
58%
Liquidity
Institutional liquidity
100%
Volume
Confirmed
80%
No actionable setup detected.
No clean technical setup detected. Price in middle of value area or poor risk/reward.
Fib 61.8
140.01
Fib Zone
137.88 - 142.14
Swing Low
115.42
Swing High
179.80
Click chart to open full size</t>
        </is>
      </c>
      <c r="P27" t="inlineStr">
        <is>
          <t>C:\Users\User\Documents\Codex\2026-05-29\adva-mo-project-orion-https-github\work\market-lens-scanner\agent_results\charts\market_lens_agent_20260608_002548_anet.png</t>
        </is>
      </c>
      <c r="Q27" t="inlineStr">
        <is>
          <t>Smart Universe: broad liquid US universe, diversified by sector | Sector: Technology - Strong (76/100); XLK sector regime is strong: 29.2% 3m return, 20.1% vs SPY | Setup: No Trade; score 0.00; R/R 0.00x; price 154.27 | Market: NEUTRAL; Sector regime: STRONG; Net R/R: 0.00; Factors: Technology | Agent action: SKIP - SKIP: No Trade result. Market regime NEUTRAL; sector STRONG; net R/R 0.00.</t>
        </is>
      </c>
      <c r="R27" t="inlineStr">
        <is>
          <t>{"adjusted_cash_out": 0.0, "adjusted_position_size": 0, "adjusted_risk_amount": 0.0, "ask": 0.0, "bid": 0.0, "buy_zone_high": null, "buy_zone_low": null, "cash_available": 100000.0, "company_name": "Arista Networks, Inc.", "correlation_warning": false, "days_to_earnings": 41, "earnings_blackout": false, "earnings_date": "2026-08-04T00:00:00", "estimated_fees": 0.0, "estimated_slippage": 0.216, "estimated_spread": 0.0463, "executable_entry": 154.27, "execution_liquidity_bucket": "large_liquid", "factor_exposure_after": {}, "factor_exposure_before": {}, "factor_exposure_cap": 7000.0, "factor_exposure_limit_exceeded": false, "factor_tags": ["Technology"], "final_action": "SKIP", "gross_reward_1_per_share": 0.0, "gross_reward_2_per_share": 0.0, "gross_risk_per_share": 154.27, "gross_rr": 0.0, "gross_rr_1": 0.0, "gross_rr_2": 0.0, "gross_rr_decision": 0.0, "highest_correlation_ticker": "", "highest_correlation_value": null, "initial_action": "SKIP", "market_cap": 194252074580.01,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154.4011, "net_reward_1_per_share": 0.0, "net_reward_2_per_share": 0.0, "net_risk_per_share": 154.5323, "net_rr": 0.0, "net_rr_1": 0.0, "net_rr_2": 0.0, "net_stop_assumption": -0.1311, "net_target_1_assumption": -0.0771, "net_target_2_assumption": -0.0771, "normalized_atr_score": 99.78, "normalized_liquidity_score": 82.35, "normalized_momentum_score": 100, "normalized_quality_score": 94.65,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154.27,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154.27, "ticker": "ANET", "timestamp": "2026-06-08T00:27:00", "warnings": ["Target ATR feasibility unavailable."]}</t>
        </is>
      </c>
    </row>
    <row r="28">
      <c r="A28" t="inlineStr">
        <is>
          <t>2026-06-08T00:27:00</t>
        </is>
      </c>
      <c r="B28" t="inlineStr">
        <is>
          <t>MRK</t>
        </is>
      </c>
      <c r="C28" t="inlineStr">
        <is>
          <t>No Trade</t>
        </is>
      </c>
      <c r="D28" t="n">
        <v>0</v>
      </c>
      <c r="E28" t="n">
        <v>120.79</v>
      </c>
      <c r="H28" t="n">
        <v>0</v>
      </c>
      <c r="K28" t="n">
        <v>0</v>
      </c>
      <c r="L28" t="inlineStr">
        <is>
          <t>No clean technical setup detected. Price in middle of value area or poor risk/reward.</t>
        </is>
      </c>
      <c r="M28" t="inlineStr">
        <is>
          <t>SKIP</t>
        </is>
      </c>
      <c r="N28" t="inlineStr">
        <is>
          <t>SKIP: No Trade result. Market regime NEUTRAL; sector NEUTRAL; net R/R 0.00.</t>
        </is>
      </c>
      <c r="O28" t="inlineStr">
        <is>
          <t>MRK
No Trade
0.00
score
Price
120.79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115.60
Fib Zone
114.81 - 116.39
Swing Low
110.94
Swing High
123.13
Click chart to open full size</t>
        </is>
      </c>
      <c r="P28" t="inlineStr">
        <is>
          <t>C:\Users\User\Documents\Codex\2026-05-29\adva-mo-project-orion-https-github\work\market-lens-scanner\agent_results\charts\market_lens_agent_20260608_002548_mrk.png</t>
        </is>
      </c>
      <c r="Q28" t="inlineStr">
        <is>
          <t>Smart Universe: broad liquid US universe, diversified by sector | Sector: Healthcare - Neutral (66/100); XLV sector regime is neutral: -0.4% 3m return, -9.4% vs SPY | Setup: No Trade; score 0.00; R/R 0.00x; price 120.79 | Market: NEUTRAL; Sector regime: NEUTRAL; Net R/R: 0.00; Factors: Defensive, Healthcare | Agent action: SKIP - SKIP: No Trade result. Market regime NEUTRAL; sector NEUTRAL; net R/R 0.00.</t>
        </is>
      </c>
      <c r="R28" t="inlineStr">
        <is>
          <t>{"adjusted_cash_out": 0.0, "adjusted_position_size": 0, "adjusted_risk_amount": 0.0, "ask": 0.0, "bid": 0.0, "buy_zone_high": null, "buy_zone_low": null, "cash_available": 100000.0, "company_name": "Merck &amp; Co., Inc.", "correlation_warning": false, "days_to_earnings": 41, "earnings_blackout": false, "earnings_date": "2026-08-04T00:00:00", "estimated_fees": 0.0, "estimated_slippage": 0.1691, "estimated_spread": 0.0362, "executable_entry": 120.79,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120.79, "gross_rr": 0.0, "gross_rr_1": 0.0, "gross_rr_2": 0.0, "gross_rr_decision": 0.0, "highest_correlation_ticker": "", "highest_correlation_value": null, "initial_action": "SKIP", "market_cap": 298330093349.04,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120.8927, "net_reward_1_per_share": 0.0, "net_reward_2_per_share": 0.0, "net_risk_per_share": 120.9953, "net_rr": 0.0, "net_rr_1": 0.0, "net_rr_2": 0.0, "net_stop_assumption": -0.1027, "net_target_1_assumption": -0.0604, "net_target_2_assumption": -0.0604, "normalized_atr_score": 100.0, "normalized_liquidity_score": 38.49, "normalized_momentum_score": 76.16, "normalized_quality_score": 70.82,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120.79,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120.79, "ticker": "MRK", "timestamp": "2026-06-08T00:27:00", "warnings": ["Target ATR feasibility unavailable."]}</t>
        </is>
      </c>
    </row>
    <row r="29">
      <c r="A29" t="inlineStr">
        <is>
          <t>2026-06-08T00:27:00</t>
        </is>
      </c>
      <c r="B29" t="inlineStr">
        <is>
          <t>UDR</t>
        </is>
      </c>
      <c r="C29" t="inlineStr">
        <is>
          <t>No Trade</t>
        </is>
      </c>
      <c r="D29" t="n">
        <v>0</v>
      </c>
      <c r="E29" t="n">
        <v>39.2</v>
      </c>
      <c r="H29" t="n">
        <v>0</v>
      </c>
      <c r="K29" t="n">
        <v>0</v>
      </c>
      <c r="L29" t="inlineStr">
        <is>
          <t>No clean technical setup detected. Price in middle of value area or poor risk/reward.</t>
        </is>
      </c>
      <c r="M29" t="inlineStr">
        <is>
          <t>SKIP</t>
        </is>
      </c>
      <c r="N29" t="inlineStr">
        <is>
          <t>SKIP: No Trade result. Market regime NEUTRAL; sector STRONG; net R/R 0.00.</t>
        </is>
      </c>
      <c r="O29" t="inlineStr">
        <is>
          <t>UDR
No Trade
0.00
score
Price
39.20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35.12
Fib Zone
34.93 - 35.31
Swing Low
33.07
Swing High
38.44
Click chart to open full size</t>
        </is>
      </c>
      <c r="P29" t="inlineStr">
        <is>
          <t>C:\Users\User\Documents\Codex\2026-05-29\adva-mo-project-orion-https-github\work\market-lens-scanner\agent_results\charts\market_lens_agent_20260608_002548_udr.png</t>
        </is>
      </c>
      <c r="Q29" t="inlineStr">
        <is>
          <t>Smart Universe: broad liquid US universe, diversified by sector | Sector: Real Estate - Strong (70/100); XLRE sector regime is strong: 4.7% 3m return, -4.3% vs SPY | Setup: No Trade; score 0.00; R/R 0.00x; price 39.20 | Market: NEUTRAL; Sector regime: STRONG; Net R/R: 0.00; Factors: Real Estate | Agent action: SKIP - SKIP: No Trade result. Market regime NEUTRAL; sector STRONG; net R/R 0.00.</t>
        </is>
      </c>
      <c r="R29" t="inlineStr">
        <is>
          <t>{"adjusted_cash_out": 0.0, "adjusted_position_size": 0, "adjusted_risk_amount": 0.0, "ask": 0.0, "bid": 0.0, "buy_zone_high": null, "buy_zone_low": null, "cash_available": 100000.0, "company_name": "UDR, Inc.", "correlation_warning": false, "days_to_earnings": 37, "earnings_blackout": false, "earnings_date": "2026-07-29T00:00:00", "estimated_fees": 0.0, "estimated_slippage": 0.1176, "estimated_spread": 0.0314, "executable_entry": 39.2, "execution_liquidity_bucket": "mid_liquid", "factor_exposure_after": {}, "factor_exposure_before": {}, "factor_exposure_cap": 7000.0, "factor_exposure_limit_exceeded": false, "factor_tags": ["Real Estate"], "final_action": "SKIP", "gross_reward_1_per_share": 0.0, "gross_reward_2_per_share": 0.0, "gross_risk_per_share": 39.2, "gross_rr": 0.0, "gross_rr_1": 0.0, "gross_rr_2": 0.0, "gross_rr_decision": 0.0, "highest_correlation_ticker": "", "highest_correlation_value": null, "initial_action": "SKIP", "market_cap": 12736693845.49,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39.2745, "net_reward_1_per_share": 0.0, "net_reward_2_per_share": 0.0, "net_risk_per_share": 39.349, "net_rr": 0.0, "net_rr_1": 0.0, "net_rr_2": 0.0, "net_stop_assumption": -0.0745, "net_target_1_assumption": -0.0451, "net_target_2_assumption": -0.0451, "normalized_atr_score": 100.0, "normalized_liquidity_score": 28.69, "normalized_momentum_score": 81.18, "normalized_quality_score": 70.14,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39.2, "prior_high_20": 0.0, "prior_high_63": 0.0, "reason": "SKIP: No Trade result. Market regime NEUTRAL; sector STRONG; net R/R 0.00.", "risk_amount": 0.0, "scan_source": "Smart Universe: broad liquid US universe filtered and diversified by the Market Lens UI.", "sector": "Real Estate", "sector_etf": "XLRE", "sector_exposure_after": 0.0, "sector_exposure_before": 0.0, "sector_exposure_cap": 6000.0, "sector_exposure_limit_exceeded": false, "sector_regime": "STRONG", "sector_score": 69.63,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39.2, "ticker": "UDR", "timestamp": "2026-06-08T00:27:00", "warnings": ["Target ATR feasibility unavailable."]}</t>
        </is>
      </c>
    </row>
    <row r="30">
      <c r="A30" t="inlineStr">
        <is>
          <t>2026-06-08T00:27:00</t>
        </is>
      </c>
      <c r="B30" t="inlineStr">
        <is>
          <t>JPM</t>
        </is>
      </c>
      <c r="C30" t="inlineStr">
        <is>
          <t>No Trade</t>
        </is>
      </c>
      <c r="D30" t="n">
        <v>0</v>
      </c>
      <c r="E30" t="n">
        <v>312.37</v>
      </c>
      <c r="H30" t="n">
        <v>0</v>
      </c>
      <c r="K30" t="n">
        <v>0</v>
      </c>
      <c r="L30" t="inlineStr">
        <is>
          <t>No clean technical setup detected. Price in middle of value area or poor risk/reward.</t>
        </is>
      </c>
      <c r="M30" t="inlineStr">
        <is>
          <t>SKIP</t>
        </is>
      </c>
      <c r="N30" t="inlineStr">
        <is>
          <t>SKIP: No Trade result. Market regime NEUTRAL; sector STRONG; net R/R 0.00.</t>
        </is>
      </c>
      <c r="O30" t="inlineStr">
        <is>
          <t>JPM
No Trade
0.00
score
Price
312.37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299.88
Fib Zone
298.30 - 301.47
Swing Low
293.67
Swing High
309.93
Click chart to open full size</t>
        </is>
      </c>
      <c r="P30" t="inlineStr">
        <is>
          <t>C:\Users\User\Documents\Codex\2026-05-29\adva-mo-project-orion-https-github\work\market-lens-scanner\agent_results\charts\market_lens_agent_20260608_002548_jpm.png</t>
        </is>
      </c>
      <c r="Q30" t="inlineStr">
        <is>
          <t>Smart Universe: broad liquid US universe, diversified by sector | Sector: Financials - Strong (70/100); XLF sector regime is strong: 4.4% 3m return, -4.6% vs SPY | Setup: No Trade; score 0.00; R/R 0.00x; price 312.37 | Market: NEUTRAL; Sector regime: STRONG; Net R/R: 0.00; Factors: Financials | Agent action: SKIP - SKIP: No Trade result. Market regime NEUTRAL; sector STRONG; net R/R 0.00.</t>
        </is>
      </c>
      <c r="R30" t="inlineStr">
        <is>
          <t>{"adjusted_cash_out": 0.0, "adjusted_position_size": 0, "adjusted_risk_amount": 0.0, "ask": 0.0, "bid": 0.0, "buy_zone_high": null, "buy_zone_low": null, "cash_available": 100000.0, "company_name": "JPMorgan Chase &amp; Co.", "correlation_warning": false, "days_to_earnings": 26, "earnings_blackout": false, "earnings_date": "2026-07-14T00:00:00", "estimated_fees": 0.0, "estimated_slippage": 0.4373, "estimated_spread": 0.0937, "executable_entry": 312.37,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312.37, "gross_rr": 0.0, "gross_rr_1": 0.0, "gross_rr_2": 0.0, "gross_rr_decision": 0.0, "highest_correlation_ticker": "", "highest_correlation_value": null, "initial_action": "SKIP", "market_cap": 836998968557.11,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312.6355, "net_reward_1_per_share": 0.0, "net_reward_2_per_share": 0.0, "net_risk_per_share": 312.901, "net_rr": 0.0, "net_rr_1": 0.0, "net_rr_2": 0.0, "net_stop_assumption": -0.2655, "net_target_1_assumption": -0.1562, "net_target_2_assumption": -0.1562, "normalized_atr_score": 100.0, "normalized_liquidity_score": 60.16, "normalized_momentum_score": 83.05, "normalized_quality_score": 80.42,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312.37,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312.37, "ticker": "JPM", "timestamp": "2026-06-08T00:27:00", "warnings": ["Target ATR feasibility unavailable."]}</t>
        </is>
      </c>
    </row>
    <row r="31">
      <c r="A31" t="inlineStr">
        <is>
          <t>2026-06-08T00:27:00</t>
        </is>
      </c>
      <c r="B31" t="inlineStr">
        <is>
          <t>GE</t>
        </is>
      </c>
      <c r="C31" t="inlineStr">
        <is>
          <t>No Trade</t>
        </is>
      </c>
      <c r="D31" t="n">
        <v>0</v>
      </c>
      <c r="E31" t="n">
        <v>328</v>
      </c>
      <c r="H31" t="n">
        <v>0</v>
      </c>
      <c r="K31" t="n">
        <v>0</v>
      </c>
      <c r="L31" t="inlineStr">
        <is>
          <t>No clean technical setup detected. Price in middle of value area or poor risk/reward.</t>
        </is>
      </c>
      <c r="M31" t="inlineStr">
        <is>
          <t>SKIP</t>
        </is>
      </c>
      <c r="N31" t="inlineStr">
        <is>
          <t>SKIP: No Trade result. Market regime NEUTRAL; sector NEUTRAL; net R/R 0.00.</t>
        </is>
      </c>
      <c r="O31" t="inlineStr">
        <is>
          <t>GE
No Trade
0.00
score
Price
328.00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284.61
Fib Zone
282.14 - 287.07
Swing Low
268.91
Swing High
310.00
Click chart to open full size</t>
        </is>
      </c>
      <c r="P31" t="inlineStr">
        <is>
          <t>C:\Users\User\Documents\Codex\2026-05-29\adva-mo-project-orion-https-github\work\market-lens-scanner\agent_results\charts\market_lens_agent_20260608_002548_ge.png</t>
        </is>
      </c>
      <c r="Q31" t="inlineStr">
        <is>
          <t>Smart Universe: broad liquid US universe, diversified by sector | Sector: Industrials - Neutral (67/100); XLI sector regime is neutral: 2.2% 3m return, -6.9% vs SPY | Setup: No Trade; score 0.00; R/R 0.00x; price 328.00 | Market: NEUTRAL; Sector regime: NEUTRAL; Net R/R: 0.00; Factors: Industrials | Agent action: SKIP - SKIP: No Trade result. Market regime NEUTRAL; sector NEUTRAL; net R/R 0.00.</t>
        </is>
      </c>
      <c r="R31" t="inlineStr">
        <is>
          <t>{"adjusted_cash_out": 0.0, "adjusted_position_size": 0, "adjusted_risk_amount": 0.0, "ask": 0.0, "bid": 0.0, "buy_zone_high": null, "buy_zone_low": null, "cash_available": 100000.0, "company_name": "GE Aerospace", "correlation_warning": false, "days_to_earnings": 28, "earnings_blackout": false, "earnings_date": "2026-07-16T00:00:00", "estimated_fees": 0.0, "estimated_slippage": 0.4592, "estimated_spread": 0.0984, "executable_entry": 328.0,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328.0, "gross_rr": 0.0, "gross_rr_1": 0.0, "gross_rr_2": 0.0, "gross_rr_decision": 0.0, "highest_correlation_ticker": "", "highest_correlation_value": null, "initial_action": "SKIP", "market_cap": 342704109784.0,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328.2788, "net_reward_1_per_share": 0.0, "net_reward_2_per_share": 0.0, "net_risk_per_share": 328.5576, "net_rr": 0.0, "net_rr_1": 0.0, "net_rr_2": 0.0, "net_stop_assumption": -0.2788, "net_target_1_assumption": -0.164, "net_target_2_assumption": -0.164, "normalized_atr_score": 100.0, "normalized_liquidity_score": 45.05, "normalized_momentum_score": 70.2, "normalized_quality_score": 70.11,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328.0,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328.0, "ticker": "GE", "timestamp": "2026-06-08T00:27:00", "warnings": ["Target ATR feasibility unavailable."]}</t>
        </is>
      </c>
    </row>
    <row r="32">
      <c r="A32" t="inlineStr">
        <is>
          <t>2026-06-08T00:27:00</t>
        </is>
      </c>
      <c r="B32" t="inlineStr">
        <is>
          <t>ABBV</t>
        </is>
      </c>
      <c r="C32" t="inlineStr">
        <is>
          <t>No Trade</t>
        </is>
      </c>
      <c r="D32" t="n">
        <v>0</v>
      </c>
      <c r="E32" t="n">
        <v>227.23</v>
      </c>
      <c r="H32" t="n">
        <v>0</v>
      </c>
      <c r="K32" t="n">
        <v>0</v>
      </c>
      <c r="L32" t="inlineStr">
        <is>
          <t>No clean technical setup detected. Price in middle of value area or poor risk/reward.</t>
        </is>
      </c>
      <c r="M32" t="inlineStr">
        <is>
          <t>SKIP</t>
        </is>
      </c>
      <c r="N32" t="inlineStr">
        <is>
          <t>SKIP: No Trade result. Market regime NEUTRAL; sector NEUTRAL; net R/R 0.00.</t>
        </is>
      </c>
      <c r="O32" t="inlineStr">
        <is>
          <t>ABBV
No Trade
0.00
score
Price
227.23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207.66
Fib Zone
206.26 - 209.05
Swing Low
200.02
Swing High
220.01
Click chart to open full size</t>
        </is>
      </c>
      <c r="P32" t="inlineStr">
        <is>
          <t>C:\Users\User\Documents\Codex\2026-05-29\adva-mo-project-orion-https-github\work\market-lens-scanner\agent_results\charts\market_lens_agent_20260608_002548_abbv.png</t>
        </is>
      </c>
      <c r="Q32" t="inlineStr">
        <is>
          <t>Smart Universe: broad liquid US universe, diversified by sector | Sector: Healthcare - Neutral (66/100); XLV sector regime is neutral: -0.4% 3m return, -9.4% vs SPY | Setup: No Trade; score 0.00; R/R 0.00x; price 227.23 | Market: NEUTRAL; Sector regime: NEUTRAL; Net R/R: 0.00; Factors: Defensive, Healthcare | Agent action: SKIP - SKIP: No Trade result. Market regime NEUTRAL; sector NEUTRAL; net R/R 0.00.</t>
        </is>
      </c>
      <c r="R32" t="inlineStr">
        <is>
          <t>{"adjusted_cash_out": 0.0, "adjusted_position_size": 0, "adjusted_risk_amount": 0.0, "ask": 0.0, "bid": 0.0, "buy_zone_high": null, "buy_zone_low": null, "cash_available": 100000.0, "company_name": "AbbVie Inc.", "correlation_warning": false, "days_to_earnings": 38, "earnings_blackout": false, "earnings_date": "2026-07-30T00:00:00", "estimated_fees": 0.0, "estimated_slippage": 0.3181, "estimated_spread": 0.0682, "executable_entry": 227.23,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227.23, "gross_rr": 0.0, "gross_rr_1": 0.0, "gross_rr_2": 0.0, "gross_rr_decision": 0.0, "highest_correlation_ticker": "", "highest_correlation_value": null, "initial_action": "SKIP", "market_cap": 401468325167.28,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227.4231, "net_reward_1_per_share": 0.0, "net_reward_2_per_share": 0.0, "net_risk_per_share": 227.6163, "net_rr": 0.0, "net_rr_1": 0.0, "net_rr_2": 0.0, "net_stop_assumption": -0.1931, "net_target_1_assumption": -0.1136, "net_target_2_assumption": -0.1136, "normalized_atr_score": 100.0, "normalized_liquidity_score": 39.65, "normalized_momentum_score": 71.99, "normalized_quality_score": 69.29,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227.23,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227.23, "ticker": "ABBV", "timestamp": "2026-06-08T00:27:00", "warnings": ["Target ATR feasibility unavailable."]}</t>
        </is>
      </c>
    </row>
    <row r="33">
      <c r="A33" t="inlineStr">
        <is>
          <t>2026-06-08T00:27:00</t>
        </is>
      </c>
      <c r="B33" t="inlineStr">
        <is>
          <t>SLB</t>
        </is>
      </c>
      <c r="C33" t="inlineStr">
        <is>
          <t>No Trade</t>
        </is>
      </c>
      <c r="D33" t="n">
        <v>0</v>
      </c>
      <c r="E33" t="n">
        <v>54.87</v>
      </c>
      <c r="H33" t="n">
        <v>0</v>
      </c>
      <c r="K33" t="n">
        <v>0</v>
      </c>
      <c r="L33" t="inlineStr">
        <is>
          <t>No clean technical setup detected. Price in middle of value area or poor risk/reward.</t>
        </is>
      </c>
      <c r="M33" t="inlineStr">
        <is>
          <t>SKIP</t>
        </is>
      </c>
      <c r="N33" t="inlineStr">
        <is>
          <t>SKIP: No Trade result. Market regime NEUTRAL; sector NEUTRAL; net R/R 0.00.</t>
        </is>
      </c>
      <c r="O33" t="inlineStr">
        <is>
          <t>SLB
No Trade
0.00
score
Price
54.87
R/R
0.00x
Grade
No Trade
Quality
0%
Buy Zone
-
Stop
0.00
Targets
-
Skip
Mixed
Relative Strength
Leadership
100%
Trend Quality
Constructive
68%
Liquidity
Institutional liquidity
100%
Volume
Distribution risk
30%
No actionable setup detected.
No clean technical setup detected. Price in middle of value area or poor risk/reward.
Fib 61.8
54.77
Fib Zone
54.33 - 55.21
Swing Low
52.45
Swing High
58.51
Click chart to open full size</t>
        </is>
      </c>
      <c r="P33" t="inlineStr">
        <is>
          <t>C:\Users\User\Documents\Codex\2026-05-29\adva-mo-project-orion-https-github\work\market-lens-scanner\agent_results\charts\market_lens_agent_20260608_002548_slb.png</t>
        </is>
      </c>
      <c r="Q33" t="inlineStr">
        <is>
          <t>Smart Universe: broad liquid US universe, diversified by sector | Sector: Energy - Neutral (48/100); XLE sector regime is neutral: 3.1% 3m return, -6.0% vs SPY | Setup: No Trade; score 0.00; R/R 0.00x; price 54.87 | Market: NEUTRAL; Sector regime: NEUTRAL; Net R/R: 0.00; Factors: Energy | Agent action: SKIP - SKIP: No Trade result. Market regime NEUTRAL; sector NEUTRAL; net R/R 0.00.</t>
        </is>
      </c>
      <c r="R33" t="inlineStr">
        <is>
          <t>{"adjusted_cash_out": 0.0, "adjusted_position_size": 0, "adjusted_risk_amount": 0.0, "ask": 0.0, "bid": 0.0, "buy_zone_high": null, "buy_zone_low": null, "cash_available": 100000.0, "company_name": "Schlumberger Limited", "correlation_warning": false, "days_to_earnings": 34, "earnings_blackout": false, "earnings_date": "2026-07-24T00:00:00", "estimated_fees": 0.0, "estimated_slippage": 0.0768, "estimated_spread": 0.0165, "executable_entry": 54.87, "execution_liquidity_bucket": "large_liquid", "factor_exposure_after": {}, "factor_exposure_before": {}, "factor_exposure_cap": 7000.0, "factor_exposure_limit_exceeded": false, "factor_tags": ["Energy"], "final_action": "SKIP", "gross_reward_1_per_share": 0.0, "gross_reward_2_per_share": 0.0, "gross_risk_per_share": 54.87, "gross_rr": 0.0, "gross_rr_1": 0.0, "gross_rr_2": 0.0, "gross_rr_decision": 0.0, "highest_correlation_ticker": "", "highest_correlation_value": null, "initial_action": "SKIP", "market_cap": 82033812262.18,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54.9166, "net_reward_1_per_share": 0.0, "net_reward_2_per_share": 0.0, "net_risk_per_share": 54.9633, "net_rr": 0.0, "net_rr_1": 0.0, "net_rr_2": 0.0, "net_stop_assumption": -0.0466, "net_target_1_assumption": -0.0274, "net_target_2_assumption": -0.0274, "normalized_atr_score": 100.0, "normalized_liquidity_score": 56.73, "normalized_momentum_score": 100, "normalized_quality_score": 87.02,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54.87, "prior_high_20": 0.0, "prior_high_63": 0.0, "reason": "SKIP: No Trade result. Market regime NEUTRAL; sector NEUTRAL; net R/R 0.00.", "risk_amount": 0.0, "scan_source": "Smart Universe: broad liquid US universe filtered and diversified by the Market Lens UI.", "sector": "Energy", "sector_etf": "XLE", "sector_exposure_after": 0.0, "sector_exposure_before": 0.0, "sector_exposure_cap": 6000.0, "sector_exposure_limit_exceeded": false, "sector_regime": "NEUTRAL", "sector_score": 47.51,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54.87, "ticker": "SLB", "timestamp": "2026-06-08T00:27:00", "warnings": ["Target ATR feasibility unavailable."]}</t>
        </is>
      </c>
    </row>
    <row r="34">
      <c r="A34" t="inlineStr">
        <is>
          <t>2026-06-08T00:27:00</t>
        </is>
      </c>
      <c r="B34" t="inlineStr">
        <is>
          <t>NVDA</t>
        </is>
      </c>
      <c r="C34" t="inlineStr">
        <is>
          <t>No Trade</t>
        </is>
      </c>
      <c r="D34" t="n">
        <v>0</v>
      </c>
      <c r="E34" t="n">
        <v>205.1</v>
      </c>
      <c r="H34" t="n">
        <v>0</v>
      </c>
      <c r="K34" t="n">
        <v>0</v>
      </c>
      <c r="L34" t="inlineStr">
        <is>
          <t>No clean technical setup detected. Price in middle of value area or poor risk/reward.</t>
        </is>
      </c>
      <c r="M34" t="inlineStr">
        <is>
          <t>SKIP</t>
        </is>
      </c>
      <c r="N34" t="inlineStr">
        <is>
          <t>SKIP: No Trade result. Market regime NEUTRAL; sector STRONG; net R/R 0.00.</t>
        </is>
      </c>
      <c r="O34" t="inlineStr">
        <is>
          <t>NVDA
No Trade
0.00
score
Price
205.10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210.46
Fib Zone
208.33 - 212.59
Swing Low
194.51
Swing High
236.26
Click chart to open full size</t>
        </is>
      </c>
      <c r="P34" t="inlineStr">
        <is>
          <t>C:\Users\User\Documents\Codex\2026-05-29\adva-mo-project-orion-https-github\work\market-lens-scanner\agent_results\charts\market_lens_agent_20260608_002548_nvda.png</t>
        </is>
      </c>
      <c r="Q34" t="inlineStr">
        <is>
          <t>Smart Universe: broad liquid US universe, diversified by sector | Sector: Technology - Strong (76/100); XLK sector regime is strong: 29.2% 3m return, 20.1% vs SPY | Setup: No Trade; score 0.00; R/R 0.00x; price 205.10 | Market: NEUTRAL; Sector regime: STRONG; Net R/R: 0.00; Factors: AI / Semiconductors, High Beta Growth, Mega Cap Tech, Rates-sensitive Growth, Technology | Agent action: SKIP - SKIP: No Trade result. Market regime NEUTRAL; sector STRONG; net R/R 0.00.</t>
        </is>
      </c>
      <c r="R34" t="inlineStr">
        <is>
          <t>{"adjusted_cash_out": 0.0, "adjusted_position_size": 0, "adjusted_risk_amount": 0.0, "ask": 0.0, "bid": 0.0, "buy_zone_high": null, "buy_zone_low": null, "cash_available": 100000.0, "company_name": "NVIDIA Corporation", "correlation_warning": false, "days_to_earnings": 57, "earnings_blackout": false, "earnings_date": "2026-08-26T00:00:00", "estimated_fees": 0.0, "estimated_slippage": 0.2871, "estimated_spread": 0.0615, "executable_entry": 205.1, "execution_liquidity_bucket": "large_liquid", "factor_exposure_after": {}, "factor_exposure_before": {}, "factor_exposure_cap": 7000.0, "factor_exposure_limit_exceeded": false, "factor_tags": ["AI / Semiconductors", "High Beta Growth", "Mega Cap Tech", "Rates-sensitive Growth", "Technology"], "final_action": "SKIP", "gross_reward_1_per_share": 0.0, "gross_reward_2_per_share": 0.0, "gross_risk_per_share": 205.1, "gross_rr": 0.0, "gross_rr_1": 0.0, "gross_rr_2": 0.0, "gross_rr_decision": 0.0, "highest_correlation_ticker": "", "highest_correlation_value": null, "initial_action": "SKIP", "market_cap": 4967727247833.25,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205.2743, "net_reward_1_per_share": 0.0, "net_reward_2_per_share": 0.0, "net_risk_per_share": 205.4487, "net_rr": 0.0, "net_rr_1": 0.0, "net_rr_2": 0.0, "net_stop_assumption": -0.1743, "net_target_1_assumption": -0.1026, "net_target_2_assumption": -0.1026, "normalized_atr_score": 100.0, "normalized_liquidity_score": 100, "normalized_momentum_score": 90.08, "normalized_quality_score": 95.54,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205.1,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205.1, "ticker": "NVDA", "timestamp": "2026-06-08T00:27:00", "warnings": ["Target ATR feasibility unavailable."]}</t>
        </is>
      </c>
    </row>
    <row r="35">
      <c r="A35" t="inlineStr">
        <is>
          <t>2026-06-08T00:27:00</t>
        </is>
      </c>
      <c r="B35" t="inlineStr">
        <is>
          <t>AVGO</t>
        </is>
      </c>
      <c r="C35" t="inlineStr">
        <is>
          <t>No Trade</t>
        </is>
      </c>
      <c r="D35" t="n">
        <v>0</v>
      </c>
      <c r="E35" t="n">
        <v>385.73</v>
      </c>
      <c r="H35" t="n">
        <v>0</v>
      </c>
      <c r="K35" t="n">
        <v>0</v>
      </c>
      <c r="L35" t="inlineStr">
        <is>
          <t>No clean technical setup detected. Price in middle of value area or poor risk/reward.</t>
        </is>
      </c>
      <c r="M35" t="inlineStr">
        <is>
          <t>SKIP</t>
        </is>
      </c>
      <c r="N35" t="inlineStr">
        <is>
          <t>SKIP: No Trade result. Market regime NEUTRAL; sector STRONG; net R/R 0.00.</t>
        </is>
      </c>
      <c r="O35" t="inlineStr">
        <is>
          <t>AVGO
No Trade
0.00
score
Price
385.73
R/R
0.00x
Grade
No Trade
Quality
0%
Buy Zone
-
Stop
0.00
Targets
-
Skip
Mixed
Relative Strength
Leadership
100%
Trend Quality
Messy
28%
Liquidity
Institutional liquidity
100%
Volume
Confirmed
85%
No actionable setup detected.
No clean technical setup detected. Price in middle of value area or poor risk/reward.
Fib 61.8
343.19
Fib Zone
337.54 - 348.85
Swing Low
289.96
Swing High
429.31
Click chart to open full size</t>
        </is>
      </c>
      <c r="P35" t="inlineStr">
        <is>
          <t>C:\Users\User\Documents\Codex\2026-05-29\adva-mo-project-orion-https-github\work\market-lens-scanner\agent_results\charts\market_lens_agent_20260608_002548_avgo.png</t>
        </is>
      </c>
      <c r="Q35" t="inlineStr">
        <is>
          <t>Smart Universe: broad liquid US universe, diversified by sector | Sector: Technology - Strong (76/100); XLK sector regime is strong: 29.2% 3m return, 20.1% vs SPY | Setup: No Trade; score 0.00; R/R 0.00x; price 385.73 | Market: NEUTRAL; Sector regime: STRONG; Net R/R: 0.00; Factors: AI / Semiconductors, Mega Cap Tech, Rates-sensitive Growth, Technology | Agent action: SKIP - SKIP: No Trade result. Market regime NEUTRAL; sector STRONG; net R/R 0.00.</t>
        </is>
      </c>
      <c r="R35" t="inlineStr">
        <is>
          <t>{"adjusted_cash_out": 0.0, "adjusted_position_size": 0, "adjusted_risk_amount": 0.0, "ask": 0.0, "bid": 0.0, "buy_zone_high": null, "buy_zone_low": null, "cash_available": 100000.0, "company_name": "Broadcom Inc.", "correlation_warning": false, "days_to_earnings": 63, "earnings_blackout": false, "earnings_date": "2026-09-03T00:00:00", "estimated_fees": 0.0, "estimated_slippage": 0.54, "estimated_spread": 0.1157, "executable_entry": 385.73, "execution_liquidity_bucket": "large_liquid", "factor_exposure_after": {}, "factor_exposure_before": {}, "factor_exposure_cap": 7000.0, "factor_exposure_limit_exceeded": false, "factor_tags": ["AI / Semiconductors", "Mega Cap Tech", "Rates-sensitive Growth", "Technology"], "final_action": "SKIP", "gross_reward_1_per_share": 0.0, "gross_reward_2_per_share": 0.0, "gross_risk_per_share": 385.73, "gross_rr": 0.0, "gross_rr_1": 0.0, "gross_rr_2": 0.0, "gross_rr_decision": 0.0, "highest_correlation_ticker": "", "highest_correlation_value": null, "initial_action": "SKIP", "market_cap": 1826303610630.94,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386.0579, "net_reward_1_per_share": 0.0, "net_reward_2_per_share": 0.0, "net_risk_per_share": 386.3857, "net_rr": 0.0, "net_rr_1": 0.0, "net_rr_2": 0.0, "net_stop_assumption": -0.3279, "net_target_1_assumption": -0.1929, "net_target_2_assumption": -0.1929, "normalized_atr_score": 88.92, "normalized_liquidity_score": 100, "normalized_momentum_score": 82.06, "normalized_quality_score": 89.16,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385.73,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385.73, "ticker": "AVGO", "timestamp": "2026-06-08T00:27:00", "warnings": ["Target ATR feasibility unavailable."]}</t>
        </is>
      </c>
    </row>
    <row r="36">
      <c r="A36" t="inlineStr">
        <is>
          <t>2026-06-08T00:27:00</t>
        </is>
      </c>
      <c r="B36" t="inlineStr">
        <is>
          <t>NOW</t>
        </is>
      </c>
      <c r="C36" t="inlineStr">
        <is>
          <t>No Trade</t>
        </is>
      </c>
      <c r="D36" t="n">
        <v>0</v>
      </c>
      <c r="E36" t="n">
        <v>112.45</v>
      </c>
      <c r="H36" t="n">
        <v>0</v>
      </c>
      <c r="K36" t="n">
        <v>0</v>
      </c>
      <c r="L36" t="inlineStr">
        <is>
          <t>No clean technical setup detected. Price in middle of value area or poor risk/reward.</t>
        </is>
      </c>
      <c r="M36" t="inlineStr">
        <is>
          <t>SKIP</t>
        </is>
      </c>
      <c r="N36" t="inlineStr">
        <is>
          <t>SKIP: No Trade result. Market regime NEUTRAL; sector STRONG; net R/R 0.00.</t>
        </is>
      </c>
      <c r="O36" t="inlineStr">
        <is>
          <t>NOW
No Trade
0.00
score
Price
112.45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95.14
Fib Zone
93.19 - 97.09
Swing Low
85.44
Swing High
110.83
Click chart to open full size</t>
        </is>
      </c>
      <c r="P36" t="inlineStr">
        <is>
          <t>C:\Users\User\Documents\Codex\2026-05-29\adva-mo-project-orion-https-github\work\market-lens-scanner\agent_results\charts\market_lens_agent_20260608_002548_now.png</t>
        </is>
      </c>
      <c r="Q36" t="inlineStr">
        <is>
          <t>Smart Universe: broad liquid US universe, diversified by sector | Sector: Technology - Strong (76/100); XLK sector regime is strong: 29.2% 3m return, 20.1% vs SPY | Setup: No Trade; score 0.00; R/R 0.00x; price 112.45 | Market: NEUTRAL; Sector regime: STRONG; Net R/R: 0.00; Factors: High Beta Growth, Technology | Agent action: SKIP - SKIP: No Trade result. Market regime NEUTRAL; sector STRONG; net R/R 0.00.</t>
        </is>
      </c>
      <c r="R36" t="inlineStr">
        <is>
          <t>{"adjusted_cash_out": 0.0, "adjusted_position_size": 0, "adjusted_risk_amount": 0.0, "ask": 0.0, "bid": 0.0, "buy_zone_high": null, "buy_zone_low": null, "cash_available": 100000.0, "company_name": "ServiceNow, Inc.", "correlation_warning": false, "days_to_earnings": 32, "earnings_blackout": false, "earnings_date": "2026-07-22T00:00:00", "estimated_fees": 0.0, "estimated_slippage": 0.181, "estimated_spread": 0.0337, "executable_entry": 112.45, "execution_liquidity_bucket": "large_liquid", "factor_exposure_after": {}, "factor_exposure_before": {}, "factor_exposure_cap": 7000.0, "factor_exposure_limit_exceeded": false, "factor_tags": ["High Beta Growth", "Technology"], "final_action": "SKIP", "gross_reward_1_per_share": 0.0, "gross_reward_2_per_share": 0.0, "gross_risk_per_share": 112.45, "gross_rr": 0.0, "gross_rr_1": 0.0, "gross_rr_2": 0.0, "gross_rr_decision": 0.0, "highest_correlation_ticker": "", "highest_correlation_value": null, "initial_action": "SKIP", "market_cap": 115970581452.7,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112.5574, "net_reward_1_per_share": 0.0, "net_reward_2_per_share": 0.0, "net_risk_per_share": 112.6648, "net_rr": 0.0, "net_rr_1": 0.0, "net_rr_2": 0.0, "net_stop_assumption": -0.1074, "net_target_1_assumption": -0.0621, "net_target_2_assumption": -0.0621, "normalized_atr_score": 86.89, "normalized_liquidity_score": 100, "normalized_momentum_score": 57.36, "normalized_quality_score": 77.53,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112.45,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112.45, "ticker": "NOW", "timestamp": "2026-06-08T00:27:00", "warnings": ["Target ATR feasibility unavailable."]}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16" customWidth="1" style="52" min="14" max="14"/>
    <col width="16" customWidth="1" style="52" min="15" max="15"/>
    <col width="45" customWidth="1" style="52" min="16" max="16"/>
    <col width="16" customWidth="1" style="52" min="17" max="17"/>
  </cols>
  <sheetData>
    <row r="1">
      <c r="A1" s="36" t="inlineStr">
        <is>
          <t>Timestamp</t>
        </is>
      </c>
      <c r="B1" s="36" t="inlineStr">
        <is>
          <t>Action</t>
        </is>
      </c>
      <c r="C1" s="36" t="inlineStr">
        <is>
          <t>Ticker</t>
        </is>
      </c>
      <c r="D1" s="36" t="inlineStr">
        <is>
          <t>Entry Price USD</t>
        </is>
      </c>
      <c r="E1" s="36" t="inlineStr">
        <is>
          <t>Exit Price USD</t>
        </is>
      </c>
      <c r="F1" s="36" t="inlineStr">
        <is>
          <t>Quantity</t>
        </is>
      </c>
      <c r="G1" s="36" t="inlineStr">
        <is>
          <t>USD/ILS</t>
        </is>
      </c>
      <c r="H1" s="36" t="inlineStr">
        <is>
          <t>Buy Value</t>
        </is>
      </c>
      <c r="I1" s="36" t="inlineStr">
        <is>
          <t>Sell Value</t>
        </is>
      </c>
      <c r="J1" s="36" t="inlineStr">
        <is>
          <t>Cash Out</t>
        </is>
      </c>
      <c r="K1" s="36" t="inlineStr">
        <is>
          <t>Cash In</t>
        </is>
      </c>
      <c r="L1" s="36" t="inlineStr">
        <is>
          <t>Stop Loss USD</t>
        </is>
      </c>
      <c r="M1" s="36" t="inlineStr">
        <is>
          <t>Target 1 USD</t>
        </is>
      </c>
      <c r="N1" s="36" t="inlineStr">
        <is>
          <t>Target 2 USD</t>
        </is>
      </c>
      <c r="O1" s="36" t="inlineStr">
        <is>
          <t>Risk</t>
        </is>
      </c>
      <c r="P1" s="36" t="inlineStr">
        <is>
          <t>Reason</t>
        </is>
      </c>
      <c r="Q1" s="36" t="inlineStr">
        <is>
          <t>Screenshot</t>
        </is>
      </c>
      <c r="R1" t="inlineStr">
        <is>
          <t>Chart URL</t>
        </is>
      </c>
      <c r="S1" t="inlineStr">
        <is>
          <t>Selection Context</t>
        </is>
      </c>
      <c r="T1" t="inlineStr">
        <is>
          <t>Decision JSON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40" customWidth="1" style="52" min="14" max="14"/>
    <col width="16" customWidth="1" style="52" min="15" max="15"/>
  </cols>
  <sheetData>
    <row r="1">
      <c r="A1" s="42" t="inlineStr">
        <is>
          <t>Ticker</t>
        </is>
      </c>
      <c r="B1" s="42" t="inlineStr">
        <is>
          <t>Entry Date</t>
        </is>
      </c>
      <c r="C1" s="42" t="inlineStr">
        <is>
          <t>Entry Price USD</t>
        </is>
      </c>
      <c r="D1" s="42" t="inlineStr">
        <is>
          <t>Current Price USD</t>
        </is>
      </c>
      <c r="E1" s="42" t="inlineStr">
        <is>
          <t>Quantity</t>
        </is>
      </c>
      <c r="F1" s="42" t="inlineStr">
        <is>
          <t>Stop Loss USD</t>
        </is>
      </c>
      <c r="G1" s="42" t="inlineStr">
        <is>
          <t>Target 1 USD</t>
        </is>
      </c>
      <c r="H1" s="42" t="inlineStr">
        <is>
          <t>Target 2 USD</t>
        </is>
      </c>
      <c r="I1" s="42" t="inlineStr">
        <is>
          <t>Status</t>
        </is>
      </c>
      <c r="J1" s="42" t="inlineStr">
        <is>
          <t>Unrealized P/L USD</t>
        </is>
      </c>
      <c r="K1" s="42" t="inlineStr">
        <is>
          <t>Unrealized P/L</t>
        </is>
      </c>
      <c r="L1" s="42" t="inlineStr">
        <is>
          <t>Exposure</t>
        </is>
      </c>
      <c r="M1" s="42" t="inlineStr">
        <is>
          <t>Risk</t>
        </is>
      </c>
      <c r="N1" s="42" t="inlineStr">
        <is>
          <t>Notes</t>
        </is>
      </c>
      <c r="O1" s="42" t="inlineStr">
        <is>
          <t>Screenshot</t>
        </is>
      </c>
      <c r="P1" t="inlineStr">
        <is>
          <t>Chart URL</t>
        </is>
      </c>
      <c r="Q1" t="inlineStr">
        <is>
          <t>Selection Context</t>
        </is>
      </c>
      <c r="R1" t="inlineStr">
        <is>
          <t>Decision JSON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8" customWidth="1" style="52" min="4" max="4"/>
    <col width="45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</cols>
  <sheetData>
    <row r="1">
      <c r="A1" s="48" t="inlineStr">
        <is>
          <t>Run Timestamp</t>
        </is>
      </c>
      <c r="B1" s="48" t="inlineStr">
        <is>
          <t>Run ID</t>
        </is>
      </c>
      <c r="C1" s="48" t="inlineStr">
        <is>
          <t>Scanned Tickers</t>
        </is>
      </c>
      <c r="D1" s="48" t="inlineStr">
        <is>
          <t>Valid Setups</t>
        </is>
      </c>
      <c r="E1" s="48" t="inlineStr">
        <is>
          <t>Actions Summary</t>
        </is>
      </c>
      <c r="F1" s="48" t="inlineStr">
        <is>
          <t>Cash</t>
        </is>
      </c>
      <c r="G1" s="48" t="inlineStr">
        <is>
          <t>Exposure</t>
        </is>
      </c>
      <c r="H1" s="48" t="inlineStr">
        <is>
          <t>Open Risk</t>
        </is>
      </c>
      <c r="I1" s="48" t="inlineStr">
        <is>
          <t>Open Positions</t>
        </is>
      </c>
      <c r="J1" s="48" t="inlineStr">
        <is>
          <t>Summary</t>
        </is>
      </c>
      <c r="K1" s="48" t="inlineStr">
        <is>
          <t>Screenshot</t>
        </is>
      </c>
      <c r="L1" t="inlineStr">
        <is>
          <t>Decision JSONL</t>
        </is>
      </c>
    </row>
    <row r="2">
      <c r="A2" t="inlineStr">
        <is>
          <t>2026-06-08T00:27:00</t>
        </is>
      </c>
      <c r="B2" t="inlineStr">
        <is>
          <t>20260608_002548</t>
        </is>
      </c>
      <c r="C2" t="inlineStr">
        <is>
          <t>V AMAT PANW KLAC ORCL CRWD MU UNH MS SMCI CAT GS URI ASML LRCX TXN AMD C AAPL LLY TSM BAC UPS PSX UNP ANET MRK UDR JPM GE ABBV SLB NVDA AVGO NOW</t>
        </is>
      </c>
      <c r="D2" t="n">
        <v>1</v>
      </c>
      <c r="E2" t="inlineStr">
        <is>
          <t>V:WATCH, AMAT:SKIP, PANW:SKIP, KLAC:SKIP, ORCL:SKIP, CRWD:SKIP, MU:SKIP, UNH:SKIP, MS:SKIP, SMCI:SKIP, CAT:SKIP, GS:SKIP, URI:SKIP, ASML:SKIP, LRCX:SKIP, TXN:SKIP, AMD:SKIP, C:SKIP, AAPL:SKIP, LLY:SKIP, TSM:SKIP, BAC:SKIP, UPS:SKIP, PSX:SKIP, UNP:SKIP, ANET:SKIP, MRK:SKIP, UDR:SKIP, JPM:SKIP, GE:SKIP, ABBV:SKIP, SLB:SKIP, NVDA:SKIP, AVGO:SKIP, NOW:SKIP</t>
        </is>
      </c>
      <c r="F2" t="n">
        <v>100000</v>
      </c>
      <c r="G2" t="n">
        <v>0</v>
      </c>
      <c r="H2" t="n">
        <v>0</v>
      </c>
      <c r="I2" t="n">
        <v>0</v>
      </c>
      <c r="J2" t="inlineStr">
        <is>
          <t>C:\Users\User\Documents\Codex\2026-05-29\adva-mo-project-orion-https-github\work\market-lens-scanner\agent_results\summaries\market_lens_agent_20260608_002548.md</t>
        </is>
      </c>
      <c r="K2" t="inlineStr">
        <is>
          <t>C:\Users\User\Documents\Codex\2026-05-29\adva-mo-project-orion-https-github\work\market-lens-scanner\agent_results\screenshots\market_lens_agent_20260608_002548.png</t>
        </is>
      </c>
      <c r="L2" t="inlineStr">
        <is>
          <t>C:\Users\User\Documents\Codex\2026-05-29\adva-mo-project-orion-https-github\work\market-lens-scanner\agent_results\decisions\market_lens_agent_20260608_002548.jsonl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3.01000022888184" customWidth="1" style="52" min="1" max="1"/>
    <col width="39.29999923706055" customWidth="1" style="52" min="2" max="2"/>
    <col width="38" customWidth="1" style="52" min="3" max="3"/>
    <col width="24" customWidth="1" style="52" min="4" max="4"/>
  </cols>
  <sheetData>
    <row r="1">
      <c r="A1" s="22" t="inlineStr">
        <is>
          <t>Setting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Source/Note</t>
        </is>
      </c>
    </row>
    <row r="2">
      <c r="A2" t="inlineStr">
        <is>
          <t>starting_capital_usd</t>
        </is>
      </c>
      <c r="B2" s="66" t="n">
        <v>100000</v>
      </c>
      <c r="C2" t="inlineStr">
        <is>
          <t>Initial paper portfolio capital</t>
        </is>
      </c>
      <c r="D2" t="inlineStr">
        <is>
          <t>User requirement</t>
        </is>
      </c>
    </row>
    <row r="3">
      <c r="A3" t="inlineStr">
        <is>
          <t>usd_conversion_rate</t>
        </is>
      </c>
      <c r="B3" s="66" t="n">
        <v>1</v>
      </c>
      <c r="C3" t="inlineStr">
        <is>
          <t>Used for converting USD trade prices to USD; update manually</t>
        </is>
      </c>
      <c r="D3" t="inlineStr">
        <is>
          <t>Manual input</t>
        </is>
      </c>
    </row>
    <row r="4">
      <c r="A4" t="inlineStr">
        <is>
          <t>max_position_allocation_pct</t>
        </is>
      </c>
      <c r="B4" s="66" t="n">
        <v>0.1</v>
      </c>
      <c r="C4" t="inlineStr">
        <is>
          <t>Max 10% allocation per ticker</t>
        </is>
      </c>
      <c r="D4" t="inlineStr">
        <is>
          <t>Agent risk rule</t>
        </is>
      </c>
    </row>
    <row r="5">
      <c r="A5" t="inlineStr">
        <is>
          <t>max_total_exposure_pct</t>
        </is>
      </c>
      <c r="B5" s="66" t="n">
        <v>0.4</v>
      </c>
      <c r="C5" t="inlineStr">
        <is>
          <t>Max starting total exposure</t>
        </is>
      </c>
      <c r="D5" t="inlineStr">
        <is>
          <t>Agent risk rule</t>
        </is>
      </c>
    </row>
    <row r="6">
      <c r="A6" t="inlineStr">
        <is>
          <t>max_risk_per_trade_pct</t>
        </is>
      </c>
      <c r="B6" s="66" t="n">
        <v>0.01</v>
      </c>
      <c r="C6" t="inlineStr">
        <is>
          <t>Max 1% risk per setup</t>
        </is>
      </c>
      <c r="D6" t="inlineStr">
        <is>
          <t>Agent risk rule</t>
        </is>
      </c>
    </row>
    <row r="7">
      <c r="A7" t="inlineStr">
        <is>
          <t>min_risk_reward</t>
        </is>
      </c>
      <c r="B7" t="n">
        <v>2</v>
      </c>
      <c r="C7" t="inlineStr">
        <is>
          <t>Minimum R/R for simulated entry</t>
        </is>
      </c>
      <c r="D7" t="inlineStr">
        <is>
          <t>Agent risk rule</t>
        </is>
      </c>
    </row>
    <row r="8">
      <c r="A8" t="inlineStr">
        <is>
          <t>paper_trading_only</t>
        </is>
      </c>
      <c r="B8" t="b">
        <v>1</v>
      </c>
      <c r="C8" t="inlineStr">
        <is>
          <t>No real orders are executed</t>
        </is>
      </c>
      <c r="D8" t="inlineStr">
        <is>
          <t>Safety constraint</t>
        </is>
      </c>
    </row>
    <row r="9">
      <c r="A9" t="inlineStr">
        <is>
          <t>app_url</t>
        </is>
      </c>
      <c r="B9" t="inlineStr">
        <is>
          <t>https://market-lens-scanner.onrender.com/</t>
        </is>
      </c>
      <c r="C9" t="inlineStr">
        <is>
          <t>Market Lens UI</t>
        </is>
      </c>
      <c r="D9" t="inlineStr">
        <is>
          <t>App URL</t>
        </is>
      </c>
    </row>
    <row r="10">
      <c r="A10" t="inlineStr">
        <is>
          <t>tracking_days</t>
        </is>
      </c>
      <c r="B10" t="n">
        <v>30</v>
      </c>
      <c r="C10" t="inlineStr">
        <is>
          <t>Planned monitoring period</t>
        </is>
      </c>
      <c r="D10" t="inlineStr">
        <is>
          <t>User requirement</t>
        </is>
      </c>
    </row>
    <row r="11">
      <c r="A11" t="inlineStr">
        <is>
          <t>Budget Definition</t>
        </is>
      </c>
    </row>
    <row r="12">
      <c r="A12" s="64" t="inlineStr">
        <is>
          <t>agent_budget_usd</t>
        </is>
      </c>
      <c r="B12" t="n">
        <v>100000</v>
      </c>
    </row>
    <row r="13">
      <c r="A13" s="56" t="inlineStr">
        <is>
          <t>budget_currency</t>
        </is>
      </c>
      <c r="B13" s="65" t="inlineStr">
        <is>
          <t>USD</t>
        </is>
      </c>
      <c r="C13" t="inlineStr">
        <is>
          <t>Total budget available for the Market Lens paper-trading agent</t>
        </is>
      </c>
      <c r="D13" t="inlineStr">
        <is>
          <t>User requirement</t>
        </is>
      </c>
    </row>
    <row r="14">
      <c r="A14" s="56" t="inlineStr">
        <is>
          <t>budget_mode</t>
        </is>
      </c>
      <c r="B14" t="inlineStr">
        <is>
          <t>Paper Trading</t>
        </is>
      </c>
      <c r="C14" t="inlineStr">
        <is>
          <t>Budget currency for portfolio tracking</t>
        </is>
      </c>
      <c r="D14" t="inlineStr">
        <is>
          <t>User requirement</t>
        </is>
      </c>
    </row>
    <row r="15">
      <c r="A15" s="56" t="inlineStr">
        <is>
          <t>budget_rule</t>
        </is>
      </c>
      <c r="B15" t="inlineStr">
        <is>
          <t>Do not exceed 100,000 USD total simulated capital</t>
        </is>
      </c>
      <c r="C15" t="inlineStr">
        <is>
          <t>100,000 USD is simulated capital only, not real-money execution</t>
        </is>
      </c>
      <c r="D15" t="inlineStr">
        <is>
          <t>Safety constraint</t>
        </is>
      </c>
    </row>
    <row r="16">
      <c r="A16" s="56" t="n"/>
      <c r="C16" t="inlineStr">
        <is>
          <t>Agent must manage cash, exposure and risk inside this budget</t>
        </is>
      </c>
      <c r="D16" t="inlineStr">
        <is>
          <t>Agent rule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style="52" min="1" max="1"/>
    <col width="36" customWidth="1" style="52" min="2" max="2"/>
    <col width="36" customWidth="1" style="52" min="3" max="3"/>
  </cols>
  <sheetData>
    <row r="1">
      <c r="A1" s="50" t="inlineStr">
        <is>
          <t>Topic</t>
        </is>
      </c>
      <c r="B1" s="50" t="inlineStr">
        <is>
          <t>URL</t>
        </is>
      </c>
      <c r="C1" s="50" t="inlineStr">
        <is>
          <t>Why it matters</t>
        </is>
      </c>
    </row>
    <row r="2">
      <c r="A2" s="13" t="inlineStr">
        <is>
          <t>Market Lens app</t>
        </is>
      </c>
      <c r="B2" s="13" t="inlineStr">
        <is>
          <t>https://market-lens-scanner.onrender.com/</t>
        </is>
      </c>
      <c r="C2" s="13" t="inlineStr">
        <is>
          <t>UI used by the Agent</t>
        </is>
      </c>
    </row>
    <row r="3">
      <c r="A3" s="13" t="inlineStr">
        <is>
          <t>Playwright Python docs</t>
        </is>
      </c>
      <c r="B3" s="13" t="inlineStr">
        <is>
          <t>https://playwright.dev/python/docs/intro</t>
        </is>
      </c>
      <c r="C3" s="13" t="inlineStr">
        <is>
          <t>Browser automation / UI Agent framework</t>
        </is>
      </c>
    </row>
    <row r="4">
      <c r="A4" s="13" t="inlineStr">
        <is>
          <t>Playwright Locator docs</t>
        </is>
      </c>
      <c r="B4" s="13" t="inlineStr">
        <is>
          <t>https://playwright.dev/python/docs/api/class-locator</t>
        </is>
      </c>
      <c r="C4" s="13" t="inlineStr">
        <is>
          <t>Reliable element selection</t>
        </is>
      </c>
    </row>
    <row r="5">
      <c r="A5" s="13" t="inlineStr">
        <is>
          <t>openpyxl docs</t>
        </is>
      </c>
      <c r="B5" s="13" t="inlineStr">
        <is>
          <t>https://openpyxl.readthedocs.io/</t>
        </is>
      </c>
      <c r="C5" s="13" t="inlineStr">
        <is>
          <t>Excel read/write library used by the external Agent</t>
        </is>
      </c>
    </row>
    <row r="6">
      <c r="A6" s="13" t="inlineStr">
        <is>
          <t>Microsoft schtasks docs</t>
        </is>
      </c>
      <c r="B6" s="13" t="inlineStr">
        <is>
          <t>https://learn.microsoft.com/en-us/windows-server/administration/windows-commands/schtasks</t>
        </is>
      </c>
      <c r="C6" s="13" t="inlineStr">
        <is>
          <t>Windows scheduled task automation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3.7400016784668" customWidth="1" style="52" min="1" max="1"/>
    <col width="10.89999961853027" customWidth="1" style="52" min="2" max="2"/>
    <col width="34" customWidth="1" style="52" min="3" max="3"/>
    <col width="22" customWidth="1" style="52" min="4" max="4"/>
  </cols>
  <sheetData>
    <row r="1">
      <c r="A1" s="67" t="inlineStr">
        <is>
          <t>Market Lens UI Agent — Control &amp; Budget</t>
        </is>
      </c>
      <c r="B1" s="21" t="n"/>
      <c r="C1" s="21" t="n"/>
      <c r="D1" s="21" t="n"/>
    </row>
    <row r="3">
      <c r="A3" s="55" t="inlineStr">
        <is>
          <t>Parameter</t>
        </is>
      </c>
      <c r="B3" s="55" t="inlineStr">
        <is>
          <t>Value</t>
        </is>
      </c>
      <c r="C3" s="55" t="inlineStr">
        <is>
          <t>Meaning</t>
        </is>
      </c>
      <c r="D3" s="55" t="inlineStr">
        <is>
          <t>Rule</t>
        </is>
      </c>
    </row>
    <row r="4">
      <c r="A4" s="56" t="inlineStr">
        <is>
          <t>Agent Budget</t>
        </is>
      </c>
      <c r="B4" s="65" t="n">
        <v>100000</v>
      </c>
      <c r="C4" t="inlineStr">
        <is>
          <t>Total simulated capital available to the agent</t>
        </is>
      </c>
      <c r="D4" t="inlineStr">
        <is>
          <t>Hard limit</t>
        </is>
      </c>
    </row>
    <row r="5">
      <c r="A5" s="56" t="inlineStr">
        <is>
          <t>Currency</t>
        </is>
      </c>
      <c r="B5" t="inlineStr">
        <is>
          <t>USD</t>
        </is>
      </c>
      <c r="C5" t="inlineStr">
        <is>
          <t>Portfolio and Excel tracking currency</t>
        </is>
      </c>
      <c r="D5" t="inlineStr">
        <is>
          <t>Fixed</t>
        </is>
      </c>
    </row>
    <row r="6">
      <c r="A6" s="56" t="inlineStr">
        <is>
          <t>Mode</t>
        </is>
      </c>
      <c r="B6" t="inlineStr">
        <is>
          <t>Paper Trading</t>
        </is>
      </c>
      <c r="C6" t="inlineStr">
        <is>
          <t>Simulated trading only</t>
        </is>
      </c>
      <c r="D6" t="inlineStr">
        <is>
          <t>No real orders</t>
        </is>
      </c>
    </row>
    <row r="7">
      <c r="A7" s="56" t="inlineStr">
        <is>
          <t>Tracking Period</t>
        </is>
      </c>
      <c r="B7" t="inlineStr">
        <is>
          <t>30 days</t>
        </is>
      </c>
      <c r="C7" t="inlineStr">
        <is>
          <t>The agent should keep daily activity logs for one month</t>
        </is>
      </c>
      <c r="D7" t="inlineStr">
        <is>
          <t>User requirement</t>
        </is>
      </c>
    </row>
    <row r="8">
      <c r="A8" s="56" t="inlineStr">
        <is>
          <t>Max Allocation per Ticker</t>
        </is>
      </c>
      <c r="B8" s="68" t="inlineStr">
        <is>
          <t>10%</t>
        </is>
      </c>
      <c r="C8" t="inlineStr">
        <is>
          <t>Maximum exposure to one simulated position</t>
        </is>
      </c>
      <c r="D8" t="inlineStr">
        <is>
          <t>Risk rule</t>
        </is>
      </c>
    </row>
    <row r="9">
      <c r="A9" s="56" t="inlineStr">
        <is>
          <t>Max Total Starting Exposure</t>
        </is>
      </c>
      <c r="B9" s="68" t="inlineStr">
        <is>
          <t>40%</t>
        </is>
      </c>
      <c r="C9" t="inlineStr">
        <is>
          <t>Maximum deployed capital at the beginning</t>
        </is>
      </c>
      <c r="D9" t="inlineStr">
        <is>
          <t>Risk rule</t>
        </is>
      </c>
    </row>
    <row r="10">
      <c r="A10" s="56" t="inlineStr">
        <is>
          <t>Max Risk per Trade</t>
        </is>
      </c>
      <c r="B10" s="68" t="inlineStr">
        <is>
          <t>1%</t>
        </is>
      </c>
      <c r="C10" t="inlineStr">
        <is>
          <t>Maximum loss risk per simulated setup</t>
        </is>
      </c>
      <c r="D10" t="inlineStr">
        <is>
          <t>Risk rule</t>
        </is>
      </c>
    </row>
    <row r="11">
      <c r="A11" s="56" t="inlineStr">
        <is>
          <t>Minimum Risk/Reward</t>
        </is>
      </c>
      <c r="B11" t="inlineStr">
        <is>
          <t>2.0</t>
        </is>
      </c>
      <c r="C11" t="inlineStr">
        <is>
          <t>Required R/R before simulated entry</t>
        </is>
      </c>
      <c r="D11" t="inlineStr">
        <is>
          <t>Entry rule</t>
        </is>
      </c>
    </row>
    <row r="12">
      <c r="A12" s="56" t="inlineStr">
        <is>
          <t>Excel Update</t>
        </is>
      </c>
      <c r="B12" t="inlineStr">
        <is>
          <t>Every run</t>
        </is>
      </c>
      <c r="C12" t="inlineStr">
        <is>
          <t>Agent must update workbook and summary after every run</t>
        </is>
      </c>
      <c r="D12" t="inlineStr">
        <is>
          <t>Reporting rule</t>
        </is>
      </c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Run ID</t>
        </is>
      </c>
      <c r="C1" t="inlineStr">
        <is>
          <t>Ticker</t>
        </is>
      </c>
      <c r="D1" t="inlineStr">
        <is>
          <t>Action</t>
        </is>
      </c>
      <c r="E1" t="inlineStr">
        <is>
          <t>Triggered At</t>
        </is>
      </c>
      <c r="F1" t="inlineStr">
        <is>
          <t>Trigger Price USD</t>
        </is>
      </c>
      <c r="G1" t="inlineStr">
        <is>
          <t>Bar High USD</t>
        </is>
      </c>
      <c r="H1" t="inlineStr">
        <is>
          <t>Bar Low USD</t>
        </is>
      </c>
      <c r="I1" t="inlineStr">
        <is>
          <t>Bar Close USD</t>
        </is>
      </c>
      <c r="J1" t="inlineStr">
        <is>
          <t>Quantity</t>
        </is>
      </c>
      <c r="K1" t="inlineStr">
        <is>
          <t>Cash In</t>
        </is>
      </c>
      <c r="L1" t="inlineStr">
        <is>
          <t>Stop Loss USD</t>
        </is>
      </c>
      <c r="M1" t="inlineStr">
        <is>
          <t>Target 1 USD</t>
        </is>
      </c>
      <c r="N1" t="inlineStr">
        <is>
          <t>Target 2 USD</t>
        </is>
      </c>
      <c r="O1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2026-06-06T10:21:08Z</dcterms:created>
  <dcterms:modified xmlns:dcterms="http://purl.org/dc/terms/" xmlns:xsi="http://www.w3.org/2001/XMLSchema-instance" xsi:type="dcterms:W3CDTF">2026-06-07T21:27:34Z</dcterms:modified>
</cp:coreProperties>
</file>