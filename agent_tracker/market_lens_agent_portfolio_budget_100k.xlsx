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Dashboard" sheetId="1" state="visible" r:id="rId1"/>
    <sheet name="Setup Watchlist" sheetId="2" state="visible" r:id="rId2"/>
    <sheet name="Trade Log" sheetId="3" state="visible" r:id="rId3"/>
    <sheet name="Open Positions" sheetId="4" state="visible" r:id="rId4"/>
    <sheet name="Update Log" sheetId="5" state="visible" r:id="rId5"/>
    <sheet name="Settings" sheetId="6" state="visible" r:id="rId6"/>
    <sheet name="Sources" sheetId="7" state="visible" r:id="rId7"/>
    <sheet name="Agent Control" sheetId="8" state="visible" r:id="rId8"/>
    <sheet name="Position Events" sheetId="9" state="visible" r:id="rId9"/>
  </sheets>
  <definedNames/>
</workbook>
</file>

<file path=xl/styles.xml><?xml version="1.0" encoding="utf-8"?>
<styleSheet xmlns="http://schemas.openxmlformats.org/spreadsheetml/2006/main">
  <numFmts count="1">
    <numFmt numFmtId="164" formatCode="#,##0 &quot;₪&quot;"/>
  </numFmts>
  <fonts count="4">
    <font>
      <name val="Carlito"/>
      <sz val="11"/>
    </font>
    <font>
      <name val="Carlito"/>
      <b val="1"/>
      <color rgb="00FFFFFF"/>
      <sz val="14"/>
    </font>
    <font>
      <name val="Carlito"/>
      <b val="1"/>
      <color rgb="00FFFFFF"/>
      <sz val="11"/>
    </font>
    <font>
      <name val="Carlito"/>
      <b val="1"/>
      <sz val="11"/>
    </font>
  </fonts>
  <fills count="10">
    <fill>
      <patternFill/>
    </fill>
    <fill>
      <patternFill patternType="gray125"/>
    </fill>
    <fill>
      <patternFill patternType="solid">
        <fgColor rgb="00111827"/>
      </patternFill>
    </fill>
    <fill>
      <patternFill patternType="solid">
        <fgColor rgb="002563EB"/>
      </patternFill>
    </fill>
    <fill>
      <patternFill patternType="solid">
        <fgColor rgb="000F766E"/>
      </patternFill>
    </fill>
    <fill>
      <patternFill patternType="solid">
        <fgColor rgb="007C3AED"/>
      </patternFill>
    </fill>
    <fill>
      <patternFill patternType="solid">
        <fgColor rgb="00EA580C"/>
      </patternFill>
    </fill>
    <fill>
      <patternFill patternType="solid">
        <fgColor rgb="00334155"/>
      </patternFill>
    </fill>
    <fill>
      <patternFill patternType="solid">
        <fgColor rgb="001F4E79"/>
      </patternFill>
    </fill>
    <fill>
      <patternFill patternType="solid">
        <fgColor rgb="000F172A"/>
      </patternFill>
    </fill>
  </fills>
  <borders count="2">
    <border/>
    <border/>
  </borders>
  <cellStyleXfs count="1">
    <xf numFmtId="0" fontId="0" fillId="0" borderId="1"/>
  </cellStyleXfs>
  <cellXfs count="69">
    <xf numFmtId="0" fontId="0" fillId="0" borderId="0" pivotButton="0" quotePrefix="0" xfId="0"/>
    <xf numFmtId="0" fontId="0" fillId="0" borderId="1" pivotButton="0" quotePrefix="0" xfId="0"/>
    <xf numFmtId="0" fontId="0" fillId="2" borderId="0" pivotButton="0" quotePrefix="0" xfId="0"/>
    <xf numFmtId="0" fontId="1" fillId="2" borderId="0" pivotButton="0" quotePrefix="0" xfId="0"/>
    <xf numFmtId="0" fontId="1" fillId="2" borderId="0" applyAlignment="1" pivotButton="0" quotePrefix="0" xfId="0">
      <alignment horizontal="center"/>
    </xf>
    <xf numFmtId="0" fontId="0" fillId="2" borderId="1" pivotButton="0" quotePrefix="0" xfId="0"/>
    <xf numFmtId="0" fontId="1" fillId="2" borderId="1" pivotButton="0" quotePrefix="0" xfId="0"/>
    <xf numFmtId="0" fontId="1" fillId="2" borderId="1" applyAlignment="1" pivotButton="0" quotePrefix="0" xfId="0">
      <alignment horizontal="center"/>
    </xf>
    <xf numFmtId="0" fontId="0" fillId="3" borderId="0" pivotButton="0" quotePrefix="0" xfId="0"/>
    <xf numFmtId="0" fontId="2" fillId="3" borderId="0" pivotButton="0" quotePrefix="0" xfId="0"/>
    <xf numFmtId="0" fontId="0" fillId="3" borderId="1" pivotButton="0" quotePrefix="0" xfId="0"/>
    <xf numFmtId="0" fontId="2" fillId="3" borderId="1" pivotButton="0" quotePrefix="0" xfId="0"/>
    <xf numFmtId="0" fontId="2" fillId="3" borderId="0" applyAlignment="1" pivotButton="0" quotePrefix="0" xfId="0">
      <alignment wrapText="1"/>
    </xf>
    <xf numFmtId="0" fontId="0" fillId="0" borderId="0" applyAlignment="1" pivotButton="0" quotePrefix="0" xfId="0">
      <alignment wrapText="1"/>
    </xf>
    <xf numFmtId="0" fontId="2" fillId="3" borderId="1" applyAlignment="1" pivotButton="0" quotePrefix="0" xfId="0">
      <alignment wrapText="1"/>
    </xf>
    <xf numFmtId="0" fontId="0" fillId="0" borderId="1" applyAlignment="1" pivotButton="0" quotePrefix="0" xfId="0">
      <alignment wrapText="1"/>
    </xf>
    <xf numFmtId="4" fontId="0" fillId="0" borderId="0" applyAlignment="1" pivotButton="0" quotePrefix="0" xfId="0">
      <alignment wrapText="1"/>
    </xf>
    <xf numFmtId="4" fontId="0" fillId="0" borderId="1" applyAlignment="1" pivotButton="0" quotePrefix="0" xfId="0">
      <alignment wrapText="1"/>
    </xf>
    <xf numFmtId="10" fontId="0" fillId="0" borderId="0" applyAlignment="1" pivotButton="0" quotePrefix="0" xfId="0">
      <alignment wrapText="1"/>
    </xf>
    <xf numFmtId="0" fontId="0" fillId="0" borderId="0" pivotButton="0" quotePrefix="0" xfId="0"/>
    <xf numFmtId="10" fontId="0" fillId="0" borderId="1" applyAlignment="1" pivotButton="0" quotePrefix="0" xfId="0">
      <alignment wrapText="1"/>
    </xf>
    <xf numFmtId="0" fontId="0" fillId="0" borderId="1" pivotButton="0" quotePrefix="0" xfId="0"/>
    <xf numFmtId="0" fontId="2" fillId="2" borderId="0" pivotButton="0" quotePrefix="0" xfId="0"/>
    <xf numFmtId="0" fontId="2" fillId="2" borderId="1" pivotButton="0" quotePrefix="0" xfId="0"/>
    <xf numFmtId="2" fontId="0" fillId="0" borderId="0" pivotButton="0" quotePrefix="0" xfId="0"/>
    <xf numFmtId="2" fontId="0" fillId="0" borderId="1" pivotButton="0" quotePrefix="0" xfId="0"/>
    <xf numFmtId="0" fontId="0" fillId="4" borderId="0" pivotButton="0" quotePrefix="0" xfId="0"/>
    <xf numFmtId="0" fontId="2" fillId="4" borderId="0" pivotButton="0" quotePrefix="0" xfId="0"/>
    <xf numFmtId="0" fontId="0" fillId="4" borderId="1" pivotButton="0" quotePrefix="0" xfId="0"/>
    <xf numFmtId="0" fontId="2" fillId="4" borderId="1" pivotButton="0" quotePrefix="0" xfId="0"/>
    <xf numFmtId="0" fontId="2" fillId="4" borderId="0" applyAlignment="1" pivotButton="0" quotePrefix="0" xfId="0">
      <alignment wrapText="1"/>
    </xf>
    <xf numFmtId="0" fontId="2" fillId="4" borderId="1" applyAlignment="1" pivotButton="0" quotePrefix="0" xfId="0">
      <alignment wrapText="1"/>
    </xf>
    <xf numFmtId="0" fontId="0" fillId="5" borderId="0" pivotButton="0" quotePrefix="0" xfId="0"/>
    <xf numFmtId="0" fontId="2" fillId="5" borderId="0" pivotButton="0" quotePrefix="0" xfId="0"/>
    <xf numFmtId="0" fontId="0" fillId="5" borderId="1" pivotButton="0" quotePrefix="0" xfId="0"/>
    <xf numFmtId="0" fontId="2" fillId="5" borderId="1" pivotButton="0" quotePrefix="0" xfId="0"/>
    <xf numFmtId="0" fontId="2" fillId="5" borderId="0" applyAlignment="1" pivotButton="0" quotePrefix="0" xfId="0">
      <alignment wrapText="1"/>
    </xf>
    <xf numFmtId="0" fontId="2" fillId="5" borderId="1" applyAlignment="1" pivotButton="0" quotePrefix="0" xfId="0">
      <alignment wrapText="1"/>
    </xf>
    <xf numFmtId="0" fontId="0" fillId="6" borderId="0" pivotButton="0" quotePrefix="0" xfId="0"/>
    <xf numFmtId="0" fontId="2" fillId="6" borderId="0" pivotButton="0" quotePrefix="0" xfId="0"/>
    <xf numFmtId="0" fontId="0" fillId="6" borderId="1" pivotButton="0" quotePrefix="0" xfId="0"/>
    <xf numFmtId="0" fontId="2" fillId="6" borderId="1" pivotButton="0" quotePrefix="0" xfId="0"/>
    <xf numFmtId="0" fontId="2" fillId="6" borderId="0" applyAlignment="1" pivotButton="0" quotePrefix="0" xfId="0">
      <alignment wrapText="1"/>
    </xf>
    <xf numFmtId="0" fontId="2" fillId="6" borderId="1" applyAlignment="1" pivotButton="0" quotePrefix="0" xfId="0">
      <alignment wrapText="1"/>
    </xf>
    <xf numFmtId="0" fontId="0" fillId="7" borderId="0" pivotButton="0" quotePrefix="0" xfId="0"/>
    <xf numFmtId="0" fontId="2" fillId="7" borderId="0" pivotButton="0" quotePrefix="0" xfId="0"/>
    <xf numFmtId="0" fontId="0" fillId="7" borderId="1" pivotButton="0" quotePrefix="0" xfId="0"/>
    <xf numFmtId="0" fontId="2" fillId="7" borderId="1" pivotButton="0" quotePrefix="0" xfId="0"/>
    <xf numFmtId="0" fontId="2" fillId="7" borderId="0" applyAlignment="1" pivotButton="0" quotePrefix="0" xfId="0">
      <alignment wrapText="1"/>
    </xf>
    <xf numFmtId="0" fontId="2" fillId="7" borderId="1" applyAlignment="1" pivotButton="0" quotePrefix="0" xfId="0">
      <alignment wrapText="1"/>
    </xf>
    <xf numFmtId="0" fontId="2" fillId="2" borderId="0" applyAlignment="1" pivotButton="0" quotePrefix="0" xfId="0">
      <alignment wrapText="1"/>
    </xf>
    <xf numFmtId="0" fontId="0" fillId="0" borderId="0" pivotButton="0" quotePrefix="0" xfId="0"/>
    <xf numFmtId="0" fontId="0" fillId="0" borderId="0" pivotButton="0" quotePrefix="0" xfId="0"/>
    <xf numFmtId="0" fontId="0" fillId="8" borderId="0" pivotButton="0" quotePrefix="0" xfId="0"/>
    <xf numFmtId="0" fontId="2" fillId="8" borderId="0" pivotButton="0" quotePrefix="0" xfId="0"/>
    <xf numFmtId="0" fontId="2" fillId="8" borderId="0" applyAlignment="1" pivotButton="0" quotePrefix="0" xfId="0">
      <alignment horizontal="center"/>
    </xf>
    <xf numFmtId="0" fontId="3" fillId="0" borderId="0" pivotButton="0" quotePrefix="0" xfId="0"/>
    <xf numFmtId="164" fontId="0" fillId="0" borderId="0" pivotButton="0" quotePrefix="0" xfId="0"/>
    <xf numFmtId="0" fontId="0" fillId="9" borderId="0" pivotButton="0" quotePrefix="0" xfId="0"/>
    <xf numFmtId="0" fontId="1" fillId="9" borderId="0" pivotButton="0" quotePrefix="0" xfId="0"/>
    <xf numFmtId="0" fontId="1" fillId="9" borderId="0" applyAlignment="1" pivotButton="0" quotePrefix="0" xfId="0">
      <alignment horizontal="center"/>
    </xf>
    <xf numFmtId="9" fontId="0" fillId="0" borderId="0" pivotButton="0" quotePrefix="0" xfId="0"/>
    <xf numFmtId="4" fontId="0" fillId="0" borderId="0" applyAlignment="1" pivotButton="0" quotePrefix="0" xfId="0">
      <alignment wrapText="1"/>
    </xf>
    <xf numFmtId="10" fontId="0" fillId="0" borderId="0" applyAlignment="1" pivotButton="0" quotePrefix="0" xfId="0">
      <alignment wrapText="1"/>
    </xf>
    <xf numFmtId="0" fontId="2" fillId="8" borderId="1" applyAlignment="1" pivotButton="0" quotePrefix="0" xfId="0">
      <alignment horizontal="center"/>
    </xf>
    <xf numFmtId="164" fontId="0" fillId="0" borderId="0" pivotButton="0" quotePrefix="0" xfId="0"/>
    <xf numFmtId="2" fontId="0" fillId="0" borderId="0" pivotButton="0" quotePrefix="0" xfId="0"/>
    <xf numFmtId="0" fontId="1" fillId="9" borderId="1" applyAlignment="1" pivotButton="0" quotePrefix="0" xfId="0">
      <alignment horizontal="center"/>
    </xf>
    <xf numFmtId="9" fontId="0" fillId="0" borderId="0" pivotButton="0" quotePrefix="0" xfId="0"/>
  </cellXfs>
  <cellStyles count="1">
    <cellStyle name="Normal" xf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ables/table1.xml><?xml version="1.0" encoding="utf-8"?>
<table xmlns="http://schemas.openxmlformats.org/spreadsheetml/2006/main" id="1" name="SetupWatchlistTable" displayName="SetupWatchlistTable" ref="A1:O200" headerRowCount="1">
  <tableColumns count="15">
    <tableColumn id="1" name="Run Date"/>
    <tableColumn id="2" name="Ticker"/>
    <tableColumn id="3" name="Setup Type"/>
    <tableColumn id="4" name="Score"/>
    <tableColumn id="5" name="Current Price USD"/>
    <tableColumn id="6" name="Buy Zone Low"/>
    <tableColumn id="7" name="Buy Zone High"/>
    <tableColumn id="8" name="Stop Loss"/>
    <tableColumn id="9" name="Target 1"/>
    <tableColumn id="10" name="Target 2"/>
    <tableColumn id="11" name="Risk/Reward"/>
    <tableColumn id="12" name="Reason"/>
    <tableColumn id="13" name="Agent Decision"/>
    <tableColumn id="14" name="Feedback"/>
    <tableColumn id="15" name="Raw UI Text"/>
  </tableColumns>
  <tableStyleInfo name="TableStyleMedium2" showRowStripes="1"/>
</table>
</file>

<file path=xl/tables/table2.xml><?xml version="1.0" encoding="utf-8"?>
<table xmlns="http://schemas.openxmlformats.org/spreadsheetml/2006/main" id="2" name="TradeLogTable" displayName="TradeLogTable" ref="A1:Q300" headerRowCount="1">
  <tableColumns count="17">
    <tableColumn id="1" name="Timestamp"/>
    <tableColumn id="2" name="Action"/>
    <tableColumn id="3" name="Ticker"/>
    <tableColumn id="4" name="Entry Price USD"/>
    <tableColumn id="5" name="Exit Price USD"/>
    <tableColumn id="6" name="Quantity"/>
    <tableColumn id="7" name="USD/ILS"/>
    <tableColumn id="8" name="Buy Value ILS"/>
    <tableColumn id="9" name="Sell Value ILS"/>
    <tableColumn id="10" name="Cash Out ILS"/>
    <tableColumn id="11" name="Cash In ILS"/>
    <tableColumn id="12" name="Stop Loss"/>
    <tableColumn id="13" name="Target 1"/>
    <tableColumn id="14" name="Target 2"/>
    <tableColumn id="15" name="Risk ILS"/>
    <tableColumn id="16" name="Reason"/>
    <tableColumn id="17" name="Screenshot"/>
  </tableColumns>
  <tableStyleInfo name="TableStyleMedium2" showRowStripes="1"/>
</table>
</file>

<file path=xl/tables/table3.xml><?xml version="1.0" encoding="utf-8"?>
<table xmlns="http://schemas.openxmlformats.org/spreadsheetml/2006/main" id="3" name="OpenPositionsTable" displayName="OpenPositionsTable" ref="A1:O200" headerRowCount="1">
  <tableColumns count="15">
    <tableColumn id="1" name="Ticker"/>
    <tableColumn id="2" name="Entry Date"/>
    <tableColumn id="3" name="Entry Price USD"/>
    <tableColumn id="4" name="Current Price USD"/>
    <tableColumn id="5" name="Quantity"/>
    <tableColumn id="6" name="Stop Loss"/>
    <tableColumn id="7" name="Target 1"/>
    <tableColumn id="8" name="Target 2"/>
    <tableColumn id="9" name="Status"/>
    <tableColumn id="10" name="Unrealized P/L USD"/>
    <tableColumn id="11" name="Unrealized P/L ILS"/>
    <tableColumn id="12" name="Exposure ILS"/>
    <tableColumn id="13" name="Open Risk ILS"/>
    <tableColumn id="14" name="Notes"/>
    <tableColumn id="15" name="Last Screenshot"/>
  </tableColumns>
  <tableStyleInfo name="TableStyleMedium2" showRowStripes="1"/>
</table>
</file>

<file path=xl/tables/table4.xml><?xml version="1.0" encoding="utf-8"?>
<table xmlns="http://schemas.openxmlformats.org/spreadsheetml/2006/main" id="4" name="UpdateLogTable" displayName="UpdateLogTable" ref="A1:K200" headerRowCount="1">
  <tableColumns count="11">
    <tableColumn id="1" name="Run Timestamp"/>
    <tableColumn id="2" name="Run ID"/>
    <tableColumn id="3" name="Scanned Tickers"/>
    <tableColumn id="4" name="Valid Setups"/>
    <tableColumn id="5" name="Actions Summary"/>
    <tableColumn id="6" name="Cash ILS"/>
    <tableColumn id="7" name="Exposure ILS"/>
    <tableColumn id="8" name="Open Risk ILS"/>
    <tableColumn id="9" name="Open Positions"/>
    <tableColumn id="10" name="Summary File"/>
    <tableColumn id="11" name="Screenshot"/>
  </tableColumns>
  <tableStyleInfo name="TableStyleMedium2" showRowStripes="1"/>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H17"/>
  <sheetViews>
    <sheetView workbookViewId="0">
      <selection activeCell="A1" sqref="A1"/>
    </sheetView>
  </sheetViews>
  <sheetFormatPr baseColWidth="8" defaultRowHeight="15"/>
  <cols>
    <col width="20" customWidth="1" style="52" min="1" max="1"/>
    <col width="20" customWidth="1" style="52" min="2" max="2"/>
    <col width="20" customWidth="1" style="52" min="3" max="3"/>
    <col width="20" customWidth="1" style="52" min="4" max="4"/>
    <col width="20" customWidth="1" style="52" min="5" max="5"/>
    <col width="20" customWidth="1" style="52" min="6" max="6"/>
    <col width="20" customWidth="1" style="52" min="7" max="7"/>
    <col width="20" customWidth="1" style="52" min="8" max="8"/>
  </cols>
  <sheetData>
    <row r="1">
      <c r="A1" s="7" t="inlineStr">
        <is>
          <t>Market Lens UI Agent — Portfolio Dashboard</t>
        </is>
      </c>
      <c r="B1" s="21" t="n"/>
      <c r="C1" s="21" t="n"/>
      <c r="D1" s="21" t="n"/>
      <c r="E1" s="21" t="n"/>
      <c r="F1" s="21" t="n"/>
      <c r="G1" s="21" t="n"/>
      <c r="H1" s="21" t="n"/>
    </row>
    <row r="3">
      <c r="A3" s="12" t="inlineStr">
        <is>
          <t>Starting Capital (USD)</t>
        </is>
      </c>
      <c r="B3" s="12" t="inlineStr">
        <is>
          <t>Value</t>
        </is>
      </c>
      <c r="C3" s="13" t="n"/>
      <c r="D3" s="12" t="inlineStr">
        <is>
          <t>Agent Rules</t>
        </is>
      </c>
      <c r="E3" s="12" t="str"/>
      <c r="F3" s="12" t="str"/>
      <c r="G3" s="12" t="str"/>
      <c r="H3" s="12" t="str"/>
    </row>
    <row r="4">
      <c r="A4" s="13" t="inlineStr">
        <is>
          <t>Current Cash (USD)</t>
        </is>
      </c>
      <c r="B4" s="62">
        <f>Settings!B2</f>
        <v/>
      </c>
      <c r="C4" s="13" t="n"/>
      <c r="D4" s="13" t="inlineStr">
        <is>
          <t>Mode</t>
        </is>
      </c>
      <c r="E4" s="13" t="inlineStr">
        <is>
          <t>Paper Trading only</t>
        </is>
      </c>
      <c r="F4" s="13" t="str"/>
      <c r="G4" s="13" t="str"/>
      <c r="H4" s="13" t="str"/>
    </row>
    <row r="5">
      <c r="A5" s="13" t="inlineStr">
        <is>
          <t>Open Exposure (USD)</t>
        </is>
      </c>
      <c r="B5" s="62">
        <f>Settings!B2-SUM('Trade Log'!J:J)+SUM('Trade Log'!K:K)</f>
        <v/>
      </c>
      <c r="C5" s="13" t="n"/>
      <c r="D5" s="13" t="inlineStr">
        <is>
          <t>Max position allocation</t>
        </is>
      </c>
      <c r="E5" s="13">
        <f>Settings!B4</f>
        <v/>
      </c>
      <c r="F5" s="13" t="str"/>
      <c r="G5" s="13" t="str"/>
      <c r="H5" s="13" t="str"/>
    </row>
    <row r="6">
      <c r="A6" s="13" t="inlineStr">
        <is>
          <t>Total Portfolio Value (USD)</t>
        </is>
      </c>
      <c r="B6" s="62">
        <f>SUM('Open Positions'!L:L)</f>
        <v/>
      </c>
      <c r="C6" s="13" t="n"/>
      <c r="D6" s="13" t="inlineStr">
        <is>
          <t>Max total exposure</t>
        </is>
      </c>
      <c r="E6" s="13">
        <f>Settings!B5</f>
        <v/>
      </c>
      <c r="F6" s="13" t="str"/>
      <c r="G6" s="13" t="str"/>
      <c r="H6" s="13" t="str"/>
    </row>
    <row r="7">
      <c r="A7" s="13" t="inlineStr">
        <is>
          <t>Open Risk (USD)</t>
        </is>
      </c>
      <c r="B7" s="62">
        <f>B5+B6</f>
        <v/>
      </c>
      <c r="C7" s="13" t="n"/>
      <c r="D7" s="13" t="inlineStr">
        <is>
          <t>Max risk per trade</t>
        </is>
      </c>
      <c r="E7" s="13">
        <f>Settings!B6</f>
        <v/>
      </c>
      <c r="F7" s="13" t="str"/>
      <c r="G7" s="13" t="str"/>
      <c r="H7" s="13" t="str"/>
    </row>
    <row r="8">
      <c r="A8" s="13" t="inlineStr">
        <is>
          <t>Closed P/L (USD)</t>
        </is>
      </c>
      <c r="B8" s="62">
        <f>SUM('Open Positions'!M:M)</f>
        <v/>
      </c>
      <c r="C8" s="13" t="n"/>
      <c r="D8" s="13" t="inlineStr">
        <is>
          <t>Minimum Risk/Reward</t>
        </is>
      </c>
      <c r="E8" s="13">
        <f>Settings!B7</f>
        <v/>
      </c>
      <c r="F8" s="13" t="str"/>
      <c r="G8" s="13" t="str"/>
      <c r="H8" s="13" t="str"/>
    </row>
    <row r="9">
      <c r="A9" s="13" t="inlineStr">
        <is>
          <t>Open Positions</t>
        </is>
      </c>
      <c r="B9" s="62">
        <f>COUNTA('Open Positions'!A:A)-1</f>
        <v/>
      </c>
      <c r="C9" s="13" t="n"/>
      <c r="D9" s="13" t="inlineStr">
        <is>
          <t>Run frequency</t>
        </is>
      </c>
      <c r="E9" s="13" t="inlineStr">
        <is>
          <t>Daily / manual</t>
        </is>
      </c>
      <c r="F9" s="13" t="str"/>
      <c r="G9" s="13" t="str"/>
      <c r="H9" s="13" t="str"/>
    </row>
    <row r="10">
      <c r="A10" s="13" t="inlineStr">
        <is>
          <t>Watchlist Setups</t>
        </is>
      </c>
      <c r="B10" s="62">
        <f>COUNTA('Setup Watchlist'!A:A)-1</f>
        <v/>
      </c>
      <c r="C10" s="13" t="n"/>
      <c r="D10" s="13" t="inlineStr">
        <is>
          <t>Real orders</t>
        </is>
      </c>
      <c r="E10" s="13" t="inlineStr">
        <is>
          <t>Never</t>
        </is>
      </c>
      <c r="F10" s="13" t="str"/>
      <c r="G10" s="13" t="str"/>
      <c r="H10" s="13" t="str"/>
    </row>
    <row r="11">
      <c r="A11" s="13" t="inlineStr">
        <is>
          <t>Agent Budget (USD)</t>
        </is>
      </c>
      <c r="B11" s="63">
        <f>SUM('Trade Log'!K:K)-SUM('Trade Log'!J:J)</f>
        <v/>
      </c>
      <c r="C11" s="13" t="n"/>
      <c r="D11" s="13" t="n"/>
      <c r="E11" s="13" t="n"/>
      <c r="F11" s="13" t="n"/>
      <c r="G11" s="13" t="n"/>
      <c r="H11" s="13" t="n"/>
    </row>
    <row r="12">
      <c r="A12" s="13" t="inlineStr">
        <is>
          <t>Exposure %</t>
        </is>
      </c>
      <c r="B12" s="63">
        <f>IFERROR(B6/B7,0)</f>
        <v/>
      </c>
      <c r="C12" s="13" t="n"/>
      <c r="D12" s="13" t="n"/>
      <c r="E12" s="13" t="n"/>
      <c r="F12" s="13" t="n"/>
      <c r="G12" s="13" t="n"/>
      <c r="H12" s="13" t="n"/>
    </row>
    <row r="13">
      <c r="A13" s="13" t="inlineStr">
        <is>
          <t>Risk %</t>
        </is>
      </c>
      <c r="B13" s="13">
        <f>IFERROR(B8/B7,0)</f>
        <v/>
      </c>
      <c r="C13" s="13" t="n"/>
      <c r="D13" s="13" t="n"/>
      <c r="E13" s="13" t="n"/>
      <c r="F13" s="13" t="n"/>
      <c r="G13" s="13" t="n"/>
      <c r="H13" s="13" t="n"/>
    </row>
    <row r="14">
      <c r="A14" s="64" t="inlineStr">
        <is>
          <t>Budget Definition</t>
        </is>
      </c>
      <c r="B14" s="21" t="n"/>
      <c r="C14" s="21" t="n"/>
      <c r="D14" s="21" t="n"/>
      <c r="E14" s="21" t="n"/>
    </row>
    <row r="15">
      <c r="A15" s="56" t="inlineStr">
        <is>
          <t>Agent Budget (USD)</t>
        </is>
      </c>
      <c r="B15" s="65" t="n">
        <v>100000</v>
      </c>
      <c r="D15" s="56" t="inlineStr">
        <is>
          <t>Budget Mode</t>
        </is>
      </c>
      <c r="E15" t="inlineStr">
        <is>
          <t>Paper Trading only</t>
        </is>
      </c>
    </row>
    <row r="16">
      <c r="A16" s="56" t="inlineStr">
        <is>
          <t>Budget Rule</t>
        </is>
      </c>
      <c r="B16" t="inlineStr">
        <is>
          <t>Agent must manage simulated positions within 100,000 USD only</t>
        </is>
      </c>
      <c r="D16" s="56" t="inlineStr">
        <is>
          <t>Real Orders</t>
        </is>
      </c>
      <c r="E16" t="inlineStr">
        <is>
          <t>Never</t>
        </is>
      </c>
    </row>
    <row r="17">
      <c r="A17" s="56" t="inlineStr">
        <is>
          <t>Tracking Period</t>
        </is>
      </c>
      <c r="B17" t="inlineStr">
        <is>
          <t>30 days</t>
        </is>
      </c>
      <c r="D17" s="56" t="inlineStr">
        <is>
          <t>Excel Update</t>
        </is>
      </c>
      <c r="E17" t="inlineStr">
        <is>
          <t>Every run</t>
        </is>
      </c>
    </row>
  </sheetData>
  <mergeCells count="2">
    <mergeCell ref="A1:H1"/>
    <mergeCell ref="A14:E1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R56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40" customWidth="1" style="52" min="12" max="12"/>
    <col width="16" customWidth="1" style="52" min="13" max="13"/>
    <col width="16" customWidth="1" style="52" min="14" max="14"/>
    <col width="50" customWidth="1" style="52" min="15" max="15"/>
  </cols>
  <sheetData>
    <row r="1">
      <c r="A1" s="30" t="inlineStr">
        <is>
          <t>Run Date</t>
        </is>
      </c>
      <c r="B1" s="30" t="inlineStr">
        <is>
          <t>Ticker</t>
        </is>
      </c>
      <c r="C1" s="30" t="inlineStr">
        <is>
          <t>Setup Type</t>
        </is>
      </c>
      <c r="D1" s="30" t="inlineStr">
        <is>
          <t>Score</t>
        </is>
      </c>
      <c r="E1" s="30" t="inlineStr">
        <is>
          <t>Current Price USD</t>
        </is>
      </c>
      <c r="F1" s="30" t="inlineStr">
        <is>
          <t>Buy Zone Low USD</t>
        </is>
      </c>
      <c r="G1" s="30" t="inlineStr">
        <is>
          <t>Buy Zone High USD</t>
        </is>
      </c>
      <c r="H1" s="30" t="inlineStr">
        <is>
          <t>Stop Loss USD</t>
        </is>
      </c>
      <c r="I1" s="30" t="inlineStr">
        <is>
          <t>Target 1 USD</t>
        </is>
      </c>
      <c r="J1" s="30" t="inlineStr">
        <is>
          <t>Target 2 USD</t>
        </is>
      </c>
      <c r="K1" s="30" t="inlineStr">
        <is>
          <t>Risk/Reward</t>
        </is>
      </c>
      <c r="L1" s="30" t="inlineStr">
        <is>
          <t>Reason</t>
        </is>
      </c>
      <c r="M1" s="30" t="inlineStr">
        <is>
          <t>Agent Action</t>
        </is>
      </c>
      <c r="N1" s="30" t="inlineStr">
        <is>
          <t>Agent Feedback</t>
        </is>
      </c>
      <c r="O1" s="30" t="inlineStr">
        <is>
          <t>Raw UI Text</t>
        </is>
      </c>
      <c r="P1" t="inlineStr">
        <is>
          <t>Chart URL</t>
        </is>
      </c>
      <c r="Q1" t="inlineStr">
        <is>
          <t>Selection Context</t>
        </is>
      </c>
      <c r="R1" t="inlineStr">
        <is>
          <t>Decision JSON</t>
        </is>
      </c>
    </row>
    <row r="2">
      <c r="A2" t="inlineStr">
        <is>
          <t>2026-06-08T00:27:00</t>
        </is>
      </c>
      <c r="B2" t="inlineStr">
        <is>
          <t>V</t>
        </is>
      </c>
      <c r="C2" t="inlineStr">
        <is>
          <t>Fib 61.8 Confluence Buy Zone</t>
        </is>
      </c>
      <c r="D2" t="n">
        <v>0.45</v>
      </c>
      <c r="E2" t="n">
        <v>323.57</v>
      </c>
      <c r="F2" t="n">
        <v>321.22</v>
      </c>
      <c r="G2" t="n">
        <v>324.81</v>
      </c>
      <c r="H2" t="n">
        <v>319</v>
      </c>
      <c r="I2" t="n">
        <v>325.34</v>
      </c>
      <c r="J2" t="n">
        <v>338.49</v>
      </c>
      <c r="K2" t="n">
        <v>1.39</v>
      </c>
      <c r="L2" t="inlineStr">
        <is>
          <t>Price at 61.8% fib retracement (323.02) with confluence at VWAP. Planned entry at zone low 321.22; executable entry 323.57, stop below fib 78.6% at 319.00.</t>
        </is>
      </c>
      <c r="M2" t="inlineStr">
        <is>
          <t>WATCH</t>
        </is>
      </c>
      <c r="N2" t="inlineStr">
        <is>
          <t>WATCH: Technical setup detected, but weighted risk/reward 1.39 is below minimum 2.00. Market regime NEUTRAL; sector STRONG; net R/R 1.16.</t>
        </is>
      </c>
      <c r="O2"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2" t="inlineStr">
        <is>
          <t>C:\Users\User\Documents\Codex\2026-05-29\adva-mo-project-orion-https-github\work\market-lens-scanner\agent_results\charts\market_lens_agent_20260608_002548_v.png</t>
        </is>
      </c>
      <c r="Q2"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2"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"2026-06-08T00:27:00", "warnings": ["Target 1 is close versus daily ATR."]}</t>
        </is>
      </c>
    </row>
    <row r="3">
      <c r="A3" t="inlineStr">
        <is>
          <t>2026-06-08T00:27:00</t>
        </is>
      </c>
      <c r="B3" t="inlineStr">
        <is>
          <t>AMAT</t>
        </is>
      </c>
      <c r="C3" t="inlineStr">
        <is>
          <t>No Trade</t>
        </is>
      </c>
      <c r="D3" t="n">
        <v>0</v>
      </c>
      <c r="E3" t="n">
        <v>453.01</v>
      </c>
      <c r="H3" t="n">
        <v>0</v>
      </c>
      <c r="K3" t="n">
        <v>0</v>
      </c>
      <c r="L3" t="inlineStr">
        <is>
          <t>No clean technical setup detected. Price in middle of value area or poor risk/reward.</t>
        </is>
      </c>
      <c r="M3" t="inlineStr">
        <is>
          <t>SKIP</t>
        </is>
      </c>
      <c r="N3" t="inlineStr">
        <is>
          <t>SKIP: No Trade result. Market regime NEUTRAL; sector STRONG; net R/R 0.00.</t>
        </is>
      </c>
      <c r="O3"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 t="inlineStr">
        <is>
          <t>C:\Users\User\Documents\Codex\2026-05-29\adva-mo-project-orion-https-github\work\market-lens-scanner\agent_results\charts\market_lens_agent_20260608_002548_amat.png</t>
        </is>
      </c>
      <c r="Q3"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"2026-06-08T00:27:00", "warnings": ["Target ATR feasibility unavailable."]}</t>
        </is>
      </c>
    </row>
    <row r="4">
      <c r="A4" t="inlineStr">
        <is>
          <t>2026-06-08T00:27:00</t>
        </is>
      </c>
      <c r="B4" t="inlineStr">
        <is>
          <t>PANW</t>
        </is>
      </c>
      <c r="C4" t="inlineStr">
        <is>
          <t>No Trade</t>
        </is>
      </c>
      <c r="D4" t="n">
        <v>0</v>
      </c>
      <c r="E4" t="n">
        <v>272.05</v>
      </c>
      <c r="H4" t="n">
        <v>0</v>
      </c>
      <c r="K4" t="n">
        <v>0</v>
      </c>
      <c r="L4" t="inlineStr">
        <is>
          <t>No clean technical setup detected. Price in middle of value area or poor risk/reward.</t>
        </is>
      </c>
      <c r="M4" t="inlineStr">
        <is>
          <t>SKIP</t>
        </is>
      </c>
      <c r="N4" t="inlineStr">
        <is>
          <t>SKIP: No Trade result. Market regime NEUTRAL; sector STRONG; net R/R 0.00.</t>
        </is>
      </c>
      <c r="O4"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4" t="inlineStr">
        <is>
          <t>C:\Users\User\Documents\Codex\2026-05-29\adva-mo-project-orion-https-github\work\market-lens-scanner\agent_results\charts\market_lens_agent_20260608_002548_panw.png</t>
        </is>
      </c>
      <c r="Q4"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4"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"2026-06-08T00:27:00", "warnings": ["Target ATR feasibility unavailable."]}</t>
        </is>
      </c>
    </row>
    <row r="5">
      <c r="A5" t="inlineStr">
        <is>
          <t>2026-06-08T00:27:00</t>
        </is>
      </c>
      <c r="B5" t="inlineStr">
        <is>
          <t>KLAC</t>
        </is>
      </c>
      <c r="C5" t="inlineStr">
        <is>
          <t>No Trade</t>
        </is>
      </c>
      <c r="D5" t="n">
        <v>0</v>
      </c>
      <c r="E5" t="n">
        <v>1929.2</v>
      </c>
      <c r="H5" t="n">
        <v>0</v>
      </c>
      <c r="K5" t="n">
        <v>0</v>
      </c>
      <c r="L5" t="inlineStr">
        <is>
          <t>No clean technical setup detected. Price in middle of value area or poor risk/reward.</t>
        </is>
      </c>
      <c r="M5" t="inlineStr">
        <is>
          <t>SKIP</t>
        </is>
      </c>
      <c r="N5" t="inlineStr">
        <is>
          <t>SKIP: No Trade result. Market regime NEUTRAL; sector STRONG; net R/R 0.00.</t>
        </is>
      </c>
      <c r="O5"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5" t="inlineStr">
        <is>
          <t>C:\Users\User\Documents\Codex\2026-05-29\adva-mo-project-orion-https-github\work\market-lens-scanner\agent_results\charts\market_lens_agent_20260608_002548_klac.png</t>
        </is>
      </c>
      <c r="Q5"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5"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"2026-06-08T00:27:00", "warnings": ["Target ATR feasibility unavailable."]}</t>
        </is>
      </c>
    </row>
    <row r="6">
      <c r="A6" t="inlineStr">
        <is>
          <t>2026-06-08T00:27:00</t>
        </is>
      </c>
      <c r="B6" t="inlineStr">
        <is>
          <t>ORCL</t>
        </is>
      </c>
      <c r="C6" t="inlineStr">
        <is>
          <t>No Trade</t>
        </is>
      </c>
      <c r="D6" t="n">
        <v>0</v>
      </c>
      <c r="E6" t="n">
        <v>213.68</v>
      </c>
      <c r="H6" t="n">
        <v>0</v>
      </c>
      <c r="K6" t="n">
        <v>0</v>
      </c>
      <c r="L6" t="inlineStr">
        <is>
          <t>No clean technical setup detected. Price in middle of value area or poor risk/reward.</t>
        </is>
      </c>
      <c r="M6" t="inlineStr">
        <is>
          <t>SKIP</t>
        </is>
      </c>
      <c r="N6" t="inlineStr">
        <is>
          <t>SKIP: No Trade result. Market regime NEUTRAL; sector STRONG; net R/R 0.00.</t>
        </is>
      </c>
      <c r="O6"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6" t="inlineStr">
        <is>
          <t>C:\Users\User\Documents\Codex\2026-05-29\adva-mo-project-orion-https-github\work\market-lens-scanner\agent_results\charts\market_lens_agent_20260608_002548_orcl.png</t>
        </is>
      </c>
      <c r="Q6"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6"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"2026-06-08T00:27:00", "warnings": ["Target ATR feasibility unavailable.", "Earnings blackout active."]}</t>
        </is>
      </c>
    </row>
    <row r="7">
      <c r="A7" t="inlineStr">
        <is>
          <t>2026-06-08T00:27:00</t>
        </is>
      </c>
      <c r="B7" t="inlineStr">
        <is>
          <t>CRWD</t>
        </is>
      </c>
      <c r="C7" t="inlineStr">
        <is>
          <t>No Trade</t>
        </is>
      </c>
      <c r="D7" t="n">
        <v>0</v>
      </c>
      <c r="E7" t="n">
        <v>671.02</v>
      </c>
      <c r="H7" t="n">
        <v>0</v>
      </c>
      <c r="K7" t="n">
        <v>0</v>
      </c>
      <c r="L7" t="inlineStr">
        <is>
          <t>No clean technical setup detected. Price in middle of value area or poor risk/reward.</t>
        </is>
      </c>
      <c r="M7" t="inlineStr">
        <is>
          <t>SKIP</t>
        </is>
      </c>
      <c r="N7" t="inlineStr">
        <is>
          <t>SKIP: No Trade result. Market regime NEUTRAL; sector STRONG; net R/R 0.00.</t>
        </is>
      </c>
      <c r="O7"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7" t="inlineStr">
        <is>
          <t>C:\Users\User\Documents\Codex\2026-05-29\adva-mo-project-orion-https-github\work\market-lens-scanner\agent_results\charts\market_lens_agent_20260608_002548_crwd.png</t>
        </is>
      </c>
      <c r="Q7"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7"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"2026-06-08T00:27:00", "warnings": ["Target ATR feasibility unavailable."]}</t>
        </is>
      </c>
    </row>
    <row r="8">
      <c r="A8" t="inlineStr">
        <is>
          <t>2026-06-08T00:27:00</t>
        </is>
      </c>
      <c r="B8" t="inlineStr">
        <is>
          <t>MU</t>
        </is>
      </c>
      <c r="C8" t="inlineStr">
        <is>
          <t>No Trade</t>
        </is>
      </c>
      <c r="D8" t="n">
        <v>0</v>
      </c>
      <c r="E8" t="n">
        <v>864.01</v>
      </c>
      <c r="H8" t="n">
        <v>0</v>
      </c>
      <c r="K8" t="n">
        <v>0</v>
      </c>
      <c r="L8" t="inlineStr">
        <is>
          <t>No clean technical setup detected. Price in middle of value area or poor risk/reward.</t>
        </is>
      </c>
      <c r="M8" t="inlineStr">
        <is>
          <t>SKIP</t>
        </is>
      </c>
      <c r="N8" t="inlineStr">
        <is>
          <t>SKIP: No Trade result. Market regime NEUTRAL; sector STRONG; net R/R 0.00.</t>
        </is>
      </c>
      <c r="O8"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8" t="inlineStr">
        <is>
          <t>C:\Users\User\Documents\Codex\2026-05-29\adva-mo-project-orion-https-github\work\market-lens-scanner\agent_results\charts\market_lens_agent_20260608_002548_mu.png</t>
        </is>
      </c>
      <c r="Q8"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8"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"2026-06-08T00:27:00", "warnings": ["Target ATR feasibility unavailable."]}</t>
        </is>
      </c>
    </row>
    <row r="9">
      <c r="A9" t="inlineStr">
        <is>
          <t>2026-06-08T00:27:00</t>
        </is>
      </c>
      <c r="B9" t="inlineStr">
        <is>
          <t>UNH</t>
        </is>
      </c>
      <c r="C9" t="inlineStr">
        <is>
          <t>No Trade</t>
        </is>
      </c>
      <c r="D9" t="n">
        <v>0</v>
      </c>
      <c r="E9" t="n">
        <v>399.47</v>
      </c>
      <c r="H9" t="n">
        <v>0</v>
      </c>
      <c r="K9" t="n">
        <v>0</v>
      </c>
      <c r="L9" t="inlineStr">
        <is>
          <t>No clean technical setup detected. Price in middle of value area or poor risk/reward.</t>
        </is>
      </c>
      <c r="M9" t="inlineStr">
        <is>
          <t>SKIP</t>
        </is>
      </c>
      <c r="N9" t="inlineStr">
        <is>
          <t>SKIP: No Trade result. Market regime NEUTRAL; sector NEUTRAL; net R/R 0.00.</t>
        </is>
      </c>
      <c r="O9"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9" t="inlineStr">
        <is>
          <t>C:\Users\User\Documents\Codex\2026-05-29\adva-mo-project-orion-https-github\work\market-lens-scanner\agent_results\charts\market_lens_agent_20260608_002548_unh.png</t>
        </is>
      </c>
      <c r="Q9"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9"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"2026-06-08T00:27:00", "warnings": ["Target ATR feasibility unavailable."]}</t>
        </is>
      </c>
    </row>
    <row r="10">
      <c r="A10" t="inlineStr">
        <is>
          <t>2026-06-08T00:27:00</t>
        </is>
      </c>
      <c r="B10" t="inlineStr">
        <is>
          <t>MS</t>
        </is>
      </c>
      <c r="C10" t="inlineStr">
        <is>
          <t>No Trade</t>
        </is>
      </c>
      <c r="D10" t="n">
        <v>0</v>
      </c>
      <c r="E10" t="n">
        <v>211.93</v>
      </c>
      <c r="H10" t="n">
        <v>0</v>
      </c>
      <c r="K10" t="n">
        <v>0</v>
      </c>
      <c r="L10" t="inlineStr">
        <is>
          <t>No clean technical setup detected. Price in middle of value area or poor risk/reward.</t>
        </is>
      </c>
      <c r="M10" t="inlineStr">
        <is>
          <t>SKIP</t>
        </is>
      </c>
      <c r="N10" t="inlineStr">
        <is>
          <t>SKIP: No Trade result. Market regime NEUTRAL; sector STRONG; net R/R 0.00.</t>
        </is>
      </c>
      <c r="O10"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0" t="inlineStr">
        <is>
          <t>C:\Users\User\Documents\Codex\2026-05-29\adva-mo-project-orion-https-github\work\market-lens-scanner\agent_results\charts\market_lens_agent_20260608_002548_ms.png</t>
        </is>
      </c>
      <c r="Q10"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0"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"2026-06-08T00:27:00", "warnings": ["Target ATR feasibility unavailable."]}</t>
        </is>
      </c>
    </row>
    <row r="11">
      <c r="A11" t="inlineStr">
        <is>
          <t>2026-06-08T00:27:00</t>
        </is>
      </c>
      <c r="B11" t="inlineStr">
        <is>
          <t>SMCI</t>
        </is>
      </c>
      <c r="C11" t="inlineStr">
        <is>
          <t>No Trade</t>
        </is>
      </c>
      <c r="D11" t="n">
        <v>0</v>
      </c>
      <c r="E11" t="n">
        <v>41.64</v>
      </c>
      <c r="H11" t="n">
        <v>0</v>
      </c>
      <c r="K11" t="n">
        <v>0</v>
      </c>
      <c r="L11" t="inlineStr">
        <is>
          <t>No clean technical setup detected. Price in middle of value area or poor risk/reward.</t>
        </is>
      </c>
      <c r="M11" t="inlineStr">
        <is>
          <t>SKIP</t>
        </is>
      </c>
      <c r="N11" t="inlineStr">
        <is>
          <t>SKIP: No Trade result. Market regime NEUTRAL; sector STRONG; net R/R 0.00.</t>
        </is>
      </c>
      <c r="O1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1" t="inlineStr">
        <is>
          <t>C:\Users\User\Documents\Codex\2026-05-29\adva-mo-project-orion-https-github\work\market-lens-scanner\agent_results\charts\market_lens_agent_20260608_002548_smci.png</t>
        </is>
      </c>
      <c r="Q1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1"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"2026-06-08T00:27:00", "warnings": ["Target ATR feasibility unavailable."]}</t>
        </is>
      </c>
    </row>
    <row r="12">
      <c r="A12" t="inlineStr">
        <is>
          <t>2026-06-08T00:27:00</t>
        </is>
      </c>
      <c r="B12" t="inlineStr">
        <is>
          <t>CAT</t>
        </is>
      </c>
      <c r="C12" t="inlineStr">
        <is>
          <t>No Trade</t>
        </is>
      </c>
      <c r="D12" t="n">
        <v>0</v>
      </c>
      <c r="E12" t="n">
        <v>904.28</v>
      </c>
      <c r="H12" t="n">
        <v>0</v>
      </c>
      <c r="K12" t="n">
        <v>0</v>
      </c>
      <c r="L12" t="inlineStr">
        <is>
          <t>No clean technical setup detected. Price in middle of value area or poor risk/reward.</t>
        </is>
      </c>
      <c r="M12" t="inlineStr">
        <is>
          <t>SKIP</t>
        </is>
      </c>
      <c r="N12" t="inlineStr">
        <is>
          <t>SKIP: No Trade result. Market regime NEUTRAL; sector NEUTRAL; net R/R 0.00.</t>
        </is>
      </c>
      <c r="O12"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 t="inlineStr">
        <is>
          <t>C:\Users\User\Documents\Codex\2026-05-29\adva-mo-project-orion-https-github\work\market-lens-scanner\agent_results\charts\market_lens_agent_20260608_002548_cat.png</t>
        </is>
      </c>
      <c r="Q12"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"2026-06-08T00:27:00", "warnings": ["Target ATR feasibility unavailable."]}</t>
        </is>
      </c>
    </row>
    <row r="13">
      <c r="A13" t="inlineStr">
        <is>
          <t>2026-06-08T00:27:00</t>
        </is>
      </c>
      <c r="B13" t="inlineStr">
        <is>
          <t>GS</t>
        </is>
      </c>
      <c r="C13" t="inlineStr">
        <is>
          <t>No Trade</t>
        </is>
      </c>
      <c r="D13" t="n">
        <v>0</v>
      </c>
      <c r="E13" t="n">
        <v>1038.68</v>
      </c>
      <c r="H13" t="n">
        <v>0</v>
      </c>
      <c r="K13" t="n">
        <v>0</v>
      </c>
      <c r="L13" t="inlineStr">
        <is>
          <t>No clean technical setup detected. Price in middle of value area or poor risk/reward.</t>
        </is>
      </c>
      <c r="M13" t="inlineStr">
        <is>
          <t>SKIP</t>
        </is>
      </c>
      <c r="N13" t="inlineStr">
        <is>
          <t>SKIP: No Trade result. Market regime NEUTRAL; sector STRONG; net R/R 0.00.</t>
        </is>
      </c>
      <c r="O13"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3" t="inlineStr">
        <is>
          <t>C:\Users\User\Documents\Codex\2026-05-29\adva-mo-project-orion-https-github\work\market-lens-scanner\agent_results\charts\market_lens_agent_20260608_002548_gs.png</t>
        </is>
      </c>
      <c r="Q13"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3"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"2026-06-08T00:27:00", "warnings": ["Target ATR feasibility unavailable."]}</t>
        </is>
      </c>
    </row>
    <row r="14">
      <c r="A14" t="inlineStr">
        <is>
          <t>2026-06-08T00:27:00</t>
        </is>
      </c>
      <c r="B14" t="inlineStr">
        <is>
          <t>URI</t>
        </is>
      </c>
      <c r="C14" t="inlineStr">
        <is>
          <t>No Trade</t>
        </is>
      </c>
      <c r="D14" t="n">
        <v>0</v>
      </c>
      <c r="E14" t="n">
        <v>1067.77</v>
      </c>
      <c r="H14" t="n">
        <v>0</v>
      </c>
      <c r="K14" t="n">
        <v>0</v>
      </c>
      <c r="L14" t="inlineStr">
        <is>
          <t>No clean technical setup detected. Price in middle of value area or poor risk/reward.</t>
        </is>
      </c>
      <c r="M14" t="inlineStr">
        <is>
          <t>SKIP</t>
        </is>
      </c>
      <c r="N14" t="inlineStr">
        <is>
          <t>SKIP: No Trade result. Market regime NEUTRAL; sector NEUTRAL; net R/R 0.00.</t>
        </is>
      </c>
      <c r="O14"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4" t="inlineStr">
        <is>
          <t>C:\Users\User\Documents\Codex\2026-05-29\adva-mo-project-orion-https-github\work\market-lens-scanner\agent_results\charts\market_lens_agent_20260608_002548_uri.png</t>
        </is>
      </c>
      <c r="Q14"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4"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"2026-06-08T00:27:00", "warnings": ["Target ATR feasibility unavailable."]}</t>
        </is>
      </c>
    </row>
    <row r="15">
      <c r="A15" t="inlineStr">
        <is>
          <t>2026-06-08T00:27:00</t>
        </is>
      </c>
      <c r="B15" t="inlineStr">
        <is>
          <t>ASML</t>
        </is>
      </c>
      <c r="C15" t="inlineStr">
        <is>
          <t>No Trade</t>
        </is>
      </c>
      <c r="D15" t="n">
        <v>0</v>
      </c>
      <c r="E15" t="n">
        <v>1641.74</v>
      </c>
      <c r="H15" t="n">
        <v>0</v>
      </c>
      <c r="K15" t="n">
        <v>0</v>
      </c>
      <c r="L15" t="inlineStr">
        <is>
          <t>No clean technical setup detected. Price in middle of value area or poor risk/reward.</t>
        </is>
      </c>
      <c r="M15" t="inlineStr">
        <is>
          <t>SKIP</t>
        </is>
      </c>
      <c r="N15" t="inlineStr">
        <is>
          <t>SKIP: No Trade result. Market regime NEUTRAL; sector STRONG; net R/R 0.00.</t>
        </is>
      </c>
      <c r="O15"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5" t="inlineStr">
        <is>
          <t>C:\Users\User\Documents\Codex\2026-05-29\adva-mo-project-orion-https-github\work\market-lens-scanner\agent_results\charts\market_lens_agent_20260608_002548_asml.png</t>
        </is>
      </c>
      <c r="Q15"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5"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"2026-06-08T00:27:00", "warnings": ["Target ATR feasibility unavailable."]}</t>
        </is>
      </c>
    </row>
    <row r="16">
      <c r="A16" t="inlineStr">
        <is>
          <t>2026-06-08T00:27:00</t>
        </is>
      </c>
      <c r="B16" t="inlineStr">
        <is>
          <t>LRCX</t>
        </is>
      </c>
      <c r="C16" t="inlineStr">
        <is>
          <t>No Trade</t>
        </is>
      </c>
      <c r="D16" t="n">
        <v>0</v>
      </c>
      <c r="E16" t="n">
        <v>303.28</v>
      </c>
      <c r="H16" t="n">
        <v>0</v>
      </c>
      <c r="K16" t="n">
        <v>0</v>
      </c>
      <c r="L16" t="inlineStr">
        <is>
          <t>No clean technical setup detected. Price in middle of value area or poor risk/reward.</t>
        </is>
      </c>
      <c r="M16" t="inlineStr">
        <is>
          <t>SKIP</t>
        </is>
      </c>
      <c r="N16" t="inlineStr">
        <is>
          <t>SKIP: No Trade result. Market regime NEUTRAL; sector STRONG; net R/R 0.00.</t>
        </is>
      </c>
      <c r="O16"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6" t="inlineStr">
        <is>
          <t>C:\Users\User\Documents\Codex\2026-05-29\adva-mo-project-orion-https-github\work\market-lens-scanner\agent_results\charts\market_lens_agent_20260608_002548_lrcx.png</t>
        </is>
      </c>
      <c r="Q16"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6"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"2026-06-08T00:27:00", "warnings": ["Target ATR feasibility unavailable."]}</t>
        </is>
      </c>
    </row>
    <row r="17">
      <c r="A17" t="inlineStr">
        <is>
          <t>2026-06-08T00:27:00</t>
        </is>
      </c>
      <c r="B17" t="inlineStr">
        <is>
          <t>TXN</t>
        </is>
      </c>
      <c r="C17" t="inlineStr">
        <is>
          <t>No Trade</t>
        </is>
      </c>
      <c r="D17" t="n">
        <v>0</v>
      </c>
      <c r="E17" t="n">
        <v>285.06</v>
      </c>
      <c r="H17" t="n">
        <v>0</v>
      </c>
      <c r="K17" t="n">
        <v>0</v>
      </c>
      <c r="L17" t="inlineStr">
        <is>
          <t>No clean technical setup detected. Price in middle of value area or poor risk/reward.</t>
        </is>
      </c>
      <c r="M17" t="inlineStr">
        <is>
          <t>SKIP</t>
        </is>
      </c>
      <c r="N17" t="inlineStr">
        <is>
          <t>SKIP: No Trade result. Market regime NEUTRAL; sector STRONG; net R/R 0.00.</t>
        </is>
      </c>
      <c r="O17"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7" t="inlineStr">
        <is>
          <t>C:\Users\User\Documents\Codex\2026-05-29\adva-mo-project-orion-https-github\work\market-lens-scanner\agent_results\charts\market_lens_agent_20260608_002548_txn.png</t>
        </is>
      </c>
      <c r="Q17"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7"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"2026-06-08T00:27:00", "warnings": ["Target ATR feasibility unavailable."]}</t>
        </is>
      </c>
    </row>
    <row r="18">
      <c r="A18" t="inlineStr">
        <is>
          <t>2026-06-08T00:27:00</t>
        </is>
      </c>
      <c r="B18" t="inlineStr">
        <is>
          <t>AMD</t>
        </is>
      </c>
      <c r="C18" t="inlineStr">
        <is>
          <t>No Trade</t>
        </is>
      </c>
      <c r="D18" t="n">
        <v>0</v>
      </c>
      <c r="E18" t="n">
        <v>466.38</v>
      </c>
      <c r="H18" t="n">
        <v>0</v>
      </c>
      <c r="K18" t="n">
        <v>0</v>
      </c>
      <c r="L18" t="inlineStr">
        <is>
          <t>No clean technical setup detected. Price in middle of value area or poor risk/reward.</t>
        </is>
      </c>
      <c r="M18" t="inlineStr">
        <is>
          <t>SKIP</t>
        </is>
      </c>
      <c r="N18" t="inlineStr">
        <is>
          <t>SKIP: No Trade result. Market regime NEUTRAL; sector STRONG; net R/R 0.00.</t>
        </is>
      </c>
      <c r="O18"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8" t="inlineStr">
        <is>
          <t>C:\Users\User\Documents\Codex\2026-05-29\adva-mo-project-orion-https-github\work\market-lens-scanner\agent_results\charts\market_lens_agent_20260608_002548_amd.png</t>
        </is>
      </c>
      <c r="Q18"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8"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"2026-06-08T00:27:00", "warnings": ["Target ATR feasibility unavailable."]}</t>
        </is>
      </c>
    </row>
    <row r="19">
      <c r="A19" t="inlineStr">
        <is>
          <t>2026-06-08T00:27:00</t>
        </is>
      </c>
      <c r="B19" t="inlineStr">
        <is>
          <t>C</t>
        </is>
      </c>
      <c r="C19" t="inlineStr">
        <is>
          <t>No Trade</t>
        </is>
      </c>
      <c r="D19" t="n">
        <v>0</v>
      </c>
      <c r="E19" t="n">
        <v>132.47</v>
      </c>
      <c r="H19" t="n">
        <v>0</v>
      </c>
      <c r="K19" t="n">
        <v>0</v>
      </c>
      <c r="L19" t="inlineStr">
        <is>
          <t>No clean technical setup detected. Price in middle of value area or poor risk/reward.</t>
        </is>
      </c>
      <c r="M19" t="inlineStr">
        <is>
          <t>SKIP</t>
        </is>
      </c>
      <c r="N19" t="inlineStr">
        <is>
          <t>SKIP: No Trade result. Market regime NEUTRAL; sector STRONG; net R/R 0.00.</t>
        </is>
      </c>
      <c r="O19"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9" t="inlineStr">
        <is>
          <t>C:\Users\User\Documents\Codex\2026-05-29\adva-mo-project-orion-https-github\work\market-lens-scanner\agent_results\charts\market_lens_agent_20260608_002548_c.png</t>
        </is>
      </c>
      <c r="Q19"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9"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"2026-06-08T00:27:00", "warnings": ["Target ATR feasibility unavailable."]}</t>
        </is>
      </c>
    </row>
    <row r="20">
      <c r="A20" t="inlineStr">
        <is>
          <t>2026-06-08T00:27:00</t>
        </is>
      </c>
      <c r="B20" t="inlineStr">
        <is>
          <t>AAPL</t>
        </is>
      </c>
      <c r="C20" t="inlineStr">
        <is>
          <t>No Trade</t>
        </is>
      </c>
      <c r="D20" t="n">
        <v>0</v>
      </c>
      <c r="E20" t="n">
        <v>307.34</v>
      </c>
      <c r="H20" t="n">
        <v>0</v>
      </c>
      <c r="K20" t="n">
        <v>0</v>
      </c>
      <c r="L20" t="inlineStr">
        <is>
          <t>No clean technical setup detected. Price in middle of value area or poor risk/reward.</t>
        </is>
      </c>
      <c r="M20" t="inlineStr">
        <is>
          <t>SKIP</t>
        </is>
      </c>
      <c r="N20" t="inlineStr">
        <is>
          <t>SKIP: No Trade result. Market regime NEUTRAL; sector STRONG; net R/R 0.00.</t>
        </is>
      </c>
      <c r="O20"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20" t="inlineStr">
        <is>
          <t>C:\Users\User\Documents\Codex\2026-05-29\adva-mo-project-orion-https-github\work\market-lens-scanner\agent_results\charts\market_lens_agent_20260608_002548_aapl.png</t>
        </is>
      </c>
      <c r="Q20"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20"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"2026-06-08T00:27:00", "warnings": ["Target ATR feasibility unavailable."]}</t>
        </is>
      </c>
    </row>
    <row r="21">
      <c r="A21" t="inlineStr">
        <is>
          <t>2026-06-08T00:27:00</t>
        </is>
      </c>
      <c r="B21" t="inlineStr">
        <is>
          <t>LLY</t>
        </is>
      </c>
      <c r="C21" t="inlineStr">
        <is>
          <t>No Trade</t>
        </is>
      </c>
      <c r="D21" t="n">
        <v>0</v>
      </c>
      <c r="E21" t="n">
        <v>1131.42</v>
      </c>
      <c r="H21" t="n">
        <v>0</v>
      </c>
      <c r="K21" t="n">
        <v>0</v>
      </c>
      <c r="L21" t="inlineStr">
        <is>
          <t>No clean technical setup detected. Price in middle of value area or poor risk/reward.</t>
        </is>
      </c>
      <c r="M21" t="inlineStr">
        <is>
          <t>SKIP</t>
        </is>
      </c>
      <c r="N21" t="inlineStr">
        <is>
          <t>SKIP: No Trade result. Market regime NEUTRAL; sector NEUTRAL; net R/R 0.00.</t>
        </is>
      </c>
      <c r="O21"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21" t="inlineStr">
        <is>
          <t>C:\Users\User\Documents\Codex\2026-05-29\adva-mo-project-orion-https-github\work\market-lens-scanner\agent_results\charts\market_lens_agent_20260608_002548_lly.png</t>
        </is>
      </c>
      <c r="Q21"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21"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"2026-06-08T00:27:00", "warnings": ["Target ATR feasibility unavailable."]}</t>
        </is>
      </c>
    </row>
    <row r="22">
      <c r="A22" t="inlineStr">
        <is>
          <t>2026-06-08T00:27:00</t>
        </is>
      </c>
      <c r="B22" t="inlineStr">
        <is>
          <t>TSM</t>
        </is>
      </c>
      <c r="C22" t="inlineStr">
        <is>
          <t>No Trade</t>
        </is>
      </c>
      <c r="D22" t="n">
        <v>0</v>
      </c>
      <c r="E22" t="n">
        <v>415.17</v>
      </c>
      <c r="H22" t="n">
        <v>0</v>
      </c>
      <c r="K22" t="n">
        <v>0</v>
      </c>
      <c r="L22" t="inlineStr">
        <is>
          <t>No clean technical setup detected. Price in middle of value area or poor risk/reward.</t>
        </is>
      </c>
      <c r="M22" t="inlineStr">
        <is>
          <t>SKIP</t>
        </is>
      </c>
      <c r="N22" t="inlineStr">
        <is>
          <t>SKIP: No Trade result. Market regime NEUTRAL; sector STRONG; net R/R 0.00.</t>
        </is>
      </c>
      <c r="O22"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22" t="inlineStr">
        <is>
          <t>C:\Users\User\Documents\Codex\2026-05-29\adva-mo-project-orion-https-github\work\market-lens-scanner\agent_results\charts\market_lens_agent_20260608_002548_tsm.png</t>
        </is>
      </c>
      <c r="Q22"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22"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"2026-06-08T00:27:00", "warnings": ["Target ATR feasibility unavailable."]}</t>
        </is>
      </c>
    </row>
    <row r="23">
      <c r="A23" t="inlineStr">
        <is>
          <t>2026-06-08T00:27:00</t>
        </is>
      </c>
      <c r="B23" t="inlineStr">
        <is>
          <t>BAC</t>
        </is>
      </c>
      <c r="C23" t="inlineStr">
        <is>
          <t>No Trade</t>
        </is>
      </c>
      <c r="D23" t="n">
        <v>0</v>
      </c>
      <c r="E23" t="n">
        <v>53.83</v>
      </c>
      <c r="H23" t="n">
        <v>0</v>
      </c>
      <c r="K23" t="n">
        <v>0</v>
      </c>
      <c r="L23" t="inlineStr">
        <is>
          <t>No clean technical setup detected. Price in middle of value area or poor risk/reward.</t>
        </is>
      </c>
      <c r="M23" t="inlineStr">
        <is>
          <t>SKIP</t>
        </is>
      </c>
      <c r="N23" t="inlineStr">
        <is>
          <t>SKIP: No Trade result. Market regime NEUTRAL; sector STRONG; net R/R 0.00.</t>
        </is>
      </c>
      <c r="O23"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23" t="inlineStr">
        <is>
          <t>C:\Users\User\Documents\Codex\2026-05-29\adva-mo-project-orion-https-github\work\market-lens-scanner\agent_results\charts\market_lens_agent_20260608_002548_bac.png</t>
        </is>
      </c>
      <c r="Q23"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23"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"2026-06-08T00:27:00", "warnings": ["Target ATR feasibility unavailable."]}</t>
        </is>
      </c>
    </row>
    <row r="24">
      <c r="A24" t="inlineStr">
        <is>
          <t>2026-06-08T00:27:00</t>
        </is>
      </c>
      <c r="B24" t="inlineStr">
        <is>
          <t>UPS</t>
        </is>
      </c>
      <c r="C24" t="inlineStr">
        <is>
          <t>No Trade</t>
        </is>
      </c>
      <c r="D24" t="n">
        <v>0</v>
      </c>
      <c r="E24" t="n">
        <v>108.54</v>
      </c>
      <c r="H24" t="n">
        <v>0</v>
      </c>
      <c r="K24" t="n">
        <v>0</v>
      </c>
      <c r="L24" t="inlineStr">
        <is>
          <t>No clean technical setup detected. Price in middle of value area or poor risk/reward.</t>
        </is>
      </c>
      <c r="M24" t="inlineStr">
        <is>
          <t>SKIP</t>
        </is>
      </c>
      <c r="N24" t="inlineStr">
        <is>
          <t>SKIP: No Trade result. Market regime NEUTRAL; sector NEUTRAL; net R/R 0.00.</t>
        </is>
      </c>
      <c r="O24"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24" t="inlineStr">
        <is>
          <t>C:\Users\User\Documents\Codex\2026-05-29\adva-mo-project-orion-https-github\work\market-lens-scanner\agent_results\charts\market_lens_agent_20260608_002548_ups.png</t>
        </is>
      </c>
      <c r="Q24"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24"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"2026-06-08T00:27:00", "warnings": ["Target ATR feasibility unavailable."]}</t>
        </is>
      </c>
    </row>
    <row r="25">
      <c r="A25" t="inlineStr">
        <is>
          <t>2026-06-08T00:27:00</t>
        </is>
      </c>
      <c r="B25" t="inlineStr">
        <is>
          <t>PSX</t>
        </is>
      </c>
      <c r="C25" t="inlineStr">
        <is>
          <t>No Trade</t>
        </is>
      </c>
      <c r="D25" t="n">
        <v>0</v>
      </c>
      <c r="E25" t="n">
        <v>183.08</v>
      </c>
      <c r="H25" t="n">
        <v>0</v>
      </c>
      <c r="K25" t="n">
        <v>0</v>
      </c>
      <c r="L25" t="inlineStr">
        <is>
          <t>No clean technical setup detected. Price in middle of value area or poor risk/reward.</t>
        </is>
      </c>
      <c r="M25" t="inlineStr">
        <is>
          <t>SKIP</t>
        </is>
      </c>
      <c r="N25" t="inlineStr">
        <is>
          <t>SKIP: No Trade result. Market regime NEUTRAL; sector NEUTRAL; net R/R 0.00.</t>
        </is>
      </c>
      <c r="O25"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25" t="inlineStr">
        <is>
          <t>C:\Users\User\Documents\Codex\2026-05-29\adva-mo-project-orion-https-github\work\market-lens-scanner\agent_results\charts\market_lens_agent_20260608_002548_psx.png</t>
        </is>
      </c>
      <c r="Q25"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25"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"2026-06-08T00:27:00", "warnings": ["Target ATR feasibility unavailable."]}</t>
        </is>
      </c>
    </row>
    <row r="26">
      <c r="A26" t="inlineStr">
        <is>
          <t>2026-06-08T00:27:00</t>
        </is>
      </c>
      <c r="B26" t="inlineStr">
        <is>
          <t>UNP</t>
        </is>
      </c>
      <c r="C26" t="inlineStr">
        <is>
          <t>No Trade</t>
        </is>
      </c>
      <c r="D26" t="n">
        <v>0</v>
      </c>
      <c r="E26" t="n">
        <v>272.32</v>
      </c>
      <c r="H26" t="n">
        <v>0</v>
      </c>
      <c r="K26" t="n">
        <v>0</v>
      </c>
      <c r="L26" t="inlineStr">
        <is>
          <t>No clean technical setup detected. Price in middle of value area or poor risk/reward.</t>
        </is>
      </c>
      <c r="M26" t="inlineStr">
        <is>
          <t>SKIP</t>
        </is>
      </c>
      <c r="N26" t="inlineStr">
        <is>
          <t>SKIP: No Trade result. Market regime NEUTRAL; sector NEUTRAL; net R/R 0.00.</t>
        </is>
      </c>
      <c r="O26"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26" t="inlineStr">
        <is>
          <t>C:\Users\User\Documents\Codex\2026-05-29\adva-mo-project-orion-https-github\work\market-lens-scanner\agent_results\charts\market_lens_agent_20260608_002548_unp.png</t>
        </is>
      </c>
      <c r="Q26"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26"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"2026-06-08T00:27:00", "warnings": ["Target ATR feasibility unavailable."]}</t>
        </is>
      </c>
    </row>
    <row r="27">
      <c r="A27" t="inlineStr">
        <is>
          <t>2026-06-08T00:27:00</t>
        </is>
      </c>
      <c r="B27" t="inlineStr">
        <is>
          <t>ANET</t>
        </is>
      </c>
      <c r="C27" t="inlineStr">
        <is>
          <t>No Trade</t>
        </is>
      </c>
      <c r="D27" t="n">
        <v>0</v>
      </c>
      <c r="E27" t="n">
        <v>154.27</v>
      </c>
      <c r="H27" t="n">
        <v>0</v>
      </c>
      <c r="K27" t="n">
        <v>0</v>
      </c>
      <c r="L27" t="inlineStr">
        <is>
          <t>No clean technical setup detected. Price in middle of value area or poor risk/reward.</t>
        </is>
      </c>
      <c r="M27" t="inlineStr">
        <is>
          <t>SKIP</t>
        </is>
      </c>
      <c r="N27" t="inlineStr">
        <is>
          <t>SKIP: No Trade result. Market regime NEUTRAL; sector STRONG; net R/R 0.00.</t>
        </is>
      </c>
      <c r="O27"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27" t="inlineStr">
        <is>
          <t>C:\Users\User\Documents\Codex\2026-05-29\adva-mo-project-orion-https-github\work\market-lens-scanner\agent_results\charts\market_lens_agent_20260608_002548_anet.png</t>
        </is>
      </c>
      <c r="Q27"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27"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"2026-06-08T00:27:00", "warnings": ["Target ATR feasibility unavailable."]}</t>
        </is>
      </c>
    </row>
    <row r="28">
      <c r="A28" t="inlineStr">
        <is>
          <t>2026-06-08T00:27:00</t>
        </is>
      </c>
      <c r="B28" t="inlineStr">
        <is>
          <t>MRK</t>
        </is>
      </c>
      <c r="C28" t="inlineStr">
        <is>
          <t>No Trade</t>
        </is>
      </c>
      <c r="D28" t="n">
        <v>0</v>
      </c>
      <c r="E28" t="n">
        <v>120.79</v>
      </c>
      <c r="H28" t="n">
        <v>0</v>
      </c>
      <c r="K28" t="n">
        <v>0</v>
      </c>
      <c r="L28" t="inlineStr">
        <is>
          <t>No clean technical setup detected. Price in middle of value area or poor risk/reward.</t>
        </is>
      </c>
      <c r="M28" t="inlineStr">
        <is>
          <t>SKIP</t>
        </is>
      </c>
      <c r="N28" t="inlineStr">
        <is>
          <t>SKIP: No Trade result. Market regime NEUTRAL; sector NEUTRAL; net R/R 0.00.</t>
        </is>
      </c>
      <c r="O28"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28" t="inlineStr">
        <is>
          <t>C:\Users\User\Documents\Codex\2026-05-29\adva-mo-project-orion-https-github\work\market-lens-scanner\agent_results\charts\market_lens_agent_20260608_002548_mrk.png</t>
        </is>
      </c>
      <c r="Q28"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28"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"2026-06-08T00:27:00", "warnings": ["Target ATR feasibility unavailable."]}</t>
        </is>
      </c>
    </row>
    <row r="29">
      <c r="A29" t="inlineStr">
        <is>
          <t>2026-06-08T00:27:00</t>
        </is>
      </c>
      <c r="B29" t="inlineStr">
        <is>
          <t>UDR</t>
        </is>
      </c>
      <c r="C29" t="inlineStr">
        <is>
          <t>No Trade</t>
        </is>
      </c>
      <c r="D29" t="n">
        <v>0</v>
      </c>
      <c r="E29" t="n">
        <v>39.2</v>
      </c>
      <c r="H29" t="n">
        <v>0</v>
      </c>
      <c r="K29" t="n">
        <v>0</v>
      </c>
      <c r="L29" t="inlineStr">
        <is>
          <t>No clean technical setup detected. Price in middle of value area or poor risk/reward.</t>
        </is>
      </c>
      <c r="M29" t="inlineStr">
        <is>
          <t>SKIP</t>
        </is>
      </c>
      <c r="N29" t="inlineStr">
        <is>
          <t>SKIP: No Trade result. Market regime NEUTRAL; sector STRONG; net R/R 0.00.</t>
        </is>
      </c>
      <c r="O29"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29" t="inlineStr">
        <is>
          <t>C:\Users\User\Documents\Codex\2026-05-29\adva-mo-project-orion-https-github\work\market-lens-scanner\agent_results\charts\market_lens_agent_20260608_002548_udr.png</t>
        </is>
      </c>
      <c r="Q29"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29"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"2026-06-08T00:27:00", "warnings": ["Target ATR feasibility unavailable."]}</t>
        </is>
      </c>
    </row>
    <row r="30">
      <c r="A30" t="inlineStr">
        <is>
          <t>2026-06-08T00:27:00</t>
        </is>
      </c>
      <c r="B30" t="inlineStr">
        <is>
          <t>JPM</t>
        </is>
      </c>
      <c r="C30" t="inlineStr">
        <is>
          <t>No Trade</t>
        </is>
      </c>
      <c r="D30" t="n">
        <v>0</v>
      </c>
      <c r="E30" t="n">
        <v>312.37</v>
      </c>
      <c r="H30" t="n">
        <v>0</v>
      </c>
      <c r="K30" t="n">
        <v>0</v>
      </c>
      <c r="L30" t="inlineStr">
        <is>
          <t>No clean technical setup detected. Price in middle of value area or poor risk/reward.</t>
        </is>
      </c>
      <c r="M30" t="inlineStr">
        <is>
          <t>SKIP</t>
        </is>
      </c>
      <c r="N30" t="inlineStr">
        <is>
          <t>SKIP: No Trade result. Market regime NEUTRAL; sector STRONG; net R/R 0.00.</t>
        </is>
      </c>
      <c r="O30"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30" t="inlineStr">
        <is>
          <t>C:\Users\User\Documents\Codex\2026-05-29\adva-mo-project-orion-https-github\work\market-lens-scanner\agent_results\charts\market_lens_agent_20260608_002548_jpm.png</t>
        </is>
      </c>
      <c r="Q30"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30"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"2026-06-08T00:27:00", "warnings": ["Target ATR feasibility unavailable."]}</t>
        </is>
      </c>
    </row>
    <row r="31">
      <c r="A31" t="inlineStr">
        <is>
          <t>2026-06-08T00:27:00</t>
        </is>
      </c>
      <c r="B31" t="inlineStr">
        <is>
          <t>GE</t>
        </is>
      </c>
      <c r="C31" t="inlineStr">
        <is>
          <t>No Trade</t>
        </is>
      </c>
      <c r="D31" t="n">
        <v>0</v>
      </c>
      <c r="E31" t="n">
        <v>328</v>
      </c>
      <c r="H31" t="n">
        <v>0</v>
      </c>
      <c r="K31" t="n">
        <v>0</v>
      </c>
      <c r="L31" t="inlineStr">
        <is>
          <t>No clean technical setup detected. Price in middle of value area or poor risk/reward.</t>
        </is>
      </c>
      <c r="M31" t="inlineStr">
        <is>
          <t>SKIP</t>
        </is>
      </c>
      <c r="N31" t="inlineStr">
        <is>
          <t>SKIP: No Trade result. Market regime NEUTRAL; sector NEUTRAL; net R/R 0.00.</t>
        </is>
      </c>
      <c r="O31"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31" t="inlineStr">
        <is>
          <t>C:\Users\User\Documents\Codex\2026-05-29\adva-mo-project-orion-https-github\work\market-lens-scanner\agent_results\charts\market_lens_agent_20260608_002548_ge.png</t>
        </is>
      </c>
      <c r="Q31"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31"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"2026-06-08T00:27:00", "warnings": ["Target ATR feasibility unavailable."]}</t>
        </is>
      </c>
    </row>
    <row r="32">
      <c r="A32" t="inlineStr">
        <is>
          <t>2026-06-08T00:27:00</t>
        </is>
      </c>
      <c r="B32" t="inlineStr">
        <is>
          <t>ABBV</t>
        </is>
      </c>
      <c r="C32" t="inlineStr">
        <is>
          <t>No Trade</t>
        </is>
      </c>
      <c r="D32" t="n">
        <v>0</v>
      </c>
      <c r="E32" t="n">
        <v>227.23</v>
      </c>
      <c r="H32" t="n">
        <v>0</v>
      </c>
      <c r="K32" t="n">
        <v>0</v>
      </c>
      <c r="L32" t="inlineStr">
        <is>
          <t>No clean technical setup detected. Price in middle of value area or poor risk/reward.</t>
        </is>
      </c>
      <c r="M32" t="inlineStr">
        <is>
          <t>SKIP</t>
        </is>
      </c>
      <c r="N32" t="inlineStr">
        <is>
          <t>SKIP: No Trade result. Market regime NEUTRAL; sector NEUTRAL; net R/R 0.00.</t>
        </is>
      </c>
      <c r="O32"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32" t="inlineStr">
        <is>
          <t>C:\Users\User\Documents\Codex\2026-05-29\adva-mo-project-orion-https-github\work\market-lens-scanner\agent_results\charts\market_lens_agent_20260608_002548_abbv.png</t>
        </is>
      </c>
      <c r="Q32"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32"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"2026-06-08T00:27:00", "warnings": ["Target ATR feasibility unavailable."]}</t>
        </is>
      </c>
    </row>
    <row r="33">
      <c r="A33" t="inlineStr">
        <is>
          <t>2026-06-08T00:27:00</t>
        </is>
      </c>
      <c r="B33" t="inlineStr">
        <is>
          <t>SLB</t>
        </is>
      </c>
      <c r="C33" t="inlineStr">
        <is>
          <t>No Trade</t>
        </is>
      </c>
      <c r="D33" t="n">
        <v>0</v>
      </c>
      <c r="E33" t="n">
        <v>54.87</v>
      </c>
      <c r="H33" t="n">
        <v>0</v>
      </c>
      <c r="K33" t="n">
        <v>0</v>
      </c>
      <c r="L33" t="inlineStr">
        <is>
          <t>No clean technical setup detected. Price in middle of value area or poor risk/reward.</t>
        </is>
      </c>
      <c r="M33" t="inlineStr">
        <is>
          <t>SKIP</t>
        </is>
      </c>
      <c r="N33" t="inlineStr">
        <is>
          <t>SKIP: No Trade result. Market regime NEUTRAL; sector NEUTRAL; net R/R 0.00.</t>
        </is>
      </c>
      <c r="O33"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33" t="inlineStr">
        <is>
          <t>C:\Users\User\Documents\Codex\2026-05-29\adva-mo-project-orion-https-github\work\market-lens-scanner\agent_results\charts\market_lens_agent_20260608_002548_slb.png</t>
        </is>
      </c>
      <c r="Q33"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33"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"2026-06-08T00:27:00", "warnings": ["Target ATR feasibility unavailable."]}</t>
        </is>
      </c>
    </row>
    <row r="34">
      <c r="A34" t="inlineStr">
        <is>
          <t>2026-06-08T00:27:00</t>
        </is>
      </c>
      <c r="B34" t="inlineStr">
        <is>
          <t>NVDA</t>
        </is>
      </c>
      <c r="C34" t="inlineStr">
        <is>
          <t>No Trade</t>
        </is>
      </c>
      <c r="D34" t="n">
        <v>0</v>
      </c>
      <c r="E34" t="n">
        <v>205.1</v>
      </c>
      <c r="H34" t="n">
        <v>0</v>
      </c>
      <c r="K34" t="n">
        <v>0</v>
      </c>
      <c r="L34" t="inlineStr">
        <is>
          <t>No clean technical setup detected. Price in middle of value area or poor risk/reward.</t>
        </is>
      </c>
      <c r="M34" t="inlineStr">
        <is>
          <t>SKIP</t>
        </is>
      </c>
      <c r="N34" t="inlineStr">
        <is>
          <t>SKIP: No Trade result. Market regime NEUTRAL; sector STRONG; net R/R 0.00.</t>
        </is>
      </c>
      <c r="O34"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34" t="inlineStr">
        <is>
          <t>C:\Users\User\Documents\Codex\2026-05-29\adva-mo-project-orion-https-github\work\market-lens-scanner\agent_results\charts\market_lens_agent_20260608_002548_nvda.png</t>
        </is>
      </c>
      <c r="Q34"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34"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"2026-06-08T00:27:00", "warnings": ["Target ATR feasibility unavailable."]}</t>
        </is>
      </c>
    </row>
    <row r="35">
      <c r="A35" t="inlineStr">
        <is>
          <t>2026-06-08T00:27:00</t>
        </is>
      </c>
      <c r="B35" t="inlineStr">
        <is>
          <t>AVGO</t>
        </is>
      </c>
      <c r="C35" t="inlineStr">
        <is>
          <t>No Trade</t>
        </is>
      </c>
      <c r="D35" t="n">
        <v>0</v>
      </c>
      <c r="E35" t="n">
        <v>385.73</v>
      </c>
      <c r="H35" t="n">
        <v>0</v>
      </c>
      <c r="K35" t="n">
        <v>0</v>
      </c>
      <c r="L35" t="inlineStr">
        <is>
          <t>No clean technical setup detected. Price in middle of value area or poor risk/reward.</t>
        </is>
      </c>
      <c r="M35" t="inlineStr">
        <is>
          <t>SKIP</t>
        </is>
      </c>
      <c r="N35" t="inlineStr">
        <is>
          <t>SKIP: No Trade result. Market regime NEUTRAL; sector STRONG; net R/R 0.00.</t>
        </is>
      </c>
      <c r="O35"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35" t="inlineStr">
        <is>
          <t>C:\Users\User\Documents\Codex\2026-05-29\adva-mo-project-orion-https-github\work\market-lens-scanner\agent_results\charts\market_lens_agent_20260608_002548_avgo.png</t>
        </is>
      </c>
      <c r="Q35"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35"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"2026-06-08T00:27:00", "warnings": ["Target ATR feasibility unavailable."]}</t>
        </is>
      </c>
    </row>
    <row r="36">
      <c r="A36" t="inlineStr">
        <is>
          <t>2026-06-08T00:27:00</t>
        </is>
      </c>
      <c r="B36" t="inlineStr">
        <is>
          <t>NOW</t>
        </is>
      </c>
      <c r="C36" t="inlineStr">
        <is>
          <t>No Trade</t>
        </is>
      </c>
      <c r="D36" t="n">
        <v>0</v>
      </c>
      <c r="E36" t="n">
        <v>112.45</v>
      </c>
      <c r="H36" t="n">
        <v>0</v>
      </c>
      <c r="K36" t="n">
        <v>0</v>
      </c>
      <c r="L36" t="inlineStr">
        <is>
          <t>No clean technical setup detected. Price in middle of value area or poor risk/reward.</t>
        </is>
      </c>
      <c r="M36" t="inlineStr">
        <is>
          <t>SKIP</t>
        </is>
      </c>
      <c r="N36" t="inlineStr">
        <is>
          <t>SKIP: No Trade result. Market regime NEUTRAL; sector STRONG; net R/R 0.00.</t>
        </is>
      </c>
      <c r="O36"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36" t="inlineStr">
        <is>
          <t>C:\Users\User\Documents\Codex\2026-05-29\adva-mo-project-orion-https-github\work\market-lens-scanner\agent_results\charts\market_lens_agent_20260608_002548_now.png</t>
        </is>
      </c>
      <c r="Q36"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36"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"2026-06-08T00:27:00", "warnings": ["Target ATR feasibility unavailable."]}</t>
        </is>
      </c>
    </row>
    <row r="37">
      <c r="A37" t="inlineStr">
        <is>
          <t>2026-06-08T01:09:18</t>
        </is>
      </c>
      <c r="B37" t="inlineStr">
        <is>
          <t>V</t>
        </is>
      </c>
      <c r="C37" t="inlineStr">
        <is>
          <t>Fib 61.8 Confluence Buy Zone</t>
        </is>
      </c>
      <c r="D37" t="n">
        <v>0.45</v>
      </c>
      <c r="E37" t="n">
        <v>323.57</v>
      </c>
      <c r="F37" t="n">
        <v>321.22</v>
      </c>
      <c r="G37" t="n">
        <v>324.81</v>
      </c>
      <c r="H37" t="n">
        <v>319</v>
      </c>
      <c r="I37" t="n">
        <v>325.34</v>
      </c>
      <c r="J37" t="n">
        <v>338.49</v>
      </c>
      <c r="K37" t="n">
        <v>1.39</v>
      </c>
      <c r="L37" t="inlineStr">
        <is>
          <t>Price at 61.8% fib retracement (323.02) with confluence at VWAP. Planned entry at zone low 321.22; executable entry 323.57, stop below fib 78.6% at 319.00.</t>
        </is>
      </c>
      <c r="M37" t="inlineStr">
        <is>
          <t>WATCH</t>
        </is>
      </c>
      <c r="N37" t="inlineStr">
        <is>
          <t>WATCH: Technical setup detected, but weighted risk/reward 1.39 is below minimum 2.00. Market regime NEUTRAL; sector STRONG; net R/R 1.16.</t>
        </is>
      </c>
      <c r="O37"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37" t="inlineStr">
        <is>
          <t>C:\Users\User\Documents\Codex\2026-05-29\adva-mo-project-orion-https-github\work\market-lens-scanner\agent_results\charts\market_lens_agent_20260608_010748_v.png</t>
        </is>
      </c>
      <c r="Q37"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37"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"2026-06-08T01:09:18", "warnings": ["Target 1 is close versus daily ATR."]}</t>
        </is>
      </c>
    </row>
    <row r="38">
      <c r="A38" t="inlineStr">
        <is>
          <t>2026-06-08T01:09:18</t>
        </is>
      </c>
      <c r="B38" t="inlineStr">
        <is>
          <t>AMAT</t>
        </is>
      </c>
      <c r="C38" t="inlineStr">
        <is>
          <t>No Trade</t>
        </is>
      </c>
      <c r="D38" t="n">
        <v>0</v>
      </c>
      <c r="E38" t="n">
        <v>453.01</v>
      </c>
      <c r="H38" t="n">
        <v>0</v>
      </c>
      <c r="K38" t="n">
        <v>0</v>
      </c>
      <c r="L38" t="inlineStr">
        <is>
          <t>No clean technical setup detected. Price in middle of value area or poor risk/reward.</t>
        </is>
      </c>
      <c r="M38" t="inlineStr">
        <is>
          <t>SKIP</t>
        </is>
      </c>
      <c r="N38" t="inlineStr">
        <is>
          <t>SKIP: No Trade result. Market regime NEUTRAL; sector STRONG; net R/R 0.00.</t>
        </is>
      </c>
      <c r="O38"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38" t="inlineStr">
        <is>
          <t>C:\Users\User\Documents\Codex\2026-05-29\adva-mo-project-orion-https-github\work\market-lens-scanner\agent_results\charts\market_lens_agent_20260608_010748_amat.png</t>
        </is>
      </c>
      <c r="Q38"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38" t="inlineStr">
        <is>
          <t>{"adjusted_cash_out": 0.0, "adjusted_position_size": 0, "adjusted_risk_amount": 0.0, "ask": 0.0, "bid": 0.0, "buy_zone_high": null, "buy_zone_low": null, "cash_available": 100000.0,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 "highest_correlation_value": null, "initial_action": "SKIP", "market_cap": 359671569137.81,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"2026-06-08T01:09:18", "warnings": ["Target ATR feasibility unavailable."]}</t>
        </is>
      </c>
    </row>
    <row r="39">
      <c r="A39" t="inlineStr">
        <is>
          <t>2026-06-08T01:09:18</t>
        </is>
      </c>
      <c r="B39" t="inlineStr">
        <is>
          <t>PANW</t>
        </is>
      </c>
      <c r="C39" t="inlineStr">
        <is>
          <t>No Trade</t>
        </is>
      </c>
      <c r="D39" t="n">
        <v>0</v>
      </c>
      <c r="E39" t="n">
        <v>272.05</v>
      </c>
      <c r="H39" t="n">
        <v>0</v>
      </c>
      <c r="K39" t="n">
        <v>0</v>
      </c>
      <c r="L39" t="inlineStr">
        <is>
          <t>No clean technical setup detected. Price in middle of value area or poor risk/reward.</t>
        </is>
      </c>
      <c r="M39" t="inlineStr">
        <is>
          <t>SKIP</t>
        </is>
      </c>
      <c r="N39" t="inlineStr">
        <is>
          <t>SKIP: No Trade result. Market regime NEUTRAL; sector STRONG; net R/R 0.00.</t>
        </is>
      </c>
      <c r="O39"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39" t="inlineStr">
        <is>
          <t>C:\Users\User\Documents\Codex\2026-05-29\adva-mo-project-orion-https-github\work\market-lens-scanner\agent_results\charts\market_lens_agent_20260608_010748_panw.png</t>
        </is>
      </c>
      <c r="Q39"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39" t="inlineStr">
        <is>
          <t>{"adjusted_cash_out": 0.0, "adjusted_position_size": 0, "adjusted_risk_amount": 0.0, "ask": 0.0, "bid": 0.0, "buy_zone_high": null, "buy_zone_low": null, "cash_available": 100000.0,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 "highest_correlation_value": null, "initial_action": "SKIP", "market_cap": 221720740051.27,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"2026-06-08T01:09:18", "warnings": ["Target ATR feasibility unavailable."]}</t>
        </is>
      </c>
    </row>
    <row r="40">
      <c r="A40" t="inlineStr">
        <is>
          <t>2026-06-08T01:09:18</t>
        </is>
      </c>
      <c r="B40" t="inlineStr">
        <is>
          <t>KLAC</t>
        </is>
      </c>
      <c r="C40" t="inlineStr">
        <is>
          <t>No Trade</t>
        </is>
      </c>
      <c r="D40" t="n">
        <v>0</v>
      </c>
      <c r="E40" t="n">
        <v>1929.2</v>
      </c>
      <c r="H40" t="n">
        <v>0</v>
      </c>
      <c r="K40" t="n">
        <v>0</v>
      </c>
      <c r="L40" t="inlineStr">
        <is>
          <t>No clean technical setup detected. Price in middle of value area or poor risk/reward.</t>
        </is>
      </c>
      <c r="M40" t="inlineStr">
        <is>
          <t>SKIP</t>
        </is>
      </c>
      <c r="N40" t="inlineStr">
        <is>
          <t>SKIP: No Trade result. Market regime NEUTRAL; sector STRONG; net R/R 0.00.</t>
        </is>
      </c>
      <c r="O40"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40" t="inlineStr">
        <is>
          <t>C:\Users\User\Documents\Codex\2026-05-29\adva-mo-project-orion-https-github\work\market-lens-scanner\agent_results\charts\market_lens_agent_20260608_010748_klac.png</t>
        </is>
      </c>
      <c r="Q40"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40" t="inlineStr">
        <is>
          <t>{"adjusted_cash_out": 0.0, "adjusted_position_size": 0, "adjusted_risk_amount": 0.0, "ask": 0.0, "bid": 0.0, "buy_zone_high": null, "buy_zone_low": null, "cash_available": 100000.0,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 "highest_correlation_value": null, "initial_action": "SKIP", "market_cap": 252006607134.9,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"2026-06-08T01:09:18", "warnings": ["Target ATR feasibility unavailable."]}</t>
        </is>
      </c>
    </row>
    <row r="41">
      <c r="A41" t="inlineStr">
        <is>
          <t>2026-06-08T01:09:18</t>
        </is>
      </c>
      <c r="B41" t="inlineStr">
        <is>
          <t>ORCL</t>
        </is>
      </c>
      <c r="C41" t="inlineStr">
        <is>
          <t>No Trade</t>
        </is>
      </c>
      <c r="D41" t="n">
        <v>0</v>
      </c>
      <c r="E41" t="n">
        <v>213.68</v>
      </c>
      <c r="H41" t="n">
        <v>0</v>
      </c>
      <c r="K41" t="n">
        <v>0</v>
      </c>
      <c r="L41" t="inlineStr">
        <is>
          <t>No clean technical setup detected. Price in middle of value area or poor risk/reward.</t>
        </is>
      </c>
      <c r="M41" t="inlineStr">
        <is>
          <t>SKIP</t>
        </is>
      </c>
      <c r="N41" t="inlineStr">
        <is>
          <t>SKIP: No Trade result. Market regime NEUTRAL; sector STRONG; net R/R 0.00.</t>
        </is>
      </c>
      <c r="O41"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41" t="inlineStr">
        <is>
          <t>C:\Users\User\Documents\Codex\2026-05-29\adva-mo-project-orion-https-github\work\market-lens-scanner\agent_results\charts\market_lens_agent_20260608_010748_orcl.png</t>
        </is>
      </c>
      <c r="Q41"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41" t="inlineStr">
        <is>
          <t>{"adjusted_cash_out": 0.0, "adjusted_position_size": 0, "adjusted_risk_amount": 0.0, "ask": 0.0, "bid": 0.0, "buy_zone_high": null, "buy_zone_low": null, "cash_available": 100000.0,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 "factor_exposure_before": {}, "factor_exposure_cap": 7000.0, "factor_exposure_limit_exceeded": false, "factor_tags": ["Technology"], "final_action": "SKIP", "gross_reward_1_per_share": 0.0, "gross_reward_2_per_share": 0.0, "gross_risk_per_share": 213.68, "gross_rr": 0.0, "gross_rr_1": 0.0, "gross_rr_2": 0.0, "gross_rr_decision": 0.0, "highest_correlation_ticker": "", "highest_correlation_value": null, "initial_action": "SKIP", "market_cap": 614553488215.21,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"2026-06-08T01:09:18", "warnings": ["Target ATR feasibility unavailable.", "Earnings blackout active."]}</t>
        </is>
      </c>
    </row>
    <row r="42">
      <c r="A42" t="inlineStr">
        <is>
          <t>2026-06-08T01:09:18</t>
        </is>
      </c>
      <c r="B42" t="inlineStr">
        <is>
          <t>CRWD</t>
        </is>
      </c>
      <c r="C42" t="inlineStr">
        <is>
          <t>No Trade</t>
        </is>
      </c>
      <c r="D42" t="n">
        <v>0</v>
      </c>
      <c r="E42" t="n">
        <v>671.02</v>
      </c>
      <c r="H42" t="n">
        <v>0</v>
      </c>
      <c r="K42" t="n">
        <v>0</v>
      </c>
      <c r="L42" t="inlineStr">
        <is>
          <t>No clean technical setup detected. Price in middle of value area or poor risk/reward.</t>
        </is>
      </c>
      <c r="M42" t="inlineStr">
        <is>
          <t>SKIP</t>
        </is>
      </c>
      <c r="N42" t="inlineStr">
        <is>
          <t>SKIP: No Trade result. Market regime NEUTRAL; sector STRONG; net R/R 0.00.</t>
        </is>
      </c>
      <c r="O42"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42" t="inlineStr">
        <is>
          <t>C:\Users\User\Documents\Codex\2026-05-29\adva-mo-project-orion-https-github\work\market-lens-scanner\agent_results\charts\market_lens_agent_20260608_010748_crwd.png</t>
        </is>
      </c>
      <c r="Q42"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42" t="inlineStr">
        <is>
          <t>{"adjusted_cash_out": 0.0, "adjusted_position_size": 0, "adjusted_risk_amount": 0.0, "ask": 0.0, "bid": 0.0, "buy_zone_high": null, "buy_zone_low": null, "cash_available": 100000.0,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 "highest_correlation_value": null, "initial_action": "SKIP", "market_cap": 170818090488.37,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"2026-06-08T01:09:18", "warnings": ["Target ATR feasibility unavailable."]}</t>
        </is>
      </c>
    </row>
    <row r="43">
      <c r="A43" t="inlineStr">
        <is>
          <t>2026-06-08T01:09:18</t>
        </is>
      </c>
      <c r="B43" t="inlineStr">
        <is>
          <t>MU</t>
        </is>
      </c>
      <c r="C43" t="inlineStr">
        <is>
          <t>No Trade</t>
        </is>
      </c>
      <c r="D43" t="n">
        <v>0</v>
      </c>
      <c r="E43" t="n">
        <v>864.01</v>
      </c>
      <c r="H43" t="n">
        <v>0</v>
      </c>
      <c r="K43" t="n">
        <v>0</v>
      </c>
      <c r="L43" t="inlineStr">
        <is>
          <t>No clean technical setup detected. Price in middle of value area or poor risk/reward.</t>
        </is>
      </c>
      <c r="M43" t="inlineStr">
        <is>
          <t>SKIP</t>
        </is>
      </c>
      <c r="N43" t="inlineStr">
        <is>
          <t>SKIP: No Trade result. Market regime NEUTRAL; sector STRONG; net R/R 0.00.</t>
        </is>
      </c>
      <c r="O43"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43" t="inlineStr">
        <is>
          <t>C:\Users\User\Documents\Codex\2026-05-29\adva-mo-project-orion-https-github\work\market-lens-scanner\agent_results\charts\market_lens_agent_20260608_010748_mu.png</t>
        </is>
      </c>
      <c r="Q43"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43" t="inlineStr">
        <is>
          <t>{"adjusted_cash_out": 0.0, "adjusted_position_size": 0, "adjusted_risk_amount": 0.0, "ask": 0.0, "bid": 0.0, "buy_zone_high": null, "buy_zone_low": null, "cash_available": 100000.0,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 "highest_correlation_value": null, "initial_action": "SKIP", "market_cap": 974373508417.54,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"2026-06-08T01:09:18", "warnings": ["Target ATR feasibility unavailable."]}</t>
        </is>
      </c>
    </row>
    <row r="44">
      <c r="A44" t="inlineStr">
        <is>
          <t>2026-06-08T01:09:18</t>
        </is>
      </c>
      <c r="B44" t="inlineStr">
        <is>
          <t>UNH</t>
        </is>
      </c>
      <c r="C44" t="inlineStr">
        <is>
          <t>No Trade</t>
        </is>
      </c>
      <c r="D44" t="n">
        <v>0</v>
      </c>
      <c r="E44" t="n">
        <v>399.47</v>
      </c>
      <c r="H44" t="n">
        <v>0</v>
      </c>
      <c r="K44" t="n">
        <v>0</v>
      </c>
      <c r="L44" t="inlineStr">
        <is>
          <t>No clean technical setup detected. Price in middle of value area or poor risk/reward.</t>
        </is>
      </c>
      <c r="M44" t="inlineStr">
        <is>
          <t>SKIP</t>
        </is>
      </c>
      <c r="N44" t="inlineStr">
        <is>
          <t>SKIP: No Trade result. Market regime NEUTRAL; sector NEUTRAL; net R/R 0.00.</t>
        </is>
      </c>
      <c r="O4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44" t="inlineStr">
        <is>
          <t>C:\Users\User\Documents\Codex\2026-05-29\adva-mo-project-orion-https-github\work\market-lens-scanner\agent_results\charts\market_lens_agent_20260608_010748_unh.png</t>
        </is>
      </c>
      <c r="Q4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44" t="inlineStr">
        <is>
          <t>{"adjusted_cash_out": 0.0, "adjusted_position_size": 0, "adjusted_risk_amount": 0.0, "ask": 0.0, "bid": 0.0, "buy_zone_high": null, "buy_zone_low": null, "cash_available": 100000.0,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 "highest_correlation_value": null, "initial_action": "SKIP", "market_cap": 362776446174.45,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"2026-06-08T01:09:18", "warnings": ["Target ATR feasibility unavailable."]}</t>
        </is>
      </c>
    </row>
    <row r="45">
      <c r="A45" t="inlineStr">
        <is>
          <t>2026-06-08T01:09:18</t>
        </is>
      </c>
      <c r="B45" t="inlineStr">
        <is>
          <t>MS</t>
        </is>
      </c>
      <c r="C45" t="inlineStr">
        <is>
          <t>No Trade</t>
        </is>
      </c>
      <c r="D45" t="n">
        <v>0</v>
      </c>
      <c r="E45" t="n">
        <v>211.93</v>
      </c>
      <c r="H45" t="n">
        <v>0</v>
      </c>
      <c r="K45" t="n">
        <v>0</v>
      </c>
      <c r="L45" t="inlineStr">
        <is>
          <t>No clean technical setup detected. Price in middle of value area or poor risk/reward.</t>
        </is>
      </c>
      <c r="M45" t="inlineStr">
        <is>
          <t>SKIP</t>
        </is>
      </c>
      <c r="N45" t="inlineStr">
        <is>
          <t>SKIP: No Trade result. Market regime NEUTRAL; sector STRONG; net R/R 0.00.</t>
        </is>
      </c>
      <c r="O45"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45" t="inlineStr">
        <is>
          <t>C:\Users\User\Documents\Codex\2026-05-29\adva-mo-project-orion-https-github\work\market-lens-scanner\agent_results\charts\market_lens_agent_20260608_010748_ms.png</t>
        </is>
      </c>
      <c r="Q45"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45" t="inlineStr">
        <is>
          <t>{"adjusted_cash_out": 0.0, "adjusted_position_size": 0, "adjusted_risk_amount": 0.0, "ask": 0.0, "bid": 0.0, "buy_zone_high": null, "buy_zone_low": null, "cash_available": 100000.0,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 "factor_exposure_before": {}, "factor_exposure_cap": 7000.0, "factor_exposure_limit_exceeded": false, "factor_tags": ["Financials"], "final_action": "SKIP", "gross_reward_1_per_share": 0.0, "gross_reward_2_per_share": 0.0, "gross_risk_per_share": 211.93, "gross_rr": 0.0, "gross_rr_1": 0.0, "gross_rr_2": 0.0, "gross_rr_decision": 0.0, "highest_correlation_ticker": "", "highest_correlation_value": null, "initial_action": "SKIP", "market_cap": 334273959714.43,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"2026-06-08T01:09:18", "warnings": ["Target ATR feasibility unavailable."]}</t>
        </is>
      </c>
    </row>
    <row r="46">
      <c r="A46" t="inlineStr">
        <is>
          <t>2026-06-08T01:09:18</t>
        </is>
      </c>
      <c r="B46" t="inlineStr">
        <is>
          <t>SMCI</t>
        </is>
      </c>
      <c r="C46" t="inlineStr">
        <is>
          <t>No Trade</t>
        </is>
      </c>
      <c r="D46" t="n">
        <v>0</v>
      </c>
      <c r="E46" t="n">
        <v>41.64</v>
      </c>
      <c r="H46" t="n">
        <v>0</v>
      </c>
      <c r="K46" t="n">
        <v>0</v>
      </c>
      <c r="L46" t="inlineStr">
        <is>
          <t>No clean technical setup detected. Price in middle of value area or poor risk/reward.</t>
        </is>
      </c>
      <c r="M46" t="inlineStr">
        <is>
          <t>SKIP</t>
        </is>
      </c>
      <c r="N46" t="inlineStr">
        <is>
          <t>SKIP: No Trade result. Market regime NEUTRAL; sector STRONG; net R/R 0.00.</t>
        </is>
      </c>
      <c r="O46"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46" t="inlineStr">
        <is>
          <t>C:\Users\User\Documents\Codex\2026-05-29\adva-mo-project-orion-https-github\work\market-lens-scanner\agent_results\charts\market_lens_agent_20260608_010748_smci.png</t>
        </is>
      </c>
      <c r="Q46"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46" t="inlineStr">
        <is>
          <t>{"adjusted_cash_out": 0.0, "adjusted_position_size": 0, "adjusted_risk_amount": 0.0, "ask": 0.0, "bid": 0.0, "buy_zone_high": null, "buy_zone_low": null, "cash_available": 100000.0,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 "factor_exposure_before": {},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 "highest_correlation_value": null, "initial_action": "SKIP", "market_cap": 25043065223.4,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"2026-06-08T01:09:18", "warnings": ["Target ATR feasibility unavailable."]}</t>
        </is>
      </c>
    </row>
    <row r="47">
      <c r="A47" t="inlineStr">
        <is>
          <t>2026-06-08T01:09:18</t>
        </is>
      </c>
      <c r="B47" t="inlineStr">
        <is>
          <t>CAT</t>
        </is>
      </c>
      <c r="C47" t="inlineStr">
        <is>
          <t>No Trade</t>
        </is>
      </c>
      <c r="D47" t="n">
        <v>0</v>
      </c>
      <c r="E47" t="n">
        <v>904.28</v>
      </c>
      <c r="H47" t="n">
        <v>0</v>
      </c>
      <c r="K47" t="n">
        <v>0</v>
      </c>
      <c r="L47" t="inlineStr">
        <is>
          <t>No clean technical setup detected. Price in middle of value area or poor risk/reward.</t>
        </is>
      </c>
      <c r="M47" t="inlineStr">
        <is>
          <t>SKIP</t>
        </is>
      </c>
      <c r="N47" t="inlineStr">
        <is>
          <t>SKIP: No Trade result. Market regime NEUTRAL; sector NEUTRAL; net R/R 0.00.</t>
        </is>
      </c>
      <c r="O47"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47" t="inlineStr">
        <is>
          <t>C:\Users\User\Documents\Codex\2026-05-29\adva-mo-project-orion-https-github\work\market-lens-scanner\agent_results\charts\market_lens_agent_20260608_010748_cat.png</t>
        </is>
      </c>
      <c r="Q47"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47" t="inlineStr">
        <is>
          <t>{"adjusted_cash_out": 0.0, "adjusted_position_size": 0, "adjusted_risk_amount": 0.0, "ask": 0.0, "bid": 0.0, "buy_zone_high": null, "buy_zone_low": null, "cash_available": 100000.0,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 "factor_exposure_before": {}, "factor_exposure_cap": 7000.0, "factor_exposure_limit_exceeded": false, "factor_tags": ["Industrials"], "final_action": "SKIP", "gross_reward_1_per_share": 0.0, "gross_reward_2_per_share": 0.0, "gross_risk_per_share": 904.28, "gross_rr": 0.0, "gross_rr_1": 0.0, "gross_rr_2": 0.0, "gross_rr_decision": 0.0, "highest_correlation_ticker": "", "highest_correlation_value": null, "initial_action": "SKIP", "market_cap": 416504131881.15,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"2026-06-08T01:09:18", "warnings": ["Target ATR feasibility unavailable."]}</t>
        </is>
      </c>
    </row>
    <row r="48">
      <c r="A48" t="inlineStr">
        <is>
          <t>2026-06-08T01:09:18</t>
        </is>
      </c>
      <c r="B48" t="inlineStr">
        <is>
          <t>GS</t>
        </is>
      </c>
      <c r="C48" t="inlineStr">
        <is>
          <t>No Trade</t>
        </is>
      </c>
      <c r="D48" t="n">
        <v>0</v>
      </c>
      <c r="E48" t="n">
        <v>1038.68</v>
      </c>
      <c r="H48" t="n">
        <v>0</v>
      </c>
      <c r="K48" t="n">
        <v>0</v>
      </c>
      <c r="L48" t="inlineStr">
        <is>
          <t>No clean technical setup detected. Price in middle of value area or poor risk/reward.</t>
        </is>
      </c>
      <c r="M48" t="inlineStr">
        <is>
          <t>SKIP</t>
        </is>
      </c>
      <c r="N48" t="inlineStr">
        <is>
          <t>SKIP: No Trade result. Market regime NEUTRAL; sector STRONG; net R/R 0.00.</t>
        </is>
      </c>
      <c r="O48"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48" t="inlineStr">
        <is>
          <t>C:\Users\User\Documents\Codex\2026-05-29\adva-mo-project-orion-https-github\work\market-lens-scanner\agent_results\charts\market_lens_agent_20260608_010748_gs.png</t>
        </is>
      </c>
      <c r="Q48"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48" t="inlineStr">
        <is>
          <t>{"adjusted_cash_out": 0.0, "adjusted_position_size": 0, "adjusted_risk_amount": 0.0, "ask": 0.0, "bid": 0.0, "buy_zone_high": null, "buy_zone_low": null, "cash_available": 100000.0,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 "factor_exposure_before": {}, "factor_exposure_cap": 7000.0, "factor_exposure_limit_exceeded": false, "factor_tags": ["Financials"], "final_action": "SKIP", "gross_reward_1_per_share": 0.0, "gross_reward_2_per_share": 0.0, "gross_risk_per_share": 1038.68, "gross_rr": 0.0, "gross_rr_1": 0.0, "gross_rr_2": 0.0, "gross_rr_decision": 0.0, "highest_correlation_ticker": "", "highest_correlation_value": null, "initial_action": "SKIP", "market_cap": 306418323889.41,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"2026-06-08T01:09:18", "warnings": ["Target ATR feasibility unavailable."]}</t>
        </is>
      </c>
    </row>
    <row r="49">
      <c r="A49" t="inlineStr">
        <is>
          <t>2026-06-08T01:09:18</t>
        </is>
      </c>
      <c r="B49" t="inlineStr">
        <is>
          <t>URI</t>
        </is>
      </c>
      <c r="C49" t="inlineStr">
        <is>
          <t>No Trade</t>
        </is>
      </c>
      <c r="D49" t="n">
        <v>0</v>
      </c>
      <c r="E49" t="n">
        <v>1067.77</v>
      </c>
      <c r="H49" t="n">
        <v>0</v>
      </c>
      <c r="K49" t="n">
        <v>0</v>
      </c>
      <c r="L49" t="inlineStr">
        <is>
          <t>No clean technical setup detected. Price in middle of value area or poor risk/reward.</t>
        </is>
      </c>
      <c r="M49" t="inlineStr">
        <is>
          <t>SKIP</t>
        </is>
      </c>
      <c r="N49" t="inlineStr">
        <is>
          <t>SKIP: No Trade result. Market regime NEUTRAL; sector NEUTRAL; net R/R 0.00.</t>
        </is>
      </c>
      <c r="O49"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49" t="inlineStr">
        <is>
          <t>C:\Users\User\Documents\Codex\2026-05-29\adva-mo-project-orion-https-github\work\market-lens-scanner\agent_results\charts\market_lens_agent_20260608_010748_uri.png</t>
        </is>
      </c>
      <c r="Q49"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49" t="inlineStr">
        <is>
          <t>{"adjusted_cash_out": 0.0, "adjusted_position_size": 0, "adjusted_risk_amount": 0.0, "ask": 0.0, "bid": 0.0, "buy_zone_high": null, "buy_zone_low": null, "cash_available": 100000.0,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 "factor_exposure_before": {}, "factor_exposure_cap": 7000.0, "factor_exposure_limit_exceeded": false, "factor_tags": ["Industrials"], "final_action": "SKIP", "gross_reward_1_per_share": 0.0, "gross_reward_2_per_share": 0.0, "gross_risk_per_share": 1067.77, "gross_rr": 0.0, "gross_rr_1": 0.0, "gross_rr_2": 0.0, "gross_rr_decision": 0.0, "highest_correlation_ticker": "", "highest_correlation_value": null, "initial_action": "SKIP", "market_cap": 66892115391.46,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"2026-06-08T01:09:18", "warnings": ["Target ATR feasibility unavailable."]}</t>
        </is>
      </c>
    </row>
    <row r="50">
      <c r="A50" t="inlineStr">
        <is>
          <t>2026-06-08T01:09:18</t>
        </is>
      </c>
      <c r="B50" t="inlineStr">
        <is>
          <t>ASML</t>
        </is>
      </c>
      <c r="C50" t="inlineStr">
        <is>
          <t>No Trade</t>
        </is>
      </c>
      <c r="D50" t="n">
        <v>0</v>
      </c>
      <c r="E50" t="n">
        <v>1641.74</v>
      </c>
      <c r="H50" t="n">
        <v>0</v>
      </c>
      <c r="K50" t="n">
        <v>0</v>
      </c>
      <c r="L50" t="inlineStr">
        <is>
          <t>No clean technical setup detected. Price in middle of value area or poor risk/reward.</t>
        </is>
      </c>
      <c r="M50" t="inlineStr">
        <is>
          <t>SKIP</t>
        </is>
      </c>
      <c r="N50" t="inlineStr">
        <is>
          <t>SKIP: No Trade result. Market regime NEUTRAL; sector STRONG; net R/R 0.00.</t>
        </is>
      </c>
      <c r="O50"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50" t="inlineStr">
        <is>
          <t>C:\Users\User\Documents\Codex\2026-05-29\adva-mo-project-orion-https-github\work\market-lens-scanner\agent_results\charts\market_lens_agent_20260608_010748_asml.png</t>
        </is>
      </c>
      <c r="Q50"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50" t="inlineStr">
        <is>
          <t>{"adjusted_cash_out": 0.0, "adjusted_position_size": 0, "adjusted_risk_amount": 0.0, "ask": 0.0, "bid": 0.0, "buy_zone_high": null, "buy_zone_low": null, "cash_available": 100000.0,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 "highest_correlation_value": null, "initial_action": "SKIP", "market_cap": 632755593573.26,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"2026-06-08T01:09:18", "warnings": ["Target ATR feasibility unavailable."]}</t>
        </is>
      </c>
    </row>
    <row r="51">
      <c r="A51" t="inlineStr">
        <is>
          <t>2026-06-08T01:09:18</t>
        </is>
      </c>
      <c r="B51" t="inlineStr">
        <is>
          <t>LRCX</t>
        </is>
      </c>
      <c r="C51" t="inlineStr">
        <is>
          <t>No Trade</t>
        </is>
      </c>
      <c r="D51" t="n">
        <v>0</v>
      </c>
      <c r="E51" t="n">
        <v>303.28</v>
      </c>
      <c r="H51" t="n">
        <v>0</v>
      </c>
      <c r="K51" t="n">
        <v>0</v>
      </c>
      <c r="L51" t="inlineStr">
        <is>
          <t>No clean technical setup detected. Price in middle of value area or poor risk/reward.</t>
        </is>
      </c>
      <c r="M51" t="inlineStr">
        <is>
          <t>SKIP</t>
        </is>
      </c>
      <c r="N51" t="inlineStr">
        <is>
          <t>SKIP: No Trade result. Market regime NEUTRAL; sector STRONG; net R/R 0.00.</t>
        </is>
      </c>
      <c r="O51"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51" t="inlineStr">
        <is>
          <t>C:\Users\User\Documents\Codex\2026-05-29\adva-mo-project-orion-https-github\work\market-lens-scanner\agent_results\charts\market_lens_agent_20260608_010748_lrcx.png</t>
        </is>
      </c>
      <c r="Q51"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51" t="inlineStr">
        <is>
          <t>{"adjusted_cash_out": 0.0, "adjusted_position_size": 0, "adjusted_risk_amount": 0.0, "ask": 0.0, "bid": 0.0, "buy_zone_high": null, "buy_zone_low": null, "cash_available": 100000.0,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 "highest_correlation_value": null, "initial_action": "SKIP", "market_cap": 379263466393.46,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"2026-06-08T01:09:18", "warnings": ["Target ATR feasibility unavailable."]}</t>
        </is>
      </c>
    </row>
    <row r="52">
      <c r="A52" t="inlineStr">
        <is>
          <t>2026-06-08T01:09:18</t>
        </is>
      </c>
      <c r="B52" t="inlineStr">
        <is>
          <t>TXN</t>
        </is>
      </c>
      <c r="C52" t="inlineStr">
        <is>
          <t>No Trade</t>
        </is>
      </c>
      <c r="D52" t="n">
        <v>0</v>
      </c>
      <c r="E52" t="n">
        <v>285.06</v>
      </c>
      <c r="H52" t="n">
        <v>0</v>
      </c>
      <c r="K52" t="n">
        <v>0</v>
      </c>
      <c r="L52" t="inlineStr">
        <is>
          <t>No clean technical setup detected. Price in middle of value area or poor risk/reward.</t>
        </is>
      </c>
      <c r="M52" t="inlineStr">
        <is>
          <t>SKIP</t>
        </is>
      </c>
      <c r="N52" t="inlineStr">
        <is>
          <t>SKIP: No Trade result. Market regime NEUTRAL; sector STRONG; net R/R 0.00.</t>
        </is>
      </c>
      <c r="O52"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52" t="inlineStr">
        <is>
          <t>C:\Users\User\Documents\Codex\2026-05-29\adva-mo-project-orion-https-github\work\market-lens-scanner\agent_results\charts\market_lens_agent_20260608_010748_txn.png</t>
        </is>
      </c>
      <c r="Q52"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52" t="inlineStr">
        <is>
          <t>{"adjusted_cash_out": 0.0, "adjusted_position_size": 0, "adjusted_risk_amount": 0.0, "ask": 0.0, "bid": 0.0, "buy_zone_high": null, "buy_zone_low": null, "cash_available": 100000.0,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 "highest_correlation_value": null, "initial_action": "SKIP", "market_cap": 259431048780.55,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"2026-06-08T01:09:18", "warnings": ["Target ATR feasibility unavailable."]}</t>
        </is>
      </c>
    </row>
    <row r="53">
      <c r="A53" t="inlineStr">
        <is>
          <t>2026-06-08T01:09:18</t>
        </is>
      </c>
      <c r="B53" t="inlineStr">
        <is>
          <t>AMD</t>
        </is>
      </c>
      <c r="C53" t="inlineStr">
        <is>
          <t>No Trade</t>
        </is>
      </c>
      <c r="D53" t="n">
        <v>0</v>
      </c>
      <c r="E53" t="n">
        <v>466.38</v>
      </c>
      <c r="H53" t="n">
        <v>0</v>
      </c>
      <c r="K53" t="n">
        <v>0</v>
      </c>
      <c r="L53" t="inlineStr">
        <is>
          <t>No clean technical setup detected. Price in middle of value area or poor risk/reward.</t>
        </is>
      </c>
      <c r="M53" t="inlineStr">
        <is>
          <t>SKIP</t>
        </is>
      </c>
      <c r="N53" t="inlineStr">
        <is>
          <t>SKIP: No Trade result. Market regime NEUTRAL; sector STRONG; net R/R 0.00.</t>
        </is>
      </c>
      <c r="O53"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53" t="inlineStr">
        <is>
          <t>C:\Users\User\Documents\Codex\2026-05-29\adva-mo-project-orion-https-github\work\market-lens-scanner\agent_results\charts\market_lens_agent_20260608_010748_amd.png</t>
        </is>
      </c>
      <c r="Q53"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53" t="inlineStr">
        <is>
          <t>{"adjusted_cash_out": 0.0, "adjusted_position_size": 0, "adjusted_risk_amount": 0.0, "ask": 0.0, "bid": 0.0, "buy_zone_high": null, "buy_zone_low": null, "cash_available": 100000.0,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 "factor_exposure_before": {},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 "highest_correlation_value": null, "initial_action": "SKIP", "market_cap": 760479533978.74,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"2026-06-08T01:09:18", "warnings": ["Target ATR feasibility unavailable."]}</t>
        </is>
      </c>
    </row>
    <row r="54">
      <c r="A54" t="inlineStr">
        <is>
          <t>2026-06-08T01:09:18</t>
        </is>
      </c>
      <c r="B54" t="inlineStr">
        <is>
          <t>C</t>
        </is>
      </c>
      <c r="C54" t="inlineStr">
        <is>
          <t>No Trade</t>
        </is>
      </c>
      <c r="D54" t="n">
        <v>0</v>
      </c>
      <c r="E54" t="n">
        <v>132.47</v>
      </c>
      <c r="H54" t="n">
        <v>0</v>
      </c>
      <c r="K54" t="n">
        <v>0</v>
      </c>
      <c r="L54" t="inlineStr">
        <is>
          <t>No clean technical setup detected. Price in middle of value area or poor risk/reward.</t>
        </is>
      </c>
      <c r="M54" t="inlineStr">
        <is>
          <t>SKIP</t>
        </is>
      </c>
      <c r="N54" t="inlineStr">
        <is>
          <t>SKIP: No Trade result. Market regime NEUTRAL; sector STRONG; net R/R 0.00.</t>
        </is>
      </c>
      <c r="O54"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54" t="inlineStr">
        <is>
          <t>C:\Users\User\Documents\Codex\2026-05-29\adva-mo-project-orion-https-github\work\market-lens-scanner\agent_results\charts\market_lens_agent_20260608_010748_c.png</t>
        </is>
      </c>
      <c r="Q54"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54" t="inlineStr">
        <is>
          <t>{"adjusted_cash_out": 0.0, "adjusted_position_size": 0, "adjusted_risk_amount": 0.0, "ask": 0.0, "bid": 0.0, "buy_zone_high": null, "buy_zone_low": null, "cash_available": 100000.0, "company_name": "Citigroup Inc.", "correlation_warning": false, "days_to_earnings": 26, "earnings_blackout": false, "earnings_date": "2026-07-14T00:00:00", "estimated_fees": 0.0, "estimated_slippage": 0.1855, "estimated_spread": 0.0397, "executable_entry": 132.47, "execution_liquidity_bucket": "large_liquid", "factor_exposure_after": {}, "factor_exposure_before": {}, "factor_exposure_cap": 7000.0, "factor_exposure_limit_exceeded": false, "factor_tags": ["Financials"], "final_action": "SKIP", "gross_reward_1_per_share": 0.0, "gross_reward_2_per_share": 0.0, "gross_risk_per_share": 132.47, "gross_rr": 0.0, "gross_rr_1": 0.0, "gross_rr_2": 0.0, "gross_rr_decision": 0.0, "highest_correlation_ticker": "", "highest_correlation_value": null, "initial_action": "SKIP", "market_cap": 225937781310.85,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"2026-06-08T01:09:18", "warnings": ["Target ATR feasibility unavailable."]}</t>
        </is>
      </c>
    </row>
    <row r="55">
      <c r="A55" t="inlineStr">
        <is>
          <t>2026-06-08T01:09:18</t>
        </is>
      </c>
      <c r="B55" t="inlineStr">
        <is>
          <t>AAPL</t>
        </is>
      </c>
      <c r="C55" t="inlineStr">
        <is>
          <t>No Trade</t>
        </is>
      </c>
      <c r="D55" t="n">
        <v>0</v>
      </c>
      <c r="E55" t="n">
        <v>307.34</v>
      </c>
      <c r="H55" t="n">
        <v>0</v>
      </c>
      <c r="K55" t="n">
        <v>0</v>
      </c>
      <c r="L55" t="inlineStr">
        <is>
          <t>No clean technical setup detected. Price in middle of value area or poor risk/reward.</t>
        </is>
      </c>
      <c r="M55" t="inlineStr">
        <is>
          <t>SKIP</t>
        </is>
      </c>
      <c r="N55" t="inlineStr">
        <is>
          <t>SKIP: No Trade result. Market regime NEUTRAL; sector STRONG; net R/R 0.00.</t>
        </is>
      </c>
      <c r="O55"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55" t="inlineStr">
        <is>
          <t>C:\Users\User\Documents\Codex\2026-05-29\adva-mo-project-orion-https-github\work\market-lens-scanner\agent_results\charts\market_lens_agent_20260608_010748_aapl.png</t>
        </is>
      </c>
      <c r="Q55"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55" t="inlineStr">
        <is>
          <t>{"adjusted_cash_out": 0.0, "adjusted_position_size": 0, "adjusted_risk_amount": 0.0, "ask": 0.0, "bid": 0.0, "buy_zone_high": null, "buy_zone_low": null, "cash_available": 100000.0, "company_name": "Apple Inc.", "correlation_warning": false, "days_to_earnings": 38, "earnings_blackout": false, "earnings_date": "2026-07-30T00:00:00", "estimated_fees": 0.0, "estimated_slippage": 0.4303, "estimated_spread": 0.0922, "executable_entry": 307.34,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 "highest_correlation_value": null, "initial_action": "SKIP", "market_cap": 4514011939253.3,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"2026-06-08T01:09:18", "warnings": ["Target ATR feasibility unavailable."]}</t>
        </is>
      </c>
    </row>
    <row r="56">
      <c r="A56" t="inlineStr">
        <is>
          <t>2026-06-08T01:09:18</t>
        </is>
      </c>
      <c r="B56" t="inlineStr">
        <is>
          <t>LLY</t>
        </is>
      </c>
      <c r="C56" t="inlineStr">
        <is>
          <t>No Trade</t>
        </is>
      </c>
      <c r="D56" t="n">
        <v>0</v>
      </c>
      <c r="E56" t="n">
        <v>1131.42</v>
      </c>
      <c r="H56" t="n">
        <v>0</v>
      </c>
      <c r="K56" t="n">
        <v>0</v>
      </c>
      <c r="L56" t="inlineStr">
        <is>
          <t>No clean technical setup detected. Price in middle of value area or poor risk/reward.</t>
        </is>
      </c>
      <c r="M56" t="inlineStr">
        <is>
          <t>SKIP</t>
        </is>
      </c>
      <c r="N56" t="inlineStr">
        <is>
          <t>SKIP: No Trade result. Market regime NEUTRAL; sector NEUTRAL; net R/R 0.00.</t>
        </is>
      </c>
      <c r="O56"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56" t="inlineStr">
        <is>
          <t>C:\Users\User\Documents\Codex\2026-05-29\adva-mo-project-orion-https-github\work\market-lens-scanner\agent_results\charts\market_lens_agent_20260608_010748_lly.png</t>
        </is>
      </c>
      <c r="Q56"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56" t="inlineStr">
        <is>
          <t>{"adjusted_cash_out": 0.0, "adjusted_position_size": 0, "adjusted_risk_amount": 0.0, "ask": 0.0, "bid": 0.0, "buy_zone_high": null, "buy_zone_low": null, "cash_available": 100000.0,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 "highest_correlation_value": null, "initial_action": "SKIP", "market_cap": 1008934100764.37,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"2026-06-08T01:09:18", "warnings": ["Target ATR feasibility unavailable."]}</t>
        </is>
      </c>
    </row>
    <row r="57">
      <c r="A57" t="inlineStr">
        <is>
          <t>2026-06-08T01:09:18</t>
        </is>
      </c>
      <c r="B57" t="inlineStr">
        <is>
          <t>TSM</t>
        </is>
      </c>
      <c r="C57" t="inlineStr">
        <is>
          <t>No Trade</t>
        </is>
      </c>
      <c r="D57" t="n">
        <v>0</v>
      </c>
      <c r="E57" t="n">
        <v>415.17</v>
      </c>
      <c r="H57" t="n">
        <v>0</v>
      </c>
      <c r="K57" t="n">
        <v>0</v>
      </c>
      <c r="L57" t="inlineStr">
        <is>
          <t>No clean technical setup detected. Price in middle of value area or poor risk/reward.</t>
        </is>
      </c>
      <c r="M57" t="inlineStr">
        <is>
          <t>SKIP</t>
        </is>
      </c>
      <c r="N57" t="inlineStr">
        <is>
          <t>SKIP: No Trade result. Market regime NEUTRAL; sector STRONG; net R/R 0.00.</t>
        </is>
      </c>
      <c r="O57"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57" t="inlineStr">
        <is>
          <t>C:\Users\User\Documents\Codex\2026-05-29\adva-mo-project-orion-https-github\work\market-lens-scanner\agent_results\charts\market_lens_agent_20260608_010748_tsm.png</t>
        </is>
      </c>
      <c r="Q57"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57" t="inlineStr">
        <is>
          <t>{"adjusted_cash_out": 0.0, "adjusted_position_size": 0, "adjusted_risk_amount": 0.0, "ask": 0.0, "bid": 0.0, "buy_zone_high": null, "buy_zone_low": null, "cash_available": 100000.0,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 "highest_correlation_value": null, "initial_action": "SKIP", "market_cap": 2153268485619.81,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"2026-06-08T01:09:18", "warnings": ["Target ATR feasibility unavailable."]}</t>
        </is>
      </c>
    </row>
    <row r="58">
      <c r="A58" t="inlineStr">
        <is>
          <t>2026-06-08T01:09:18</t>
        </is>
      </c>
      <c r="B58" t="inlineStr">
        <is>
          <t>BAC</t>
        </is>
      </c>
      <c r="C58" t="inlineStr">
        <is>
          <t>No Trade</t>
        </is>
      </c>
      <c r="D58" t="n">
        <v>0</v>
      </c>
      <c r="E58" t="n">
        <v>53.83</v>
      </c>
      <c r="H58" t="n">
        <v>0</v>
      </c>
      <c r="K58" t="n">
        <v>0</v>
      </c>
      <c r="L58" t="inlineStr">
        <is>
          <t>No clean technical setup detected. Price in middle of value area or poor risk/reward.</t>
        </is>
      </c>
      <c r="M58" t="inlineStr">
        <is>
          <t>SKIP</t>
        </is>
      </c>
      <c r="N58" t="inlineStr">
        <is>
          <t>SKIP: No Trade result. Market regime NEUTRAL; sector STRONG; net R/R 0.00.</t>
        </is>
      </c>
      <c r="O58"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58" t="inlineStr">
        <is>
          <t>C:\Users\User\Documents\Codex\2026-05-29\adva-mo-project-orion-https-github\work\market-lens-scanner\agent_results\charts\market_lens_agent_20260608_010748_bac.png</t>
        </is>
      </c>
      <c r="Q58"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58" t="inlineStr">
        <is>
          <t>{"adjusted_cash_out": 0.0, "adjusted_position_size": 0, "adjusted_risk_amount": 0.0, "ask": 0.0, "bid": 0.0, "buy_zone_high": null, "buy_zone_low": null, "cash_available": 100000.0,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 "factor_exposure_before": {}, "factor_exposure_cap": 7000.0, "factor_exposure_limit_exceeded": false, "factor_tags": ["Financials"], "final_action": "SKIP", "gross_reward_1_per_share": 0.0, "gross_reward_2_per_share": 0.0, "gross_risk_per_share": 53.83, "gross_rr": 0.0, "gross_rr_1": 0.0, "gross_rr_2": 0.0, "gross_rr_decision": 0.0, "highest_correlation_ticker": "", "highest_correlation_value": null, "initial_action": "SKIP", "market_cap": 382009487737.58,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"2026-06-08T01:09:18", "warnings": ["Target ATR feasibility unavailable."]}</t>
        </is>
      </c>
    </row>
    <row r="59">
      <c r="A59" t="inlineStr">
        <is>
          <t>2026-06-08T01:09:18</t>
        </is>
      </c>
      <c r="B59" t="inlineStr">
        <is>
          <t>UPS</t>
        </is>
      </c>
      <c r="C59" t="inlineStr">
        <is>
          <t>No Trade</t>
        </is>
      </c>
      <c r="D59" t="n">
        <v>0</v>
      </c>
      <c r="E59" t="n">
        <v>108.54</v>
      </c>
      <c r="H59" t="n">
        <v>0</v>
      </c>
      <c r="K59" t="n">
        <v>0</v>
      </c>
      <c r="L59" t="inlineStr">
        <is>
          <t>No clean technical setup detected. Price in middle of value area or poor risk/reward.</t>
        </is>
      </c>
      <c r="M59" t="inlineStr">
        <is>
          <t>SKIP</t>
        </is>
      </c>
      <c r="N59" t="inlineStr">
        <is>
          <t>SKIP: No Trade result. Market regime NEUTRAL; sector NEUTRAL; net R/R 0.00.</t>
        </is>
      </c>
      <c r="O59"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59" t="inlineStr">
        <is>
          <t>C:\Users\User\Documents\Codex\2026-05-29\adva-mo-project-orion-https-github\work\market-lens-scanner\agent_results\charts\market_lens_agent_20260608_010748_ups.png</t>
        </is>
      </c>
      <c r="Q59"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59" t="inlineStr">
        <is>
          <t>{"adjusted_cash_out": 0.0, "adjusted_position_size": 0, "adjusted_risk_amount": 0.0, "ask": 0.0, "bid": 0.0, "buy_zone_high": null, "buy_zone_low": null, "cash_available": 100000.0,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 "factor_exposure_before": {}, "factor_exposure_cap": 7000.0, "factor_exposure_limit_exceeded": false, "factor_tags": ["Industrials"], "final_action": "SKIP", "gross_reward_1_per_share": 0.0, "gross_reward_2_per_share": 0.0, "gross_risk_per_share": 108.54, "gross_rr": 0.0, "gross_rr_1": 0.0, "gross_rr_2": 0.0, "gross_rr_decision": 0.0, "highest_correlation_ticker": "", "highest_correlation_value": null, "initial_action": "SKIP", "market_cap": 92259682300.86,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"2026-06-08T01:09:18", "warnings": ["Target ATR feasibility unavailable."]}</t>
        </is>
      </c>
    </row>
    <row r="60">
      <c r="A60" t="inlineStr">
        <is>
          <t>2026-06-08T01:09:18</t>
        </is>
      </c>
      <c r="B60" t="inlineStr">
        <is>
          <t>PSX</t>
        </is>
      </c>
      <c r="C60" t="inlineStr">
        <is>
          <t>No Trade</t>
        </is>
      </c>
      <c r="D60" t="n">
        <v>0</v>
      </c>
      <c r="E60" t="n">
        <v>183.08</v>
      </c>
      <c r="H60" t="n">
        <v>0</v>
      </c>
      <c r="K60" t="n">
        <v>0</v>
      </c>
      <c r="L60" t="inlineStr">
        <is>
          <t>No clean technical setup detected. Price in middle of value area or poor risk/reward.</t>
        </is>
      </c>
      <c r="M60" t="inlineStr">
        <is>
          <t>SKIP</t>
        </is>
      </c>
      <c r="N60" t="inlineStr">
        <is>
          <t>SKIP: No Trade result. Market regime NEUTRAL; sector NEUTRAL; net R/R 0.00.</t>
        </is>
      </c>
      <c r="O60"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60" t="inlineStr">
        <is>
          <t>C:\Users\User\Documents\Codex\2026-05-29\adva-mo-project-orion-https-github\work\market-lens-scanner\agent_results\charts\market_lens_agent_20260608_010748_psx.png</t>
        </is>
      </c>
      <c r="Q60"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60" t="inlineStr">
        <is>
          <t>{"adjusted_cash_out": 0.0, "adjusted_position_size": 0, "adjusted_risk_amount": 0.0, "ask": 0.0, "bid": 0.0, "buy_zone_high": null, "buy_zone_low": null, "cash_available": 100000.0, "company_name": "Phillips 66", "correlation_warning": false, "days_to_earnings": 34, "earnings_blackout": false, "earnings_date": "2026-07-24T00:00:00", "estimated_fees": 0.0, "estimated_slippage": 0.5492, "estimated_spread": 0.1465, "executable_entry": 183.08, "execution_liquidity_bucket": "mid_liquid", "factor_exposure_after": {}, "factor_exposure_before": {}, "factor_exposure_cap": 7000.0, "factor_exposure_limit_exceeded": false, "factor_tags": ["Energy"], "final_action": "SKIP", "gross_reward_1_per_share": 0.0, "gross_reward_2_per_share": 0.0, "gross_risk_per_share": 183.08, "gross_rr": 0.0, "gross_rr_1": 0.0, "gross_rr_2": 0.0, "gross_rr_decision": 0.0, "highest_correlation_ticker": "", "highest_correlation_value": null, "initial_action": "SKIP", "market_cap": 73403184195.73,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"2026-06-08T01:09:18", "warnings": ["Target ATR feasibility unavailable."]}</t>
        </is>
      </c>
    </row>
    <row r="61">
      <c r="A61" t="inlineStr">
        <is>
          <t>2026-06-08T01:09:18</t>
        </is>
      </c>
      <c r="B61" t="inlineStr">
        <is>
          <t>UNP</t>
        </is>
      </c>
      <c r="C61" t="inlineStr">
        <is>
          <t>No Trade</t>
        </is>
      </c>
      <c r="D61" t="n">
        <v>0</v>
      </c>
      <c r="E61" t="n">
        <v>272.32</v>
      </c>
      <c r="H61" t="n">
        <v>0</v>
      </c>
      <c r="K61" t="n">
        <v>0</v>
      </c>
      <c r="L61" t="inlineStr">
        <is>
          <t>No clean technical setup detected. Price in middle of value area or poor risk/reward.</t>
        </is>
      </c>
      <c r="M61" t="inlineStr">
        <is>
          <t>SKIP</t>
        </is>
      </c>
      <c r="N61" t="inlineStr">
        <is>
          <t>SKIP: No Trade result. Market regime NEUTRAL; sector NEUTRAL; net R/R 0.00.</t>
        </is>
      </c>
      <c r="O61"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61" t="inlineStr">
        <is>
          <t>C:\Users\User\Documents\Codex\2026-05-29\adva-mo-project-orion-https-github\work\market-lens-scanner\agent_results\charts\market_lens_agent_20260608_010748_unp.png</t>
        </is>
      </c>
      <c r="Q61"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61" t="inlineStr">
        <is>
          <t>{"adjusted_cash_out": 0.0, "adjusted_position_size": 0, "adjusted_risk_amount": 0.0, "ask": 0.0, "bid": 0.0, "buy_zone_high": null, "buy_zone_low": null, "cash_available": 100000.0,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 "factor_exposure_before": {}, "factor_exposure_cap": 7000.0, "factor_exposure_limit_exceeded": false, "factor_tags": ["Industrials"], "final_action": "SKIP", "gross_reward_1_per_share": 0.0, "gross_reward_2_per_share": 0.0, "gross_risk_per_share": 272.32, "gross_rr": 0.0, "gross_rr_1": 0.0, "gross_rr_2": 0.0, "gross_rr_decision": 0.0, "highest_correlation_ticker": "", "highest_correlation_value": null, "initial_action": "SKIP", "market_cap": 161679986512.65,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"2026-06-08T01:09:18", "warnings": ["Target ATR feasibility unavailable."]}</t>
        </is>
      </c>
    </row>
    <row r="62">
      <c r="A62" t="inlineStr">
        <is>
          <t>2026-06-08T01:09:18</t>
        </is>
      </c>
      <c r="B62" t="inlineStr">
        <is>
          <t>ANET</t>
        </is>
      </c>
      <c r="C62" t="inlineStr">
        <is>
          <t>No Trade</t>
        </is>
      </c>
      <c r="D62" t="n">
        <v>0</v>
      </c>
      <c r="E62" t="n">
        <v>154.27</v>
      </c>
      <c r="H62" t="n">
        <v>0</v>
      </c>
      <c r="K62" t="n">
        <v>0</v>
      </c>
      <c r="L62" t="inlineStr">
        <is>
          <t>No clean technical setup detected. Price in middle of value area or poor risk/reward.</t>
        </is>
      </c>
      <c r="M62" t="inlineStr">
        <is>
          <t>SKIP</t>
        </is>
      </c>
      <c r="N62" t="inlineStr">
        <is>
          <t>SKIP: No Trade result. Market regime NEUTRAL; sector STRONG; net R/R 0.00.</t>
        </is>
      </c>
      <c r="O62"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62" t="inlineStr">
        <is>
          <t>C:\Users\User\Documents\Codex\2026-05-29\adva-mo-project-orion-https-github\work\market-lens-scanner\agent_results\charts\market_lens_agent_20260608_010748_anet.png</t>
        </is>
      </c>
      <c r="Q62"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62" t="inlineStr">
        <is>
          <t>{"adjusted_cash_out": 0.0, "adjusted_position_size": 0, "adjusted_risk_amount": 0.0, "ask": 0.0, "bid": 0.0, "buy_zone_high": null, "buy_zone_low": null, "cash_available": 100000.0,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 "factor_exposure_before": {}, "factor_exposure_cap": 7000.0, "factor_exposure_limit_exceeded": false, "factor_tags": ["Technology"], "final_action": "SKIP", "gross_reward_1_per_share": 0.0, "gross_reward_2_per_share": 0.0, "gross_risk_per_share": 154.27, "gross_rr": 0.0, "gross_rr_1": 0.0, "gross_rr_2": 0.0, "gross_rr_decision": 0.0, "highest_correlation_ticker": "", "highest_correlation_value": null, "initial_action": "SKIP", "market_cap": 194252074580.01,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"2026-06-08T01:09:18", "warnings": ["Target ATR feasibility unavailable."]}</t>
        </is>
      </c>
    </row>
    <row r="63">
      <c r="A63" t="inlineStr">
        <is>
          <t>2026-06-08T01:09:18</t>
        </is>
      </c>
      <c r="B63" t="inlineStr">
        <is>
          <t>MRK</t>
        </is>
      </c>
      <c r="C63" t="inlineStr">
        <is>
          <t>No Trade</t>
        </is>
      </c>
      <c r="D63" t="n">
        <v>0</v>
      </c>
      <c r="E63" t="n">
        <v>120.79</v>
      </c>
      <c r="H63" t="n">
        <v>0</v>
      </c>
      <c r="K63" t="n">
        <v>0</v>
      </c>
      <c r="L63" t="inlineStr">
        <is>
          <t>No clean technical setup detected. Price in middle of value area or poor risk/reward.</t>
        </is>
      </c>
      <c r="M63" t="inlineStr">
        <is>
          <t>SKIP</t>
        </is>
      </c>
      <c r="N63" t="inlineStr">
        <is>
          <t>SKIP: No Trade result. Market regime NEUTRAL; sector NEUTRAL; net R/R 0.00.</t>
        </is>
      </c>
      <c r="O63"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63" t="inlineStr">
        <is>
          <t>C:\Users\User\Documents\Codex\2026-05-29\adva-mo-project-orion-https-github\work\market-lens-scanner\agent_results\charts\market_lens_agent_20260608_010748_mrk.png</t>
        </is>
      </c>
      <c r="Q63"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63" t="inlineStr">
        <is>
          <t>{"adjusted_cash_out": 0.0, "adjusted_position_size": 0, "adjusted_risk_amount": 0.0, "ask": 0.0, "bid": 0.0, "buy_zone_high": null, "buy_zone_low": null, "cash_available": 100000.0,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 "highest_correlation_value": null, "initial_action": "SKIP", "market_cap": 298330093349.04,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"2026-06-08T01:09:18", "warnings": ["Target ATR feasibility unavailable."]}</t>
        </is>
      </c>
    </row>
    <row r="64">
      <c r="A64" t="inlineStr">
        <is>
          <t>2026-06-08T01:09:18</t>
        </is>
      </c>
      <c r="B64" t="inlineStr">
        <is>
          <t>UDR</t>
        </is>
      </c>
      <c r="C64" t="inlineStr">
        <is>
          <t>No Trade</t>
        </is>
      </c>
      <c r="D64" t="n">
        <v>0</v>
      </c>
      <c r="E64" t="n">
        <v>39.2</v>
      </c>
      <c r="H64" t="n">
        <v>0</v>
      </c>
      <c r="K64" t="n">
        <v>0</v>
      </c>
      <c r="L64" t="inlineStr">
        <is>
          <t>No clean technical setup detected. Price in middle of value area or poor risk/reward.</t>
        </is>
      </c>
      <c r="M64" t="inlineStr">
        <is>
          <t>SKIP</t>
        </is>
      </c>
      <c r="N64" t="inlineStr">
        <is>
          <t>SKIP: No Trade result. Market regime NEUTRAL; sector STRONG; net R/R 0.00.</t>
        </is>
      </c>
      <c r="O64"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64" t="inlineStr">
        <is>
          <t>C:\Users\User\Documents\Codex\2026-05-29\adva-mo-project-orion-https-github\work\market-lens-scanner\agent_results\charts\market_lens_agent_20260608_010748_udr.png</t>
        </is>
      </c>
      <c r="Q64"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64" t="inlineStr">
        <is>
          <t>{"adjusted_cash_out": 0.0, "adjusted_position_size": 0, "adjusted_risk_amount": 0.0, "ask": 0.0, "bid": 0.0, "buy_zone_high": null, "buy_zone_low": null, "cash_available": 100000.0, "company_name": "UDR, Inc.", "correlation_warning": false, "days_to_earnings": 37, "earnings_blackout": false, "earnings_date": "2026-07-29T00:00:00", "estimated_fees": 0.0, "estimated_slippage": 0.1176, "estimated_spread": 0.0314, "executable_entry": 39.2, "execution_liquidity_bucket": "mid_liquid", "factor_exposure_after": {}, "factor_exposure_before": {}, "factor_exposure_cap": 7000.0, "factor_exposure_limit_exceeded": false, "factor_tags": ["Real Estate"], "final_action": "SKIP", "gross_reward_1_per_share": 0.0, "gross_reward_2_per_share": 0.0, "gross_risk_per_share": 39.2, "gross_rr": 0.0, "gross_rr_1": 0.0, "gross_rr_2": 0.0, "gross_rr_decision": 0.0, "highest_correlation_ticker": "", "highest_correlation_value": null, "initial_action": "SKIP", "market_cap": 12736693845.49,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"2026-06-08T01:09:18", "warnings": ["Target ATR feasibility unavailable."]}</t>
        </is>
      </c>
    </row>
    <row r="65">
      <c r="A65" t="inlineStr">
        <is>
          <t>2026-06-08T01:09:18</t>
        </is>
      </c>
      <c r="B65" t="inlineStr">
        <is>
          <t>JPM</t>
        </is>
      </c>
      <c r="C65" t="inlineStr">
        <is>
          <t>No Trade</t>
        </is>
      </c>
      <c r="D65" t="n">
        <v>0</v>
      </c>
      <c r="E65" t="n">
        <v>312.37</v>
      </c>
      <c r="H65" t="n">
        <v>0</v>
      </c>
      <c r="K65" t="n">
        <v>0</v>
      </c>
      <c r="L65" t="inlineStr">
        <is>
          <t>No clean technical setup detected. Price in middle of value area or poor risk/reward.</t>
        </is>
      </c>
      <c r="M65" t="inlineStr">
        <is>
          <t>SKIP</t>
        </is>
      </c>
      <c r="N65" t="inlineStr">
        <is>
          <t>SKIP: No Trade result. Market regime NEUTRAL; sector STRONG; net R/R 0.00.</t>
        </is>
      </c>
      <c r="O65"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65" t="inlineStr">
        <is>
          <t>C:\Users\User\Documents\Codex\2026-05-29\adva-mo-project-orion-https-github\work\market-lens-scanner\agent_results\charts\market_lens_agent_20260608_010748_jpm.png</t>
        </is>
      </c>
      <c r="Q65"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65" t="inlineStr">
        <is>
          <t>{"adjusted_cash_out": 0.0, "adjusted_position_size": 0, "adjusted_risk_amount": 0.0, "ask": 0.0, "bid": 0.0, "buy_zone_high": null, "buy_zone_low": null, "cash_available": 100000.0,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 "factor_exposure_before": {}, "factor_exposure_cap": 7000.0, "factor_exposure_limit_exceeded": false, "factor_tags": ["Financials"], "final_action": "SKIP", "gross_reward_1_per_share": 0.0, "gross_reward_2_per_share": 0.0, "gross_risk_per_share": 312.37, "gross_rr": 0.0, "gross_rr_1": 0.0, "gross_rr_2": 0.0, "gross_rr_decision": 0.0, "highest_correlation_ticker": "", "highest_correlation_value": null, "initial_action": "SKIP", "market_cap": 836998968557.11,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"2026-06-08T01:09:18", "warnings": ["Target ATR feasibility unavailable."]}</t>
        </is>
      </c>
    </row>
    <row r="66">
      <c r="A66" t="inlineStr">
        <is>
          <t>2026-06-08T01:09:18</t>
        </is>
      </c>
      <c r="B66" t="inlineStr">
        <is>
          <t>GE</t>
        </is>
      </c>
      <c r="C66" t="inlineStr">
        <is>
          <t>No Trade</t>
        </is>
      </c>
      <c r="D66" t="n">
        <v>0</v>
      </c>
      <c r="E66" t="n">
        <v>328</v>
      </c>
      <c r="H66" t="n">
        <v>0</v>
      </c>
      <c r="K66" t="n">
        <v>0</v>
      </c>
      <c r="L66" t="inlineStr">
        <is>
          <t>No clean technical setup detected. Price in middle of value area or poor risk/reward.</t>
        </is>
      </c>
      <c r="M66" t="inlineStr">
        <is>
          <t>SKIP</t>
        </is>
      </c>
      <c r="N66" t="inlineStr">
        <is>
          <t>SKIP: No Trade result. Market regime NEUTRAL; sector NEUTRAL; net R/R 0.00.</t>
        </is>
      </c>
      <c r="O66"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66" t="inlineStr">
        <is>
          <t>C:\Users\User\Documents\Codex\2026-05-29\adva-mo-project-orion-https-github\work\market-lens-scanner\agent_results\charts\market_lens_agent_20260608_010748_ge.png</t>
        </is>
      </c>
      <c r="Q66"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66" t="inlineStr">
        <is>
          <t>{"adjusted_cash_out": 0.0, "adjusted_position_size": 0, "adjusted_risk_amount": 0.0, "ask": 0.0, "bid": 0.0, "buy_zone_high": null, "buy_zone_low": null, "cash_available": 100000.0, "company_name": "GE Aerospace", "correlation_warning": false, "days_to_earnings": 28, "earnings_blackout": false, "earnings_date": "2026-07-16T00:00:00", "estimated_fees": 0.0, "estimated_slippage": 0.4592, "estimated_spread": 0.0984, "executable_entry": 328.0, "execution_liquidity_bucket": "large_liquid", "factor_exposure_after": {}, "factor_exposure_before": {}, "factor_exposure_cap": 7000.0, "factor_exposure_limit_exceeded": false, "factor_tags": ["Industrials"], "final_action": "SKIP", "gross_reward_1_per_share": 0.0, "gross_reward_2_per_share": 0.0, "gross_risk_per_share": 328.0, "gross_rr": 0.0, "gross_rr_1": 0.0, "gross_rr_2": 0.0, "gross_rr_decision": 0.0, "highest_correlation_ticker": "", "highest_correlation_value": null, "initial_action": "SKIP", "market_cap": 342704109784.0,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"2026-06-08T01:09:18", "warnings": ["Target ATR feasibility unavailable."]}</t>
        </is>
      </c>
    </row>
    <row r="67">
      <c r="A67" t="inlineStr">
        <is>
          <t>2026-06-08T01:09:18</t>
        </is>
      </c>
      <c r="B67" t="inlineStr">
        <is>
          <t>ABBV</t>
        </is>
      </c>
      <c r="C67" t="inlineStr">
        <is>
          <t>No Trade</t>
        </is>
      </c>
      <c r="D67" t="n">
        <v>0</v>
      </c>
      <c r="E67" t="n">
        <v>227.23</v>
      </c>
      <c r="H67" t="n">
        <v>0</v>
      </c>
      <c r="K67" t="n">
        <v>0</v>
      </c>
      <c r="L67" t="inlineStr">
        <is>
          <t>No clean technical setup detected. Price in middle of value area or poor risk/reward.</t>
        </is>
      </c>
      <c r="M67" t="inlineStr">
        <is>
          <t>SKIP</t>
        </is>
      </c>
      <c r="N67" t="inlineStr">
        <is>
          <t>SKIP: No Trade result. Market regime NEUTRAL; sector NEUTRAL; net R/R 0.00.</t>
        </is>
      </c>
      <c r="O67"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67" t="inlineStr">
        <is>
          <t>C:\Users\User\Documents\Codex\2026-05-29\adva-mo-project-orion-https-github\work\market-lens-scanner\agent_results\charts\market_lens_agent_20260608_010748_abbv.png</t>
        </is>
      </c>
      <c r="Q67"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67" t="inlineStr">
        <is>
          <t>{"adjusted_cash_out": 0.0, "adjusted_position_size": 0, "adjusted_risk_amount": 0.0, "ask": 0.0, "bid": 0.0, "buy_zone_high": null, "buy_zone_low": null, "cash_available": 100000.0, "company_name": "AbbVie Inc.", "correlation_warning": false, "days_to_earnings": 38, "earnings_blackout": false, "earnings_date": "2026-07-30T00:00:00", "estimated_fees": 0.0, "estimated_slippage": 0.3181, "estimated_spread": 0.0682, "executable_entry": 227.23,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 "highest_correlation_value": null, "initial_action": "SKIP", "market_cap": 401468325167.28,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"2026-06-08T01:09:18", "warnings": ["Target ATR feasibility unavailable."]}</t>
        </is>
      </c>
    </row>
    <row r="68">
      <c r="A68" t="inlineStr">
        <is>
          <t>2026-06-08T01:09:18</t>
        </is>
      </c>
      <c r="B68" t="inlineStr">
        <is>
          <t>SLB</t>
        </is>
      </c>
      <c r="C68" t="inlineStr">
        <is>
          <t>No Trade</t>
        </is>
      </c>
      <c r="D68" t="n">
        <v>0</v>
      </c>
      <c r="E68" t="n">
        <v>54.87</v>
      </c>
      <c r="H68" t="n">
        <v>0</v>
      </c>
      <c r="K68" t="n">
        <v>0</v>
      </c>
      <c r="L68" t="inlineStr">
        <is>
          <t>No clean technical setup detected. Price in middle of value area or poor risk/reward.</t>
        </is>
      </c>
      <c r="M68" t="inlineStr">
        <is>
          <t>SKIP</t>
        </is>
      </c>
      <c r="N68" t="inlineStr">
        <is>
          <t>SKIP: No Trade result. Market regime NEUTRAL; sector NEUTRAL; net R/R 0.00.</t>
        </is>
      </c>
      <c r="O68"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68" t="inlineStr">
        <is>
          <t>C:\Users\User\Documents\Codex\2026-05-29\adva-mo-project-orion-https-github\work\market-lens-scanner\agent_results\charts\market_lens_agent_20260608_010748_slb.png</t>
        </is>
      </c>
      <c r="Q68"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68" t="inlineStr">
        <is>
          <t>{"adjusted_cash_out": 0.0, "adjusted_position_size": 0, "adjusted_risk_amount": 0.0, "ask": 0.0, "bid": 0.0, "buy_zone_high": null, "buy_zone_low": null, "cash_available": 100000.0,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 "factor_exposure_before": {}, "factor_exposure_cap": 7000.0, "factor_exposure_limit_exceeded": false, "factor_tags": ["Energy"], "final_action": "SKIP", "gross_reward_1_per_share": 0.0, "gross_reward_2_per_share": 0.0, "gross_risk_per_share": 54.87, "gross_rr": 0.0, "gross_rr_1": 0.0, "gross_rr_2": 0.0, "gross_rr_decision": 0.0, "highest_correlation_ticker": "", "highest_correlation_value": null, "initial_action": "SKIP", "market_cap": 82033812262.18,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"2026-06-08T01:09:18", "warnings": ["Target ATR feasibility unavailable."]}</t>
        </is>
      </c>
    </row>
    <row r="69">
      <c r="A69" t="inlineStr">
        <is>
          <t>2026-06-08T01:09:18</t>
        </is>
      </c>
      <c r="B69" t="inlineStr">
        <is>
          <t>NVDA</t>
        </is>
      </c>
      <c r="C69" t="inlineStr">
        <is>
          <t>No Trade</t>
        </is>
      </c>
      <c r="D69" t="n">
        <v>0</v>
      </c>
      <c r="E69" t="n">
        <v>205.1</v>
      </c>
      <c r="H69" t="n">
        <v>0</v>
      </c>
      <c r="K69" t="n">
        <v>0</v>
      </c>
      <c r="L69" t="inlineStr">
        <is>
          <t>No clean technical setup detected. Price in middle of value area or poor risk/reward.</t>
        </is>
      </c>
      <c r="M69" t="inlineStr">
        <is>
          <t>SKIP</t>
        </is>
      </c>
      <c r="N69" t="inlineStr">
        <is>
          <t>SKIP: No Trade result. Market regime NEUTRAL; sector STRONG; net R/R 0.00.</t>
        </is>
      </c>
      <c r="O69"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69" t="inlineStr">
        <is>
          <t>C:\Users\User\Documents\Codex\2026-05-29\adva-mo-project-orion-https-github\work\market-lens-scanner\agent_results\charts\market_lens_agent_20260608_010748_nvda.png</t>
        </is>
      </c>
      <c r="Q69"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69" t="inlineStr">
        <is>
          <t>{"adjusted_cash_out": 0.0, "adjusted_position_size": 0, "adjusted_risk_amount": 0.0, "ask": 0.0, "bid": 0.0, "buy_zone_high": null, "buy_zone_low": null, "cash_available": 100000.0,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 "highest_correlation_value": null, "initial_action": "SKIP", "market_cap": 4967727247833.25,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"2026-06-08T01:09:18", "warnings": ["Target ATR feasibility unavailable."]}</t>
        </is>
      </c>
    </row>
    <row r="70">
      <c r="A70" t="inlineStr">
        <is>
          <t>2026-06-08T01:09:18</t>
        </is>
      </c>
      <c r="B70" t="inlineStr">
        <is>
          <t>AVGO</t>
        </is>
      </c>
      <c r="C70" t="inlineStr">
        <is>
          <t>No Trade</t>
        </is>
      </c>
      <c r="D70" t="n">
        <v>0</v>
      </c>
      <c r="E70" t="n">
        <v>385.73</v>
      </c>
      <c r="H70" t="n">
        <v>0</v>
      </c>
      <c r="K70" t="n">
        <v>0</v>
      </c>
      <c r="L70" t="inlineStr">
        <is>
          <t>No clean technical setup detected. Price in middle of value area or poor risk/reward.</t>
        </is>
      </c>
      <c r="M70" t="inlineStr">
        <is>
          <t>SKIP</t>
        </is>
      </c>
      <c r="N70" t="inlineStr">
        <is>
          <t>SKIP: No Trade result. Market regime NEUTRAL; sector STRONG; net R/R 0.00.</t>
        </is>
      </c>
      <c r="O70"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70" t="inlineStr">
        <is>
          <t>C:\Users\User\Documents\Codex\2026-05-29\adva-mo-project-orion-https-github\work\market-lens-scanner\agent_results\charts\market_lens_agent_20260608_010748_avgo.png</t>
        </is>
      </c>
      <c r="Q70"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70" t="inlineStr">
        <is>
          <t>{"adjusted_cash_out": 0.0, "adjusted_position_size": 0, "adjusted_risk_amount": 0.0, "ask": 0.0, "bid": 0.0, "buy_zone_high": null, "buy_zone_low": null, "cash_available": 100000.0, "company_name": "Broadcom Inc.", "correlation_warning": false, "days_to_earnings": 63, "earnings_blackout": false, "earnings_date": "2026-09-03T00:00:00", "estimated_fees": 0.0, "estimated_slippage": 0.54, "estimated_spread": 0.1157, "executable_entry": 385.73, "execution_liquidity_bucket": "large_liquid", "factor_exposure_after": {}, "factor_exposure_before": {},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 "highest_correlation_value": null, "initial_action": "SKIP", "market_cap": 1826303610630.94, "market_cap_bucket": "Mega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"2026-06-08T01:09:18", "warnings": ["Target ATR feasibility unavailable."]}</t>
        </is>
      </c>
    </row>
    <row r="71">
      <c r="A71" t="inlineStr">
        <is>
          <t>2026-06-08T01:09:18</t>
        </is>
      </c>
      <c r="B71" t="inlineStr">
        <is>
          <t>NOW</t>
        </is>
      </c>
      <c r="C71" t="inlineStr">
        <is>
          <t>No Trade</t>
        </is>
      </c>
      <c r="D71" t="n">
        <v>0</v>
      </c>
      <c r="E71" t="n">
        <v>112.45</v>
      </c>
      <c r="H71" t="n">
        <v>0</v>
      </c>
      <c r="K71" t="n">
        <v>0</v>
      </c>
      <c r="L71" t="inlineStr">
        <is>
          <t>No clean technical setup detected. Price in middle of value area or poor risk/reward.</t>
        </is>
      </c>
      <c r="M71" t="inlineStr">
        <is>
          <t>SKIP</t>
        </is>
      </c>
      <c r="N71" t="inlineStr">
        <is>
          <t>SKIP: No Trade result. Market regime NEUTRAL; sector STRONG; net R/R 0.00.</t>
        </is>
      </c>
      <c r="O71"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71" t="inlineStr">
        <is>
          <t>C:\Users\User\Documents\Codex\2026-05-29\adva-mo-project-orion-https-github\work\market-lens-scanner\agent_results\charts\market_lens_agent_20260608_010748_now.png</t>
        </is>
      </c>
      <c r="Q71"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71" t="inlineStr">
        <is>
          <t>{"adjusted_cash_out": 0.0, "adjusted_position_size": 0, "adjusted_risk_amount": 0.0, "ask": 0.0, "bid": 0.0, "buy_zone_high": null, "buy_zone_low": null, "cash_available": 100000.0, "company_name": "ServiceNow, Inc.", "correlation_warning": false, "days_to_earnings": 32, "earnings_blackout": false, "earnings_date": "2026-07-22T00:00:00", "estimated_fees": 0.0, "estimated_slippage": 0.181, "estimated_spread": 0.0337, "executable_entry": 112.45,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 "highest_correlation_value": null, "initial_action": "SKIP", "market_cap": 115970581452.7, "market_cap_bucket": "Large Cap", "market_regime": "NEUTRAL", "market_regime_indicators": {"DXY": {"ema20": 99.1331, "ema200": 98.7805, "ema50": 98.9067, "price": 100.07, "return_1m": 1.85, "return_3m": 0.9,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"2026-06-08T01:09:18", "warnings": ["Target ATR feasibility unavailable."]}</t>
        </is>
      </c>
    </row>
    <row r="72">
      <c r="A72" t="inlineStr">
        <is>
          <t>2026-06-08T01:37:33</t>
        </is>
      </c>
      <c r="B72" t="inlineStr">
        <is>
          <t>OKE</t>
        </is>
      </c>
      <c r="C72" t="inlineStr">
        <is>
          <t>Fib 61.8 Confluence Buy Zone</t>
        </is>
      </c>
      <c r="D72" t="n">
        <v>0.49</v>
      </c>
      <c r="E72" t="n">
        <v>88.25</v>
      </c>
      <c r="F72" t="n">
        <v>87.78</v>
      </c>
      <c r="G72" t="n">
        <v>89.02</v>
      </c>
      <c r="H72" t="n">
        <v>86.06999999999999</v>
      </c>
      <c r="I72" t="n">
        <v>88.7</v>
      </c>
      <c r="J72" t="n">
        <v>96.06999999999999</v>
      </c>
      <c r="K72" t="n">
        <v>1.39</v>
      </c>
      <c r="L72" t="inlineStr">
        <is>
          <t>Price at 61.8% fib retracement (88.40) with confluence at VWAP. Planned entry at zone low 87.78; executable entry 88.25, stop below fib 78.6% at 86.07. Structural confluence: swing low at 83.66 aligns with VAL (83.81).</t>
        </is>
      </c>
      <c r="M72" t="inlineStr">
        <is>
          <t>WATCH</t>
        </is>
      </c>
      <c r="N72" t="inlineStr">
        <is>
          <t>WATCH: Technical setup detected, but weighted risk/reward 1.39 is below minimum 2.00. Market regime NEUTRAL; sector NEUTRAL; net R/R 1.10.</t>
        </is>
      </c>
      <c r="O72"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72" t="inlineStr">
        <is>
          <t>agent_results\charts\market_lens_agent_20260608_013140_oke.png</t>
        </is>
      </c>
      <c r="Q72"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72" t="inlineStr">
        <is>
          <t>{"adjusted_cash_out": 0.0, "adjusted_position_size": 0, "adjusted_risk_amount": 0.0, "ask": 0.0, "bid": 0.0, "buy_zone_high": 89.02, "buy_zone_low": 87.78, "cash_available": 100000.0, "company_name": "ONEOK, Inc.", "correlation_warning": false, "days_to_earnings": -28,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"2026-06-08T01:37:33", "warnings": ["Target 1 is close versus daily ATR."]}</t>
        </is>
      </c>
    </row>
    <row r="73">
      <c r="A73" t="inlineStr">
        <is>
          <t>2026-06-08T01:37:33</t>
        </is>
      </c>
      <c r="B73" t="inlineStr">
        <is>
          <t>XOM</t>
        </is>
      </c>
      <c r="C73" t="inlineStr">
        <is>
          <t>Fib 61.8 Confluence Buy Zone</t>
        </is>
      </c>
      <c r="D73" t="n">
        <v>0.49</v>
      </c>
      <c r="E73" t="n">
        <v>149.92</v>
      </c>
      <c r="F73" t="n">
        <v>149.87</v>
      </c>
      <c r="G73" t="n">
        <v>151.87</v>
      </c>
      <c r="H73" t="n">
        <v>146.99</v>
      </c>
      <c r="I73" t="n">
        <v>150.49</v>
      </c>
      <c r="J73" t="n">
        <v>173.86</v>
      </c>
      <c r="K73" t="n">
        <v>2.98</v>
      </c>
      <c r="L73" t="inlineStr">
        <is>
          <t>Price at 61.8% fib retracement (150.87) with confluence at VWAP. Planned entry at zone low 149.87; executable entry 149.92, stop below fib 78.6% at 146.99.</t>
        </is>
      </c>
      <c r="M73" t="inlineStr">
        <is>
          <t>WATCH</t>
        </is>
      </c>
      <c r="N73" t="inlineStr">
        <is>
          <t>WATCH: Target 1 is too close versus daily ATR.</t>
        </is>
      </c>
      <c r="O73"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73" t="inlineStr">
        <is>
          <t>agent_results\charts\market_lens_agent_20260608_013140_xom.png</t>
        </is>
      </c>
      <c r="Q73"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WATCH - WATCH: Target 1 is too close versus daily ATR.</t>
        </is>
      </c>
      <c r="R73"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"WATCH",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0, "portfolio_exposure_before": 0, "position_size": 0, "position_size_adjusted": true, "position_sizing_explanation": "Base position sizing produced a candidate trade, but the risk transparency layer blocked the new buy. Candidate size: 40 shares, cash 5996.80, risk 117.20.", "previous_resistance": 163.68, "price": 149.92, "prior_high_20": 163.68, "prior_high_63": 175.2207, "reason": "WATCH: Target 1 is too close versus daily ATR.", "risk_amount": 0.0,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"2026-06-08T01:37:33", "warnings": ["Target 1 is close versus daily ATR.", "Position size reduced by Energy sector exposure cap (66 -&gt; 40 shares)."]}</t>
        </is>
      </c>
    </row>
    <row r="74">
      <c r="A74" t="inlineStr">
        <is>
          <t>2026-06-08T01:37:33</t>
        </is>
      </c>
      <c r="B74" t="inlineStr">
        <is>
          <t>V</t>
        </is>
      </c>
      <c r="C74" t="inlineStr">
        <is>
          <t>Fib 61.8 Confluence Buy Zone</t>
        </is>
      </c>
      <c r="D74" t="n">
        <v>0.45</v>
      </c>
      <c r="E74" t="n">
        <v>323.57</v>
      </c>
      <c r="F74" t="n">
        <v>321.22</v>
      </c>
      <c r="G74" t="n">
        <v>324.81</v>
      </c>
      <c r="H74" t="n">
        <v>319</v>
      </c>
      <c r="I74" t="n">
        <v>325.34</v>
      </c>
      <c r="J74" t="n">
        <v>338.49</v>
      </c>
      <c r="K74" t="n">
        <v>1.39</v>
      </c>
      <c r="L74" t="inlineStr">
        <is>
          <t>Price at 61.8% fib retracement (323.02) with confluence at VWAP. Planned entry at zone low 321.22; executable entry 323.57, stop below fib 78.6% at 319.00.</t>
        </is>
      </c>
      <c r="M74" t="inlineStr">
        <is>
          <t>WATCH</t>
        </is>
      </c>
      <c r="N74" t="inlineStr">
        <is>
          <t>WATCH: Technical setup detected, but weighted risk/reward 1.39 is below minimum 2.00. Market regime NEUTRAL; sector STRONG; net R/R 1.16.</t>
        </is>
      </c>
      <c r="O74"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74" t="inlineStr">
        <is>
          <t>agent_results\charts\market_lens_agent_20260608_013140_v.png</t>
        </is>
      </c>
      <c r="Q74"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74" t="inlineStr">
        <is>
          <t>{"adjusted_cash_out": 0.0, "adjusted_position_size": 0, "adjusted_risk_amount": 0.0, "ask": 0.0, "bid": 0.0, "buy_zone_high": 324.81, "buy_zone_low": 321.22, "cash_available": 100000.0, "company_name": "Visa Inc.", "correlation_warning": false, "days_to_earnings": 36, "earnings_blackout": false, "earnings_date": "2026-07-28T00:00:00", "estimated_fees": 0.0, "estimated_slippage": 0.453, "estimated_spread": 0.0971, "executable_entry": 323.57, "execution_liquidity_bucket": "large_liquid", "factor_exposure_after": {}, "factor_exposure_before": {},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 "highest_correlation_value": null, "initial_action": "WATCH", "market_cap": 615347255294.79,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"2026-06-08T01:37:33", "warnings": ["Target 1 is close versus daily ATR."]}</t>
        </is>
      </c>
    </row>
    <row r="75">
      <c r="A75" t="inlineStr">
        <is>
          <t>2026-06-08T01:37:33</t>
        </is>
      </c>
      <c r="B75" t="inlineStr">
        <is>
          <t>CVX</t>
        </is>
      </c>
      <c r="C75" t="inlineStr">
        <is>
          <t>VWAP Reclaim Setup</t>
        </is>
      </c>
      <c r="D75" t="n">
        <v>0.45</v>
      </c>
      <c r="E75" t="n">
        <v>187.31</v>
      </c>
      <c r="F75" t="n">
        <v>186.04</v>
      </c>
      <c r="G75" t="n">
        <v>188.58</v>
      </c>
      <c r="H75" t="n">
        <v>182.39</v>
      </c>
      <c r="I75" t="n">
        <v>189.98</v>
      </c>
      <c r="J75" t="n">
        <v>204.51</v>
      </c>
      <c r="K75" t="n">
        <v>1.58</v>
      </c>
      <c r="L75" t="inlineStr">
        <is>
          <t>Price (187.31) reclaiming VWAP (187.85) after trading below it. Volume confirming. Anchored VWAP context 186.37 is supportive. Entry at 187.31, stop at 182.39.</t>
        </is>
      </c>
      <c r="M75" t="inlineStr">
        <is>
          <t>WATCH</t>
        </is>
      </c>
      <c r="N75" t="inlineStr">
        <is>
          <t>WATCH: Technical setup detected, but weighted risk/reward 1.58 is below minimum 2.00. Market regime NEUTRAL; sector NEUTRAL; net R/R 1.43.</t>
        </is>
      </c>
      <c r="O75"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75" t="inlineStr">
        <is>
          <t>agent_results\charts\market_lens_agent_20260608_013140_cvx.png</t>
        </is>
      </c>
      <c r="Q75"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75" t="inlineStr">
        <is>
          <t>{"adjusted_cash_out": 0.0, "adjusted_position_size": 0, "adjusted_risk_amount": 0.0, "ask": 0.0, "bid": 0.0, "buy_zone_high": 188.58, "buy_zone_low": 186.04, "cash_available": 100000.0, "company_name": "Chevron Corporation", "correlation_warning": false, "days_to_earnings": 39, "earnings_blackout": false, "earnings_date": "2026-07-31T00:00:00", "estimated_fees": 0.0, "estimated_slippage": 0.2622, "estimated_spread": 0.0562, "executable_entry": 187.31, "execution_liquidity_bucket": "large_liquid", "factor_exposure_after": {}, "factor_exposure_before": {},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 "highest_correlation_value": null, "initial_action": "WATCH", "market_cap": 373046166318.62,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"2026-06-08T01:37:33", "warnings": ["Target 1 is close versus daily ATR."]}</t>
        </is>
      </c>
    </row>
    <row r="76">
      <c r="A76" t="inlineStr">
        <is>
          <t>2026-06-08T01:37:33</t>
        </is>
      </c>
      <c r="B76" t="inlineStr">
        <is>
          <t>ELAN</t>
        </is>
      </c>
      <c r="C76" t="inlineStr">
        <is>
          <t>Fib 61.8 Confluence Buy Zone</t>
        </is>
      </c>
      <c r="D76" t="n">
        <v>0.44</v>
      </c>
      <c r="E76" t="n">
        <v>23.63</v>
      </c>
      <c r="F76" t="n">
        <v>23.11</v>
      </c>
      <c r="G76" t="n">
        <v>23.69</v>
      </c>
      <c r="H76" t="n">
        <v>22.5</v>
      </c>
      <c r="I76" t="n">
        <v>23.94</v>
      </c>
      <c r="J76" t="n">
        <v>26.29</v>
      </c>
      <c r="K76" t="n">
        <v>1.01</v>
      </c>
      <c r="L76" t="inlineStr">
        <is>
          <t>Price at 61.8% fib retracement (23.40) with confluence at POC, VWAP. Planned entry at zone low 23.11; executable entry 23.63, stop below fib 78.6% at 22.50.</t>
        </is>
      </c>
      <c r="M76" t="inlineStr">
        <is>
          <t>WATCH</t>
        </is>
      </c>
      <c r="N76" t="inlineStr">
        <is>
          <t>WATCH: Technical setup detected, but weighted risk/reward 1.01 is below minimum 2.00. Market regime NEUTRAL; sector NEUTRAL; net R/R 0.87.</t>
        </is>
      </c>
      <c r="O76"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76" t="inlineStr">
        <is>
          <t>agent_results\charts\market_lens_agent_20260608_013140_elan.png</t>
        </is>
      </c>
      <c r="Q76"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76" t="inlineStr">
        <is>
          <t>{"adjusted_cash_out": 0.0, "adjusted_position_size": 0, "adjusted_risk_amount": 0.0, "ask": 0.0, "bid": 0.0, "buy_zone_high": 23.69, "buy_zone_low": 23.11, "cash_available": 100000.0,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 "factor_exposure_before": {},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 "highest_correlation_value": null, "initial_action": "WATCH", "market_cap": 11801993227.14,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"2026-06-08T01:37:33", "warnings": ["Target 1 is close versus daily ATR."]}</t>
        </is>
      </c>
    </row>
    <row r="77">
      <c r="A77" t="inlineStr">
        <is>
          <t>2026-06-08T01:37:33</t>
        </is>
      </c>
      <c r="B77" t="inlineStr">
        <is>
          <t>MSFT</t>
        </is>
      </c>
      <c r="C77" t="inlineStr">
        <is>
          <t>Breakout + Retest</t>
        </is>
      </c>
      <c r="D77" t="n">
        <v>0.43</v>
      </c>
      <c r="E77" t="n">
        <v>416.67</v>
      </c>
      <c r="F77" t="n">
        <v>414.17</v>
      </c>
      <c r="G77" t="n">
        <v>427.06</v>
      </c>
      <c r="H77" t="n">
        <v>407.73</v>
      </c>
      <c r="I77" t="n">
        <v>426.34</v>
      </c>
      <c r="J77" t="n">
        <v>444.49</v>
      </c>
      <c r="K77" t="n">
        <v>1.79</v>
      </c>
      <c r="L77" t="inlineStr">
        <is>
          <t>Price (416.67) retesting broken resistance (427.06) as support. Breakout on 2026-05-29 with 2.3× avg volume. Volume confirmed breakout. Entry at 416.67, stop at 407.73.</t>
        </is>
      </c>
      <c r="M77" t="inlineStr">
        <is>
          <t>WATCH</t>
        </is>
      </c>
      <c r="N77" t="inlineStr">
        <is>
          <t>WATCH: Technical setup detected, but weighted risk/reward 1.79 is below minimum 2.00. Market regime NEUTRAL; sector STRONG; net R/R 1.42.</t>
        </is>
      </c>
      <c r="O77"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77" t="inlineStr">
        <is>
          <t>agent_results\charts\market_lens_agent_20260608_013140_msft.png</t>
        </is>
      </c>
      <c r="Q77"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77" t="inlineStr">
        <is>
          <t>{"adjusted_cash_out": 0.0, "adjusted_position_size": 0, "adjusted_risk_amount": 0.0, "ask": 0.0, "bid": 0.0, "buy_zone_high": 427.06, "buy_zone_low": 414.17, "cash_available": 100000.0,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 "factor_exposure_before": {},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 "highest_correlation_value": null, "initial_action": "WATCH", "market_cap": 3095205987862.73,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"2026-06-08T01:37:33", "warnings": []}</t>
        </is>
      </c>
    </row>
    <row r="78">
      <c r="A78" t="inlineStr">
        <is>
          <t>2026-06-08T01:37:33</t>
        </is>
      </c>
      <c r="B78" t="inlineStr">
        <is>
          <t>AIG</t>
        </is>
      </c>
      <c r="C78" t="inlineStr">
        <is>
          <t>Fib 61.8 Confluence Buy Zone</t>
        </is>
      </c>
      <c r="D78" t="n">
        <v>0.43</v>
      </c>
      <c r="E78" t="n">
        <v>75.48999999999999</v>
      </c>
      <c r="F78" t="n">
        <v>75.13</v>
      </c>
      <c r="G78" t="n">
        <v>76.02</v>
      </c>
      <c r="H78" t="n">
        <v>74.26000000000001</v>
      </c>
      <c r="I78" t="n">
        <v>76.38</v>
      </c>
      <c r="J78" t="n">
        <v>79.77</v>
      </c>
      <c r="K78" t="n">
        <v>1.68</v>
      </c>
      <c r="L78" t="inlineStr">
        <is>
          <t>Price at 61.8% fib retracement (75.57) with confluence at VWAP. Planned entry at zone low 75.13; executable entry 75.49, stop below fib 78.6% at 74.26.</t>
        </is>
      </c>
      <c r="M78" t="inlineStr">
        <is>
          <t>WATCH</t>
        </is>
      </c>
      <c r="N78" t="inlineStr">
        <is>
          <t>WATCH: Technical setup detected, but weighted risk/reward 1.68 is below minimum 2.00. Market regime NEUTRAL; sector STRONG; net R/R 1.22.</t>
        </is>
      </c>
      <c r="O78"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78" t="inlineStr">
        <is>
          <t>agent_results\charts\market_lens_agent_20260608_013140_aig.png</t>
        </is>
      </c>
      <c r="Q78"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78" t="inlineStr">
        <is>
          <t>{"adjusted_cash_out": 0.0, "adjusted_position_size": 0, "adjusted_risk_amount": 0.0, "ask": 0.0, "bid": 0.0, "buy_zone_high": 76.02, "buy_zone_low": 75.13, "cash_available": 100000.0, "company_name": "American International Group, Inc.", "correlation_warning": false, "days_to_earnings": -26, "earnings_blackout": false, "earnings_date": "2026-04-30T00:00:00", "estimated_fees": 0.0, "estimated_slippage": 0.2265, "estimated_spread": 0.0604, "executable_entry": 75.49, "execution_liquidity_bucket": "mid_liquid", "factor_exposure_after": {}, "factor_exposure_before": {},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 "highest_correlation_value": null, "initial_action": "WATCH", "market_cap": 40025266490.65,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"2026-06-08T01:37:33", "warnings": ["Target 1 is close versus daily ATR."]}</t>
        </is>
      </c>
    </row>
    <row r="79">
      <c r="A79" t="inlineStr">
        <is>
          <t>2026-06-08T01:37:33</t>
        </is>
      </c>
      <c r="B79" t="inlineStr">
        <is>
          <t>BKR</t>
        </is>
      </c>
      <c r="C79" t="inlineStr">
        <is>
          <t>Breakout + Retest</t>
        </is>
      </c>
      <c r="D79" t="n">
        <v>0.41</v>
      </c>
      <c r="E79" t="n">
        <v>62.59</v>
      </c>
      <c r="F79" t="n">
        <v>62.05</v>
      </c>
      <c r="G79" t="n">
        <v>64.13</v>
      </c>
      <c r="H79" t="n">
        <v>61.01</v>
      </c>
      <c r="I79" t="n">
        <v>64.56999999999999</v>
      </c>
      <c r="J79" t="n">
        <v>69.36</v>
      </c>
      <c r="K79" t="n">
        <v>2.31</v>
      </c>
      <c r="L79" t="inlineStr">
        <is>
          <t>Price (62.59) retesting broken resistance (64.13) as support. Breakout on 2026-04-23 with 1.5× avg volume. Volume confirmed breakout. Entry at 62.59, stop at 61.01.</t>
        </is>
      </c>
      <c r="M79" t="inlineStr">
        <is>
          <t>WATCH</t>
        </is>
      </c>
      <c r="N79" t="inlineStr">
        <is>
          <t>WATCH: Neutral market requires stronger setup score (0.41 &lt; 0.45).</t>
        </is>
      </c>
      <c r="O79"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79" t="inlineStr">
        <is>
          <t>agent_results\charts\market_lens_agent_20260608_013140_bkr.png</t>
        </is>
      </c>
      <c r="Q79"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Neutral market requires stronger setup score (0.41 &lt; 0.45).</t>
        </is>
      </c>
      <c r="R79" t="inlineStr">
        <is>
          <t>{"adjusted_cash_out": 5946.05, "adjusted_position_size": 95, "adjusted_risk_amount": 150.1, "ask": 0.0, "bid": 0.0, "buy_zone_high": 64.13, "buy_zone_low": 62.05, "cash_available": 100000.0,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5946.05}, "factor_exposure_before": {},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 "highest_correlation_value": null, "initial_action": "BUY_SIMULATED", "market_cap": 62093579896.61,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0, "portfolio_exposure_before": 0, "position_size": 0, "position_size_adjusted": true, "position_sizing_explanation": "Base position sizing produced a candidate trade, but the risk transparency layer blocked the new buy. Candidate size: 95 shares, cash 5946.05, risk 150.10.", "previous_resistance": 67.92, "price": 62.59, "prior_high_20": 67.92, "prior_high_63": 70.1753, "reason": "WATCH: Neutral market requires stronger setup score (0.41 &lt; 0.45).", "risk_amount": 0.0, "scan_source": "Smart Universe: broad liquid US universe filtered and diversified by the Market Lens UI.", "sector": "Energy", "sector_etf": "XLE", "sector_exposure_after": 5946.05, "sector_exposure_before": 0.0, "sector_exposure_cap": 6000.0, "sector_exposure_limit_exceeded": false, "sector_regime": "NEUTRAL", "sector_score": 47.51, "setup_score": 0.41, "setup_type": "Breakout + Retest", "sizing_adjustment_reason": "Position size reduced by Energy sector exposure cap (159 -&gt; 95 shares).", "spread_source": "liquidity_fallback", "stock_score": 0.41, "stop_loss": 61.01, "target_1": 64.57, "target_1_atr_distance": 0.953, "target_2": 69.36, "target_2_atr_distance": 3.2586, "target_feasibility_status": "OK", "theoretical_entry": 62.05, "ticker": "BKR", "timestamp": "2026-06-08T01:37:33", "warnings": ["Position size reduced by Energy sector exposure cap (159 -&gt; 95 shares).", "WATCH: Gross R/R is valid, but Net R/R 1.74 failed after slippage/spread adjustment."]}</t>
        </is>
      </c>
    </row>
    <row r="80">
      <c r="A80" t="inlineStr">
        <is>
          <t>2026-06-08T01:37:33</t>
        </is>
      </c>
      <c r="B80" t="inlineStr">
        <is>
          <t>COP</t>
        </is>
      </c>
      <c r="C80" t="inlineStr">
        <is>
          <t>Fib 61.8 Confluence Buy Zone</t>
        </is>
      </c>
      <c r="D80" t="n">
        <v>0.39</v>
      </c>
      <c r="E80" t="n">
        <v>117.14</v>
      </c>
      <c r="F80" t="n">
        <v>116.7</v>
      </c>
      <c r="G80" t="n">
        <v>118.25</v>
      </c>
      <c r="H80" t="n">
        <v>114.49</v>
      </c>
      <c r="I80" t="n">
        <v>117.87</v>
      </c>
      <c r="J80" t="n">
        <v>134.17</v>
      </c>
      <c r="K80" t="n">
        <v>2.43</v>
      </c>
      <c r="L80" t="inlineStr">
        <is>
          <t>Price at 61.8% fib retracement (117.48) with confluence at VWAP. Planned entry at zone low 116.70; executable entry 117.14, stop below fib 78.6% at 114.49.</t>
        </is>
      </c>
      <c r="M80" t="inlineStr">
        <is>
          <t>WATCH</t>
        </is>
      </c>
      <c r="N80" t="inlineStr">
        <is>
          <t>WATCH: Neutral market requires stronger setup score (0.39 &lt; 0.45).</t>
        </is>
      </c>
      <c r="O80"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80" t="inlineStr">
        <is>
          <t>agent_results\charts\market_lens_agent_20260608_013140_cop.png</t>
        </is>
      </c>
      <c r="Q80"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Neutral market requires stronger setup score (0.39 &lt; 0.45).</t>
        </is>
      </c>
      <c r="R80" t="inlineStr">
        <is>
          <t>{"adjusted_cash_out": 5974.14, "adjusted_position_size": 51, "adjusted_risk_amount": 135.15, "ask": 0.0, "bid": 0.0, "buy_zone_high": 118.25, "buy_zone_low": 116.7, "cash_available": 100000.0,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5974.14}, "factor_exposure_before": {},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 "highest_correlation_value": null, "initial_action": "BUY_SIMULATED", "market_cap": 142710959236.39,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0, "portfolio_exposure_before": 0, "position_size": 0, "position_size_adjusted": true, "position_sizing_explanation": "Base position sizing produced a candidate trade, but the risk transparency layer blocked the new buy. Candidate size: 51 shares, cash 5974.14, risk 135.15.", "previous_resistance": 126.0, "price": 117.14, "prior_high_20": 126.0, "prior_high_63": 134.8677, "reason": "WATCH: Neutral market requires stronger setup score (0.39 &lt; 0.45).", "risk_amount": 0.0, "scan_source": "Smart Universe: broad liquid US universe filtered and diversified by the Market Lens UI.", "sector": "Energy", "sector_etf": "XLE", "sector_exposure_after": 5974.14, "sector_exposure_before": 0.0, "sector_exposure_cap": 6000.0, "sector_exposure_limit_exceeded": false, "sector_regime": "NEUTRAL", "sector_score": 47.51, "setup_score": 0.39, "setup_type": "Fib 61.8 Confluence Buy Zone", "sizing_adjustment_reason": "Position size reduced by Energy sector exposure cap (85 -&gt; 51 shares).", "spread_source": "liquidity_fallback", "stock_score": 0.39, "stop_loss": 114.49, "target_1": 117.87, "target_1_atr_distance": 0.2365, "target_2": 134.17, "target_2_atr_distance": 5.5183, "target_feasibility_status": "LOW_REWARD_DISTANCE", "theoretical_entry": 116.7, "ticker": "COP", "timestamp": "2026-06-08T01:37:33", "warnings": ["Target 1 is close versus daily ATR.", "Position size reduced by Energy sector exposure cap (85 -&gt; 51 shares).", "WATCH: Neutral sector requires a cleaner setup score.", "WATCH: Gross R/R is valid, but Net R/R 2.20 failed after slippage/spread adjustment.", "WATCH: Target 1 is too close versus daily ATR."]}</t>
        </is>
      </c>
    </row>
    <row r="81">
      <c r="A81" t="inlineStr">
        <is>
          <t>2026-06-08T01:37:33</t>
        </is>
      </c>
      <c r="B81" t="inlineStr">
        <is>
          <t>AXP</t>
        </is>
      </c>
      <c r="C81" t="inlineStr">
        <is>
          <t>Fib 61.8 Confluence Buy Zone</t>
        </is>
      </c>
      <c r="D81" t="n">
        <v>0.34</v>
      </c>
      <c r="E81" t="n">
        <v>310.66</v>
      </c>
      <c r="F81" t="n">
        <v>307.44</v>
      </c>
      <c r="G81" t="n">
        <v>311.01</v>
      </c>
      <c r="H81" t="n">
        <v>305.79</v>
      </c>
      <c r="I81" t="n">
        <v>311.14</v>
      </c>
      <c r="J81" t="n">
        <v>333.13</v>
      </c>
      <c r="K81" t="n">
        <v>1.68</v>
      </c>
      <c r="L81" t="inlineStr">
        <is>
          <t>Price at 61.8% fib retracement (309.23) with confluence at POC, VWAP. Planned entry at zone low 307.44; executable entry 310.66, stop below fib 78.6% at 305.79. Structural confluence: swing low at 303.04 aligns with HVN (302.06).</t>
        </is>
      </c>
      <c r="M81" t="inlineStr">
        <is>
          <t>WATCH</t>
        </is>
      </c>
      <c r="N81" t="inlineStr">
        <is>
          <t>WATCH: Technical setup detected, but weighted risk/reward 1.68 is below minimum 2.00. Market regime NEUTRAL; sector STRONG; net R/R 1.44.</t>
        </is>
      </c>
      <c r="O81"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81" t="inlineStr">
        <is>
          <t>agent_results\charts\market_lens_agent_20260608_013140_axp.png</t>
        </is>
      </c>
      <c r="Q81"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81" t="inlineStr">
        <is>
          <t>{"adjusted_cash_out": 0.0, "adjusted_position_size": 0, "adjusted_risk_amount": 0.0, "ask": 0.0, "bid": 0.0, "buy_zone_high": 311.01, "buy_zone_low": 307.44, "cash_available": 100000.0,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 "factor_exposure_before": {},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 "highest_correlation_value": null, "initial_action": "WATCH", "market_cap": 211971535281.13,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"2026-06-08T01:37:33", "warnings": ["Target 1 is close versus daily ATR."]}</t>
        </is>
      </c>
    </row>
    <row r="82">
      <c r="A82" t="inlineStr">
        <is>
          <t>2026-06-08T01:37:33</t>
        </is>
      </c>
      <c r="B82" t="inlineStr">
        <is>
          <t>DHR</t>
        </is>
      </c>
      <c r="C82" t="inlineStr">
        <is>
          <t>VWAP Reclaim Setup</t>
        </is>
      </c>
      <c r="D82" t="n">
        <v>0.33</v>
      </c>
      <c r="E82" t="n">
        <v>184.3</v>
      </c>
      <c r="F82" t="n">
        <v>182.7</v>
      </c>
      <c r="G82" t="n">
        <v>185.9</v>
      </c>
      <c r="H82" t="n">
        <v>178.98</v>
      </c>
      <c r="I82" t="n">
        <v>187.66</v>
      </c>
      <c r="J82" t="n">
        <v>196.09</v>
      </c>
      <c r="K82" t="n">
        <v>1.19</v>
      </c>
      <c r="L82" t="inlineStr">
        <is>
          <t>Price (184.30) reclaiming VWAP (185.00) after trading below it. Volume confirming. Anchored VWAP context 175.57 is supportive. Entry at 184.30, stop at 178.98.</t>
        </is>
      </c>
      <c r="M82" t="inlineStr">
        <is>
          <t>WATCH</t>
        </is>
      </c>
      <c r="N82" t="inlineStr">
        <is>
          <t>WATCH: Technical setup detected, but weighted risk/reward 1.19 is below minimum 2.00. Market regime NEUTRAL; sector NEUTRAL; net R/R 1.08.</t>
        </is>
      </c>
      <c r="O82"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82" t="inlineStr">
        <is>
          <t>agent_results\charts\market_lens_agent_20260608_013140_dhr.png</t>
        </is>
      </c>
      <c r="Q82"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82" t="inlineStr">
        <is>
          <t>{"adjusted_cash_out": 0.0, "adjusted_position_size": 0, "adjusted_risk_amount": 0.0, "ask": 0.0, "bid": 0.0, "buy_zone_high": 185.9, "buy_zone_low": 182.7, "cash_available": 100000.0,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 "factor_exposure_before": {},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 "highest_correlation_value": null, "initial_action": "WATCH", "market_cap": 130442128716.04,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"2026-06-08T01:37:33", "warnings": ["Target 1 is close versus daily ATR."]}</t>
        </is>
      </c>
    </row>
    <row r="83">
      <c r="A83" t="inlineStr">
        <is>
          <t>2026-06-08T01:37:33</t>
        </is>
      </c>
      <c r="B83" t="inlineStr">
        <is>
          <t>PFE</t>
        </is>
      </c>
      <c r="C83" t="inlineStr">
        <is>
          <t>VWAP Reclaim Setup</t>
        </is>
      </c>
      <c r="D83" t="n">
        <v>0.32</v>
      </c>
      <c r="E83" t="n">
        <v>26.04</v>
      </c>
      <c r="F83" t="n">
        <v>25.89</v>
      </c>
      <c r="G83" t="n">
        <v>26.19</v>
      </c>
      <c r="H83" t="n">
        <v>25.48</v>
      </c>
      <c r="I83" t="n">
        <v>26.28</v>
      </c>
      <c r="J83" t="n">
        <v>27.57</v>
      </c>
      <c r="K83" t="n">
        <v>1.24</v>
      </c>
      <c r="L83" t="inlineStr">
        <is>
          <t>Price (26.04) reclaiming VWAP (26.04) after trading below it. Volume confirming. Anchored VWAP context 25.81 is supportive. Entry at 26.04, stop at 25.48.</t>
        </is>
      </c>
      <c r="M83" t="inlineStr">
        <is>
          <t>WATCH</t>
        </is>
      </c>
      <c r="N83" t="inlineStr">
        <is>
          <t>WATCH: Technical setup detected, but weighted risk/reward 1.24 is below minimum 2.00. Market regime NEUTRAL; sector NEUTRAL; net R/R 1.09.</t>
        </is>
      </c>
      <c r="O83"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83" t="inlineStr">
        <is>
          <t>agent_results\charts\market_lens_agent_20260608_013140_pfe.png</t>
        </is>
      </c>
      <c r="Q83"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83" t="inlineStr">
        <is>
          <t>{"adjusted_cash_out": 0.0, "adjusted_position_size": 0, "adjusted_risk_amount": 0.0, "ask": 0.0, "bid": 0.0, "buy_zone_high": 26.19, "buy_zone_low": 25.89, "cash_available": 100000.0, "company_name": "Pfizer Inc.", "correlation_warning": false, "days_to_earnings": 37, "earnings_blackout": false, "earnings_date": "2026-07-29T00:00:00", "estimated_fees": 0.0, "estimated_slippage": 0.0365, "estimated_spread": 0.0078, "executable_entry": 26.04, "execution_liquidity_bucket": "large_liquid", "factor_exposure_after": {}, "factor_exposure_before": {},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 "highest_correlation_value": null, "initial_action": "WATCH", "market_cap": 148413531378.76,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"2026-06-08T01:37:33", "warnings": ["Target 1 is close versus daily ATR."]}</t>
        </is>
      </c>
    </row>
    <row r="84">
      <c r="A84" t="inlineStr">
        <is>
          <t>2026-06-08T01:37:33</t>
        </is>
      </c>
      <c r="B84" t="inlineStr">
        <is>
          <t>DLR</t>
        </is>
      </c>
      <c r="C84" t="inlineStr">
        <is>
          <t>Fib 61.8 Confluence Buy Zone</t>
        </is>
      </c>
      <c r="D84" t="n">
        <v>0.24</v>
      </c>
      <c r="E84" t="n">
        <v>186.79</v>
      </c>
      <c r="F84" t="n">
        <v>185.45</v>
      </c>
      <c r="G84" t="n">
        <v>187.5</v>
      </c>
      <c r="H84" t="n">
        <v>180.17</v>
      </c>
      <c r="I84" t="n">
        <v>187.64</v>
      </c>
      <c r="J84" t="n">
        <v>208.14</v>
      </c>
      <c r="K84" t="n">
        <v>1.21</v>
      </c>
      <c r="L84" t="inlineStr">
        <is>
          <t>Price at 61.8% fib retracement (186.47) with confluence at VWAP. Planned entry at zone low 185.45; executable entry 186.79, stop below fib 78.6% at 180.17.</t>
        </is>
      </c>
      <c r="M84" t="inlineStr">
        <is>
          <t>WATCH</t>
        </is>
      </c>
      <c r="N84" t="inlineStr">
        <is>
          <t>WATCH: Technical setup detected, but weighted risk/reward 1.21 is below minimum 2.00. Market regime NEUTRAL; sector STRONG; net R/R 1.02.</t>
        </is>
      </c>
      <c r="O84"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84" t="inlineStr">
        <is>
          <t>agent_results\charts\market_lens_agent_20260608_013140_dlr.png</t>
        </is>
      </c>
      <c r="Q84"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84" t="inlineStr">
        <is>
          <t>{"adjusted_cash_out": 0.0, "adjusted_position_size": 0, "adjusted_risk_amount": 0.0, "ask": 0.0, "bid": 0.0, "buy_zone_high": 187.5, "buy_zone_low": 185.45, "cash_available": 100000.0, "company_name": "Digital Realty", "correlation_warning": false, "days_to_earnings": 33, "earnings_blackout": false, "earnings_date": "2026-07-23T00:00:00", "estimated_fees": 0.0, "estimated_slippage": 0.5604, "estimated_spread": 0.1494, "executable_entry": 186.79, "execution_liquidity_bucket": "mid_liquid", "factor_exposure_after": {}, "factor_exposure_before": {},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 "highest_correlation_value": null, "initial_action": "WATCH", "market_cap": 65639137456.01,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"2026-06-08T01:37:33", "warnings": ["Target 1 is close versus daily ATR."]}</t>
        </is>
      </c>
    </row>
    <row r="85">
      <c r="A85" t="inlineStr">
        <is>
          <t>2026-06-08T01:37:33</t>
        </is>
      </c>
      <c r="B85" t="inlineStr">
        <is>
          <t>HST</t>
        </is>
      </c>
      <c r="C85" t="inlineStr">
        <is>
          <t>No Trade</t>
        </is>
      </c>
      <c r="D85" t="n">
        <v>0</v>
      </c>
      <c r="E85" t="n">
        <v>24.62</v>
      </c>
      <c r="H85" t="n">
        <v>0</v>
      </c>
      <c r="K85" t="n">
        <v>0</v>
      </c>
      <c r="L85" t="inlineStr">
        <is>
          <t>No clean technical setup detected. Price in middle of value area or poor risk/reward.</t>
        </is>
      </c>
      <c r="M85" t="inlineStr">
        <is>
          <t>SKIP</t>
        </is>
      </c>
      <c r="N85" t="inlineStr">
        <is>
          <t>SKIP: No Trade result. Market regime NEUTRAL; sector STRONG; net R/R 0.00.</t>
        </is>
      </c>
      <c r="O85" t="inlineStr">
        <is>
          <t>HST
No Trade
0.00
score
Price
24.62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21.35
Fib Zone
21.22 - 21.48
Swing Low
20.71
Swing High
22.39
Click chart to open full size</t>
        </is>
      </c>
      <c r="P85" t="inlineStr">
        <is>
          <t>agent_results\charts\market_lens_agent_20260608_013140_hst.png</t>
        </is>
      </c>
      <c r="Q85" t="inlineStr">
        <is>
          <t>Smart Universe: broad liquid US universe, diversified by sector | Sector: Real Estate - Strong (70/100); XLRE sector regime is strong: 4.7% 3m return, -4.3% vs SPY | Setup: No Trade; score 0.00; R/R 0.00x; price 24.62 | Market: NEUTRAL; Sector regime: STRONG; Net R/R: 0.00; Factors: Real Estate | Agent action: SKIP - SKIP: No Trade result. Market regime NEUTRAL; sector STRONG; net R/R 0.00.</t>
        </is>
      </c>
      <c r="R85" t="inlineStr">
        <is>
          <t>{"adjusted_cash_out": 0.0, "adjusted_position_size": 0, "adjusted_risk_amount": 0.0, "ask": 0.0, "bid": 0.0, "buy_zone_high": null, "buy_zone_low": null, "cash_available": 100000.0, "company_name": "Host Hotels &amp; Resorts", "correlation_warning": false, "days_to_earnings": 37, "earnings_blackout": false, "earnings_date": "2026-07-29T00:00:00", "estimated_fees": 0.0, "estimated_slippage": 0.0739, "estimated_spread": 0.0197, "executable_entry": 24.62, "execution_liquidity_bucket": "mid_liquid", "factor_exposure_after": {}, "factor_exposure_before": {}, "factor_exposure_cap": 7000.0, "factor_exposure_limit_exceeded": false, "factor_tags": ["Real Estate"], "final_action": "SKIP", "gross_reward_1_per_share": 0.0, "gross_reward_2_per_share": 0.0, "gross_risk_per_share": 24.62, "gross_rr": 0.0, "gross_rr_1": 0.0, "gross_rr_2": 0.0, "gross_rr_decision": 0.0, "highest_correlation_ticker": "", "highest_correlation_value": null, "initial_action": "SKIP", "market_cap": 16861728472.99,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24.6668, "net_reward_1_per_share": 0.0, "net_reward_2_per_share": 0.0, "net_risk_per_share": 24.7136, "net_rr": 0.0, "net_rr_1": 0.0, "net_rr_2": 0.0, "net_stop_assumption": -0.0468, "net_target_1_assumption": -0.0283, "net_target_2_assumption": -0.0283, "normalized_atr_score": 100.0, "normalized_liquidity_score": 26.55, "normalized_momentum_score": 100, "normalized_quality_score": 77.97,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24.62,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24.62, "ticker": "HST", "timestamp": "2026-06-08T01:37:33", "warnings": ["Target ATR feasibility unavailable."]}</t>
        </is>
      </c>
    </row>
    <row r="86">
      <c r="A86" t="inlineStr">
        <is>
          <t>2026-06-08T01:37:33</t>
        </is>
      </c>
      <c r="B86" t="inlineStr">
        <is>
          <t>MPC</t>
        </is>
      </c>
      <c r="C86" t="inlineStr">
        <is>
          <t>No Trade</t>
        </is>
      </c>
      <c r="D86" t="n">
        <v>0</v>
      </c>
      <c r="E86" t="n">
        <v>262.01</v>
      </c>
      <c r="H86" t="n">
        <v>0</v>
      </c>
      <c r="K86" t="n">
        <v>0</v>
      </c>
      <c r="L86" t="inlineStr">
        <is>
          <t>No clean technical setup detected. Price in middle of value area or poor risk/reward.</t>
        </is>
      </c>
      <c r="M86" t="inlineStr">
        <is>
          <t>SKIP</t>
        </is>
      </c>
      <c r="N86" t="inlineStr">
        <is>
          <t>SKIP: No Trade result. Market regime NEUTRAL; sector NEUTRAL; net R/R 0.00.</t>
        </is>
      </c>
      <c r="O86" t="inlineStr">
        <is>
          <t>MPC
No Trade
0.00
score
Price
262.01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245.05
Fib Zone
242.88 - 247.22
Swing Low
233.25
Swing High
264.14
Click chart to open full size</t>
        </is>
      </c>
      <c r="P86" t="inlineStr">
        <is>
          <t>agent_results\charts\market_lens_agent_20260608_013140_mpc.png</t>
        </is>
      </c>
      <c r="Q86" t="inlineStr">
        <is>
          <t>Smart Universe: broad liquid US universe, diversified by sector | Sector: Energy - Neutral (48/100); XLE sector regime is neutral: 3.1% 3m return, -6.0% vs SPY | Setup: No Trade; score 0.00; R/R 0.00x; price 262.01 | Market: NEUTRAL; Sector regime: NEUTRAL; Net R/R: 0.00; Factors: Energy | Agent action: SKIP - SKIP: No Trade result. Market regime NEUTRAL; sector NEUTRAL; net R/R 0.00.</t>
        </is>
      </c>
      <c r="R86" t="inlineStr">
        <is>
          <t>{"adjusted_cash_out": 0.0, "adjusted_position_size": 0, "adjusted_risk_amount": 0.0, "ask": 0.0, "bid": 0.0, "buy_zone_high": null, "buy_zone_low": null, "cash_available": 100000.0, "company_name": "Marathon Petroleum Corporation", "correlation_warning": false, "days_to_earnings": 41, "earnings_blackout": false, "earnings_date": "2026-08-04T00:00:00", "estimated_fees": 0.0, "estimated_slippage": 0.3668, "estimated_spread": 0.0786, "executable_entry": 262.01, "execution_liquidity_bucket": "large_liquid", "factor_exposure_after": {}, "factor_exposure_before": {}, "factor_exposure_cap": 7000.0, "factor_exposure_limit_exceeded": false, "factor_tags": ["Energy"], "final_action": "SKIP", "gross_reward_1_per_share": 0.0, "gross_reward_2_per_share": 0.0, "gross_risk_per_share": 262.01, "gross_rr": 0.0, "gross_rr_1": 0.0, "gross_rr_2": 0.0, "gross_rr_decision": 0.0, "highest_correlation_ticker": "", "highest_correlation_value": null, "initial_action": "SKIP", "market_cap": 76490320587.29,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262.2327, "net_reward_1_per_share": 0.0, "net_reward_2_per_share": 0.0, "net_risk_per_share": 262.4554, "net_rr": 0.0, "net_rr_1": 0.0, "net_rr_2": 0.0, "net_stop_assumption": -0.2227, "net_target_1_assumption": -0.131, "net_target_2_assumption": -0.131, "normalized_atr_score": 100.0, "normalized_liquidity_score": 52.86, "normalized_momentum_score": 100, "normalized_quality_score": 85.86,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262.01,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262.01, "ticker": "MPC", "timestamp": "2026-06-08T01:37:33", "warnings": ["Target ATR feasibility unavailable."]}</t>
        </is>
      </c>
    </row>
    <row r="87">
      <c r="A87" t="inlineStr">
        <is>
          <t>2026-06-08T01:37:33</t>
        </is>
      </c>
      <c r="B87" t="inlineStr">
        <is>
          <t>VLO</t>
        </is>
      </c>
      <c r="C87" t="inlineStr">
        <is>
          <t>No Trade</t>
        </is>
      </c>
      <c r="D87" t="n">
        <v>0</v>
      </c>
      <c r="E87" t="n">
        <v>255.82</v>
      </c>
      <c r="H87" t="n">
        <v>0</v>
      </c>
      <c r="K87" t="n">
        <v>0</v>
      </c>
      <c r="L87" t="inlineStr">
        <is>
          <t>No clean technical setup detected. Price in middle of value area or poor risk/reward.</t>
        </is>
      </c>
      <c r="M87" t="inlineStr">
        <is>
          <t>SKIP</t>
        </is>
      </c>
      <c r="N87" t="inlineStr">
        <is>
          <t>SKIP: No Trade result. Market regime NEUTRAL; sector NEUTRAL; net R/R 0.00.</t>
        </is>
      </c>
      <c r="O87" t="inlineStr">
        <is>
          <t>VLO
No Trade
0.00
score
Price
255.82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237.85 - 242.25
Swing Low
226.18
Swing High
262.50
Click chart to open full size</t>
        </is>
      </c>
      <c r="P87" t="inlineStr">
        <is>
          <t>agent_results\charts\market_lens_agent_20260608_013140_vlo.png</t>
        </is>
      </c>
      <c r="Q87" t="inlineStr">
        <is>
          <t>Smart Universe: broad liquid US universe, diversified by sector | Sector: Energy - Neutral (48/100); XLE sector regime is neutral: 3.1% 3m return, -6.0% vs SPY | Setup: No Trade; score 0.00; R/R 0.00x; price 255.82 | Market: NEUTRAL; Sector regime: NEUTRAL; Net R/R: 0.00; Factors: Energy | Agent action: SKIP - SKIP: No Trade result. Market regime NEUTRAL; sector NEUTRAL; net R/R 0.00.</t>
        </is>
      </c>
      <c r="R87" t="inlineStr">
        <is>
          <t>{"adjusted_cash_out": 0.0, "adjusted_position_size": 0, "adjusted_risk_amount": 0.0, "ask": 0.0, "bid": 0.0, "buy_zone_high": null, "buy_zone_low": null, "cash_available": 100000.0, "company_name": "Valero Energy Corporation", "correlation_warning": false, "days_to_earnings": 38, "earnings_blackout": false, "earnings_date": "2026-07-30T00:00:00", "estimated_fees": 0.0, "estimated_slippage": 0.3581, "estimated_spread": 0.0767, "executable_entry": 255.82, "execution_liquidity_bucket": "large_liquid", "factor_exposure_after": {}, "factor_exposure_before": {}, "factor_exposure_cap": 7000.0, "factor_exposure_limit_exceeded": false, "factor_tags": ["Energy"], "final_action": "SKIP", "gross_reward_1_per_share": 0.0, "gross_reward_2_per_share": 0.0, "gross_risk_per_share": 255.82, "gross_rr": 0.0, "gross_rr_1": 0.0, "gross_rr_2": 0.0, "gross_rr_decision": 0.0, "highest_correlation_ticker": "", "highest_correlation_value": null, "initial_action": "SKIP", "market_cap": 75961346466.04,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256.0374, "net_reward_1_per_share": 0.0, "net_reward_2_per_share": 0.0, "net_risk_per_share": 256.2549, "net_rr": 0.0, "net_rr_1": 0.0, "net_rr_2": 0.0, "net_stop_assumption": -0.2174, "net_target_1_assumption": -0.1279, "net_target_2_assumption": -0.1279, "normalized_atr_score": 100.0, "normalized_liquidity_score": 57.08, "normalized_momentum_score": 100, "normalized_quality_score": 87.12,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255.82,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255.82, "ticker": "VLO", "timestamp": "2026-06-08T01:37:33", "warnings": ["Target ATR feasibility unavailable."]}</t>
        </is>
      </c>
    </row>
    <row r="88">
      <c r="A88" t="inlineStr">
        <is>
          <t>2026-06-08T01:37:33</t>
        </is>
      </c>
      <c r="B88" t="inlineStr">
        <is>
          <t>AMH</t>
        </is>
      </c>
      <c r="C88" t="inlineStr">
        <is>
          <t>No Trade</t>
        </is>
      </c>
      <c r="D88" t="n">
        <v>0</v>
      </c>
      <c r="E88" t="n">
        <v>33.27</v>
      </c>
      <c r="H88" t="n">
        <v>0</v>
      </c>
      <c r="K88" t="n">
        <v>0</v>
      </c>
      <c r="L88" t="inlineStr">
        <is>
          <t>No clean technical setup detected. Price in middle of value area or poor risk/reward.</t>
        </is>
      </c>
      <c r="M88" t="inlineStr">
        <is>
          <t>SKIP</t>
        </is>
      </c>
      <c r="N88" t="inlineStr">
        <is>
          <t>SKIP: No Trade result. Market regime NEUTRAL; sector STRONG; net R/R 0.00.</t>
        </is>
      </c>
      <c r="O88" t="inlineStr">
        <is>
          <t>AMH
No Trade
0.00
score
Price
33.27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28.57 - 28.89
Swing Low
27.22
Swing High
31.18
Click chart to open full size</t>
        </is>
      </c>
      <c r="P88" t="inlineStr">
        <is>
          <t>agent_results\charts\market_lens_agent_20260608_013140_amh.png</t>
        </is>
      </c>
      <c r="Q88" t="inlineStr">
        <is>
          <t>Smart Universe: broad liquid US universe, diversified by sector | Sector: Real Estate - Strong (70/100); XLRE sector regime is strong: 4.7% 3m return, -4.3% vs SPY | Setup: No Trade; score 0.00; R/R 0.00x; price 33.27 | Market: NEUTRAL; Sector regime: STRONG; Net R/R: 0.00; Factors: Real Estate | Agent action: SKIP - SKIP: No Trade result. Market regime NEUTRAL; sector STRONG; net R/R 0.00.</t>
        </is>
      </c>
      <c r="R88" t="inlineStr">
        <is>
          <t>{"adjusted_cash_out": 0.0, "adjusted_position_size": 0, "adjusted_risk_amount": 0.0, "ask": 0.0, "bid": 0.0, "buy_zone_high": null, "buy_zone_low": null, "cash_available": 100000.0, "company_name": "American Homes 4 Rent Common Shares of Beneficial Interest", "correlation_warning": false, "days_to_earnings": 38, "earnings_blackout": false, "earnings_date": "2026-07-30T00:00:00", "estimated_fees": 0.0, "estimated_slippage": 0.0998, "estimated_spread": 0.0266, "executable_entry": 33.27, "execution_liquidity_bucket": "mid_liquid", "factor_exposure_after": {}, "factor_exposure_before": {}, "factor_exposure_cap": 7000.0, "factor_exposure_limit_exceeded": false, "factor_tags": ["Real Estate"], "final_action": "SKIP", "gross_reward_1_per_share": 0.0, "gross_reward_2_per_share": 0.0, "gross_risk_per_share": 33.27, "gross_rr": 0.0, "gross_rr_1": 0.0, "gross_rr_2": 0.0, "gross_rr_decision": 0.0, "highest_correlation_ticker": "", "highest_correlation_value": null, "initial_action": "SKIP", "market_cap": 11997015510.91,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33.3332, "net_reward_1_per_share": 0.0, "net_reward_2_per_share": 0.0, "net_risk_per_share": 33.3964, "net_rr": 0.0, "net_rr_1": 0.0, "net_rr_2": 0.0, "net_stop_assumption": -0.0632, "net_target_1_assumption": -0.0383, "net_target_2_assumption": -0.0383, "normalized_atr_score": 100.0, "normalized_liquidity_score": 17.57, "normalized_momentum_score": 99.67, "normalized_quality_score": 75.12,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33.27,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33.27, "ticker": "AMH", "timestamp": "2026-06-08T01:37:33", "warnings": ["Target ATR feasibility unavailable."]}</t>
        </is>
      </c>
    </row>
    <row r="89">
      <c r="A89" t="inlineStr">
        <is>
          <t>2026-06-08T01:37:33</t>
        </is>
      </c>
      <c r="B89" t="inlineStr">
        <is>
          <t>LAMR</t>
        </is>
      </c>
      <c r="C89" t="inlineStr">
        <is>
          <t>No Trade</t>
        </is>
      </c>
      <c r="D89" t="n">
        <v>0</v>
      </c>
      <c r="E89" t="n">
        <v>151.42</v>
      </c>
      <c r="H89" t="n">
        <v>0</v>
      </c>
      <c r="K89" t="n">
        <v>0</v>
      </c>
      <c r="L89" t="inlineStr">
        <is>
          <t>No clean technical setup detected. Price in middle of value area or poor risk/reward.</t>
        </is>
      </c>
      <c r="M89" t="inlineStr">
        <is>
          <t>SKIP</t>
        </is>
      </c>
      <c r="N89" t="inlineStr">
        <is>
          <t>SKIP: No Trade result. Market regime NEUTRAL; sector STRONG; net R/R 0.00.</t>
        </is>
      </c>
      <c r="O89" t="inlineStr">
        <is>
          <t>LAMR
No Trade
0.00
score
Price
151.42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148.26
Fib Zone
147.52 - 149.00
Swing Low
144.11
Swing High
154.97
Click chart to open full size</t>
        </is>
      </c>
      <c r="P89" t="inlineStr">
        <is>
          <t>agent_results\charts\market_lens_agent_20260608_013140_lamr.png</t>
        </is>
      </c>
      <c r="Q89" t="inlineStr">
        <is>
          <t>Smart Universe: broad liquid US universe, diversified by sector | Sector: Real Estate - Strong (70/100); XLRE sector regime is strong: 4.7% 3m return, -4.3% vs SPY | Setup: No Trade; score 0.00; R/R 0.00x; price 151.42 | Market: NEUTRAL; Sector regime: STRONG; Net R/R: 0.00; Factors: Real Estate | Agent action: SKIP - SKIP: No Trade result. Market regime NEUTRAL; sector STRONG; net R/R 0.00.</t>
        </is>
      </c>
      <c r="R89" t="inlineStr">
        <is>
          <t>{"adjusted_cash_out": 0.0, "adjusted_position_size": 0, "adjusted_risk_amount": 0.0, "ask": 0.0, "bid": 0.0, "buy_zone_high": null, "buy_zone_low": null, "cash_available": 100000.0, "company_name": "Lamar Advertising Company", "correlation_warning": false, "days_to_earnings": 44, "earnings_blackout": false, "earnings_date": "2026-08-07T00:00:00", "estimated_fees": 0.0, "estimated_slippage": 0.4543, "estimated_spread": 0.1211, "executable_entry": 151.42, "execution_liquidity_bucket": "mid_liquid", "factor_exposure_after": {}, "factor_exposure_before": {}, "factor_exposure_cap": 7000.0, "factor_exposure_limit_exceeded": false, "factor_tags": ["Real Estate"], "final_action": "SKIP", "gross_reward_1_per_share": 0.0, "gross_reward_2_per_share": 0.0, "gross_risk_per_share": 151.42, "gross_rr": 0.0, "gross_rr_1": 0.0, "gross_rr_2": 0.0, "gross_rr_decision": 0.0, "highest_correlation_ticker": "", "highest_correlation_value": null, "initial_action": "SKIP", "market_cap": 15365359607.61,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151.7077, "net_reward_1_per_share": 0.0, "net_reward_2_per_share": 0.0, "net_risk_per_share": 151.9954, "net_rr": 0.0, "net_rr_1": 0.0, "net_rr_2": 0.0, "net_stop_assumption": -0.2877, "net_target_1_assumption": -0.1741, "net_target_2_assumption": -0.1741, "normalized_atr_score": 100.0, "normalized_liquidity_score": 16.68, "normalized_momentum_score": 90.76, "normalized_quality_score": 70.85,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151.42,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151.42, "ticker": "LAMR", "timestamp": "2026-06-08T01:37:33", "warnings": ["Target ATR feasibility unavailable."]}</t>
        </is>
      </c>
    </row>
    <row r="90">
      <c r="A90" t="inlineStr">
        <is>
          <t>2026-06-08T01:37:33</t>
        </is>
      </c>
      <c r="B90" t="inlineStr">
        <is>
          <t>IRM</t>
        </is>
      </c>
      <c r="C90" t="inlineStr">
        <is>
          <t>No Trade</t>
        </is>
      </c>
      <c r="D90" t="n">
        <v>0</v>
      </c>
      <c r="E90" t="n">
        <v>124.66</v>
      </c>
      <c r="H90" t="n">
        <v>0</v>
      </c>
      <c r="K90" t="n">
        <v>0</v>
      </c>
      <c r="L90" t="inlineStr">
        <is>
          <t>No clean technical setup detected. Price in middle of value area or poor risk/reward.</t>
        </is>
      </c>
      <c r="M90" t="inlineStr">
        <is>
          <t>SKIP</t>
        </is>
      </c>
      <c r="N90" t="inlineStr">
        <is>
          <t>SKIP: No Trade result. Market regime NEUTRAL; sector STRONG; net R/R 0.00.</t>
        </is>
      </c>
      <c r="O90" t="inlineStr">
        <is>
          <t>IRM
No Trade
0.00
score
Price
124.66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119.20
Fib Zone
118.31 - 120.10
Swing Low
110.00
Swing High
134.09
Click chart to open full size</t>
        </is>
      </c>
      <c r="P90" t="inlineStr">
        <is>
          <t>agent_results\charts\market_lens_agent_20260608_013140_irm.png</t>
        </is>
      </c>
      <c r="Q90" t="inlineStr">
        <is>
          <t>Smart Universe: broad liquid US universe, diversified by sector | Sector: Real Estate - Strong (70/100); XLRE sector regime is strong: 4.7% 3m return, -4.3% vs SPY | Setup: No Trade; score 0.00; R/R 0.00x; price 124.66 | Market: NEUTRAL; Sector regime: STRONG; Net R/R: 0.00; Factors: Real Estate | Agent action: SKIP - SKIP: No Trade result. Market regime NEUTRAL; sector STRONG; net R/R 0.00.</t>
        </is>
      </c>
      <c r="R90" t="inlineStr">
        <is>
          <t>{"adjusted_cash_out": 0.0, "adjusted_position_size": 0, "adjusted_risk_amount": 0.0, "ask": 0.0, "bid": 0.0, "buy_zone_high": null, "buy_zone_low": null, "cash_available": 100000.0, "company_name": "Iron Mountain", "correlation_warning": false, "days_to_earnings": -26, "earnings_blackout": false, "earnings_date": "2026-04-30T00:00:00", "estimated_fees": 0.0, "estimated_slippage": 0.374, "estimated_spread": 0.0997, "executable_entry": 124.66, "execution_liquidity_bucket": "mid_liquid", "factor_exposure_after": {}, "factor_exposure_before": {}, "factor_exposure_cap": 7000.0, "factor_exposure_limit_exceeded": false, "factor_tags": ["Real Estate"], "final_action": "SKIP", "gross_reward_1_per_share": 0.0, "gross_reward_2_per_share": 0.0, "gross_risk_per_share": 124.66, "gross_rr": 0.0, "gross_rr_1": 0.0, "gross_rr_2": 0.0, "gross_rr_decision": 0.0, "highest_correlation_ticker": "", "highest_correlation_value": null, "initial_action": "SKIP", "market_cap": 37089427823.03,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124.8969, "net_reward_1_per_share": 0.0, "net_reward_2_per_share": 0.0, "net_risk_per_share": 125.1337, "net_rr": 0.0, "net_rr_1": 0.0, "net_rr_2": 0.0, "net_stop_assumption": -0.2369, "net_target_1_assumption": -0.1434, "net_target_2_assumption": -0.1434, "normalized_atr_score": 100.0, "normalized_liquidity_score": 24.67, "normalized_momentum_score": 100, "normalized_quality_score": 77.4,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124.66,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124.66, "ticker": "IRM", "timestamp": "2026-06-08T01:37:33", "warnings": ["Target ATR feasibility unavailable."]}</t>
        </is>
      </c>
    </row>
    <row r="91">
      <c r="A91" t="inlineStr">
        <is>
          <t>2026-06-08T01:37:33</t>
        </is>
      </c>
      <c r="B91" t="inlineStr">
        <is>
          <t>ETN</t>
        </is>
      </c>
      <c r="C91" t="inlineStr">
        <is>
          <t>No Trade</t>
        </is>
      </c>
      <c r="D91" t="n">
        <v>0</v>
      </c>
      <c r="E91" t="n">
        <v>395.94</v>
      </c>
      <c r="H91" t="n">
        <v>0</v>
      </c>
      <c r="K91" t="n">
        <v>0</v>
      </c>
      <c r="L91" t="inlineStr">
        <is>
          <t>No clean technical setup detected. Price in middle of value area or poor risk/reward.</t>
        </is>
      </c>
      <c r="M91" t="inlineStr">
        <is>
          <t>SKIP</t>
        </is>
      </c>
      <c r="N91" t="inlineStr">
        <is>
          <t>SKIP: No Trade result. Market regime NEUTRAL; sector NEUTRAL; net R/R 0.00.</t>
        </is>
      </c>
      <c r="O91" t="inlineStr">
        <is>
          <t>ETN
No Trade
0.00
score
Price
395.94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376.65
Fib Zone
372.93 - 380.37
Swing Low
341.06
Swing High
434.23
Click chart to open full size</t>
        </is>
      </c>
      <c r="P91" t="inlineStr">
        <is>
          <t>agent_results\charts\market_lens_agent_20260608_013140_etn.png</t>
        </is>
      </c>
      <c r="Q91" t="inlineStr">
        <is>
          <t>Smart Universe: broad liquid US universe, diversified by sector | Sector: Industrials - Neutral (67/100); XLI sector regime is neutral: 2.2% 3m return, -6.9% vs SPY | Setup: No Trade; score 0.00; R/R 0.00x; price 395.94 | Market: NEUTRAL; Sector regime: NEUTRAL; Net R/R: 0.00; Factors: Industrials | Agent action: SKIP - SKIP: No Trade result. Market regime NEUTRAL; sector NEUTRAL; net R/R 0.00.</t>
        </is>
      </c>
      <c r="R91" t="inlineStr">
        <is>
          <t>{"adjusted_cash_out": 0.0, "adjusted_position_size": 0, "adjusted_risk_amount": 0.0, "ask": 0.0, "bid": 0.0, "buy_zone_high": null, "buy_zone_low": null, "cash_available": 100000.0, "company_name": "Eaton Corporation plc", "correlation_warning": false, "days_to_earnings": 41, "earnings_blackout": false, "earnings_date": "2026-08-04T00:00:00", "estimated_fees": 0.0, "estimated_slippage": 0.5543, "estimated_spread": 0.1188, "executable_entry": 395.94, "execution_liquidity_bucket": "large_liquid", "factor_exposure_after": {}, "factor_exposure_before": {}, "factor_exposure_cap": 7000.0, "factor_exposure_limit_exceeded": false, "factor_tags": ["Industrials"], "final_action": "SKIP", "gross_reward_1_per_share": 0.0, "gross_reward_2_per_share": 0.0, "gross_risk_per_share": 395.94, "gross_rr": 0.0, "gross_rr_1": 0.0, "gross_rr_2": 0.0, "gross_rr_decision": 0.0, "highest_correlation_ticker": "", "highest_correlation_value": null, "initial_action": "SKIP", "market_cap": 153743502948.0,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396.2765, "net_reward_1_per_share": 0.0, "net_reward_2_per_share": 0.0, "net_risk_per_share": 396.6131, "net_rr": 0.0, "net_rr_1": 0.0, "net_rr_2": 0.0, "net_stop_assumption": -0.3365, "net_target_1_assumption": -0.198, "net_target_2_assumption": -0.198, "normalized_atr_score": 100.0, "normalized_liquidity_score": 67.34, "normalized_momentum_score": 89.3, "normalized_quality_score": 85.39,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395.94,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395.94, "ticker": "ETN", "timestamp": "2026-06-08T01:37:33", "warnings": ["Target ATR feasibility unavailable."]}</t>
        </is>
      </c>
    </row>
    <row r="92">
      <c r="A92" t="inlineStr">
        <is>
          <t>2026-06-08T01:37:33</t>
        </is>
      </c>
      <c r="B92" t="inlineStr">
        <is>
          <t>SBAC</t>
        </is>
      </c>
      <c r="C92" t="inlineStr">
        <is>
          <t>No Trade</t>
        </is>
      </c>
      <c r="D92" t="n">
        <v>0</v>
      </c>
      <c r="E92" t="n">
        <v>208.02</v>
      </c>
      <c r="H92" t="n">
        <v>0</v>
      </c>
      <c r="K92" t="n">
        <v>0</v>
      </c>
      <c r="L92" t="inlineStr">
        <is>
          <t>No clean technical setup detected. Price in middle of value area or poor risk/reward.</t>
        </is>
      </c>
      <c r="M92" t="inlineStr">
        <is>
          <t>SKIP</t>
        </is>
      </c>
      <c r="N92" t="inlineStr">
        <is>
          <t>SKIP: No Trade result. Market regime NEUTRAL; sector STRONG; net R/R 0.00.</t>
        </is>
      </c>
      <c r="O92" t="inlineStr">
        <is>
          <t>SBAC
No Trade
0.00
score
Price
208.02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185.00
Fib Zone
183.45 - 186.54
Swing Low
161.43
Swing High
223.11
Click chart to open full size</t>
        </is>
      </c>
      <c r="P92" t="inlineStr">
        <is>
          <t>agent_results\charts\market_lens_agent_20260608_013140_sbac.png</t>
        </is>
      </c>
      <c r="Q92" t="inlineStr">
        <is>
          <t>Smart Universe: broad liquid US universe, diversified by sector | Sector: Real Estate - Strong (70/100); XLRE sector regime is strong: 4.7% 3m return, -4.3% vs SPY | Setup: No Trade; score 0.00; R/R 0.00x; price 208.02 | Market: NEUTRAL; Sector regime: STRONG; Net R/R: 0.00; Factors: Real Estate | Agent action: SKIP - SKIP: No Trade result. Market regime NEUTRAL; sector STRONG; net R/R 0.00.</t>
        </is>
      </c>
      <c r="R92" t="inlineStr">
        <is>
          <t>{"adjusted_cash_out": 0.0, "adjusted_position_size": 0, "adjusted_risk_amount": 0.0, "ask": 0.0, "bid": 0.0, "buy_zone_high": null, "buy_zone_low": null, "cash_available": 100000.0, "company_name": "SBA Communications", "correlation_warning": false, "days_to_earnings": -27, "earnings_blackout": false, "earnings_date": "2026-04-29T00:00:00", "estimated_fees": 0.0, "estimated_slippage": 0.6241, "estimated_spread": 0.1664, "executable_entry": 208.02, "execution_liquidity_bucket": "mid_liquid", "factor_exposure_after": {}, "factor_exposure_before": {}, "factor_exposure_cap": 7000.0, "factor_exposure_limit_exceeded": false, "factor_tags": ["Real Estate"], "final_action": "SKIP", "gross_reward_1_per_share": 0.0, "gross_reward_2_per_share": 0.0, "gross_risk_per_share": 208.02, "gross_rr": 0.0, "gross_rr_1": 0.0, "gross_rr_2": 0.0, "gross_rr_decision": 0.0, "highest_correlation_ticker": "", "highest_correlation_value": null, "initial_action": "SKIP", "market_cap": 22063229249.49,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208.4152, "net_reward_1_per_share": 0.0, "net_reward_2_per_share": 0.0, "net_risk_per_share": 208.8105, "net_rr": 0.0, "net_rr_1": 0.0, "net_rr_2": 0.0, "net_stop_assumption": -0.3952, "net_target_1_assumption": -0.2392, "net_target_2_assumption": -0.2392, "normalized_atr_score": 100.0, "normalized_liquidity_score": 25.07, "normalized_momentum_score": 67.29, "normalized_quality_score": 62.8,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208.02,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208.02, "ticker": "SBAC", "timestamp": "2026-06-08T01:37:33", "warnings": ["Target ATR feasibility unavailable."]}</t>
        </is>
      </c>
    </row>
    <row r="93">
      <c r="A93" t="inlineStr">
        <is>
          <t>2026-06-08T01:37:33</t>
        </is>
      </c>
      <c r="B93" t="inlineStr">
        <is>
          <t>CB</t>
        </is>
      </c>
      <c r="C93" t="inlineStr">
        <is>
          <t>No Trade</t>
        </is>
      </c>
      <c r="D93" t="n">
        <v>0</v>
      </c>
      <c r="E93" t="n">
        <v>326.27</v>
      </c>
      <c r="H93" t="n">
        <v>0</v>
      </c>
      <c r="K93" t="n">
        <v>0</v>
      </c>
      <c r="L93" t="inlineStr">
        <is>
          <t>No clean technical setup detected. Price in middle of value area or poor risk/reward.</t>
        </is>
      </c>
      <c r="M93" t="inlineStr">
        <is>
          <t>SKIP</t>
        </is>
      </c>
      <c r="N93" t="inlineStr">
        <is>
          <t>SKIP: No Trade result. Market regime NEUTRAL; sector STRONG; net R/R 0.00.</t>
        </is>
      </c>
      <c r="O93" t="inlineStr">
        <is>
          <t>CB
No Trade
0.00
score
Price
326.27
R/R
0.00x
Grade
No Trade
Quality
0%
Buy Zone
-
Stop
0.00
Targets
-
Skip
Mixed
Relative Strength
Leadership
100%
Trend Quality
Constructive
58%
Liquidity
Institutional liquidity
100%
Volume
Neutral
50%
No actionable setup detected.
No clean technical setup detected. Price in middle of value area or poor risk/reward.
Fib 61.8
325.36
Fib Zone
323.74 - 326.98
Swing Low
320.00
Swing High
334.03
Click chart to open full size</t>
        </is>
      </c>
      <c r="P93" t="inlineStr">
        <is>
          <t>agent_results\charts\market_lens_agent_20260608_013140_cb.png</t>
        </is>
      </c>
      <c r="Q93" t="inlineStr">
        <is>
          <t>Smart Universe: broad liquid US universe, diversified by sector | Sector: Financials - Strong (70/100); XLF sector regime is strong: 4.4% 3m return, -4.6% vs SPY | Setup: No Trade; score 0.00; R/R 0.00x; price 326.27 | Market: NEUTRAL; Sector regime: STRONG; Net R/R: 0.00; Factors: Financials | Agent action: SKIP - SKIP: No Trade result. Market regime NEUTRAL; sector STRONG; net R/R 0.00.</t>
        </is>
      </c>
      <c r="R93" t="inlineStr">
        <is>
          <t>{"adjusted_cash_out": 0.0, "adjusted_position_size": 0, "adjusted_risk_amount": 0.0, "ask": 0.0, "bid": 0.0, "buy_zone_high": null, "buy_zone_low": null, "cash_available": 100000.0, "company_name": "Chubb Limited", "correlation_warning": false, "days_to_earnings": 36, "earnings_blackout": false, "earnings_date": "2026-07-28T00:00:00", "estimated_fees": 0.0, "estimated_slippage": 0.4568, "estimated_spread": 0.0979, "executable_entry": 326.27, "execution_liquidity_bucket": "large_liquid", "factor_exposure_after": {}, "factor_exposure_before": {}, "factor_exposure_cap": 7000.0, "factor_exposure_limit_exceeded": false, "factor_tags": ["Financials"], "final_action": "SKIP", "gross_reward_1_per_share": 0.0, "gross_reward_2_per_share": 0.0, "gross_risk_per_share": 326.27, "gross_rr": 0.0, "gross_rr_1": 0.0, "gross_rr_2": 0.0, "gross_rr_decision": 0.0, "highest_correlation_ticker": "", "highest_correlation_value": null, "initial_action": "SKIP", "market_cap": 126547112523.46,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326.5473, "net_reward_1_per_share": 0.0, "net_reward_2_per_share": 0.0, "net_risk_per_share": 326.8247, "net_rr": 0.0, "net_rr_1": 0.0, "net_rr_2": 0.0, "net_stop_assumption": -0.2773, "net_target_1_assumption": -0.1631, "net_target_2_assumption": -0.1631, "normalized_atr_score": 100.0, "normalized_liquidity_score": 49.77, "normalized_momentum_score": 55.28, "normalized_quality_score": 64.81,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326.27,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326.27, "ticker": "CB", "timestamp": "2026-06-08T01:37:33", "warnings": ["Target ATR feasibility unavailable."]}</t>
        </is>
      </c>
    </row>
    <row r="94">
      <c r="A94" t="inlineStr">
        <is>
          <t>2026-06-08T01:37:33</t>
        </is>
      </c>
      <c r="B94" t="inlineStr">
        <is>
          <t>BRK-B</t>
        </is>
      </c>
      <c r="C94" t="inlineStr">
        <is>
          <t>No Trade</t>
        </is>
      </c>
      <c r="D94" t="n">
        <v>0</v>
      </c>
      <c r="E94" t="n">
        <v>488.13</v>
      </c>
      <c r="H94" t="n">
        <v>0</v>
      </c>
      <c r="K94" t="n">
        <v>0</v>
      </c>
      <c r="L94" t="inlineStr">
        <is>
          <t>No clean technical setup detected. Price in middle of value area or poor risk/reward.</t>
        </is>
      </c>
      <c r="M94" t="inlineStr">
        <is>
          <t>SKIP</t>
        </is>
      </c>
      <c r="N94" t="inlineStr">
        <is>
          <t>SKIP: No Trade result. Market regime NEUTRAL; sector STRONG; net R/R 0.00.</t>
        </is>
      </c>
      <c r="O94" t="inlineStr">
        <is>
          <t>BRK-B
No Trade
0.00
score
Price
488.13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473.72
Fib Zone
471.94 - 475.50
Swing Low
464.01
Swing High
489.42
Click chart to open full size</t>
        </is>
      </c>
      <c r="P94" t="inlineStr">
        <is>
          <t>agent_results\charts\market_lens_agent_20260608_013140_brk-b.png</t>
        </is>
      </c>
      <c r="Q94" t="inlineStr">
        <is>
          <t>Smart Universe: broad liquid US universe, diversified by sector | Sector: Financials - Strong (70/100); XLF sector regime is strong: 4.4% 3m return, -4.6% vs SPY | Setup: No Trade; score 0.00; R/R 0.00x; price 488.13 | Market: NEUTRAL; Sector regime: STRONG; Net R/R: 0.00; Factors: Financials | Agent action: SKIP - SKIP: No Trade result. Market regime NEUTRAL; sector STRONG; net R/R 0.00.</t>
        </is>
      </c>
      <c r="R94" t="inlineStr">
        <is>
          <t>{"adjusted_cash_out": 0.0, "adjusted_position_size": 0, "adjusted_risk_amount": 0.0, "ask": 0.0, "bid": 0.0, "buy_zone_high": null, "buy_zone_low": null, "cash_available": 100000.0, "company_name": "Berkshire Hathaway Inc.", "correlation_warning": false, "days_to_earnings": 39, "earnings_blackout": false, "earnings_date": "2026-08-01T00:00:00", "estimated_fees": 0.0, "estimated_slippage": 0.6834, "estimated_spread": 0.1464, "executable_entry": 488.13, "execution_liquidity_bucket": "large_liquid", "factor_exposure_after": {}, "factor_exposure_before": {}, "factor_exposure_cap": 7000.0, "factor_exposure_limit_exceeded": false, "factor_tags": ["Financials"], "final_action": "SKIP", "gross_reward_1_per_share": 0.0, "gross_reward_2_per_share": 0.0, "gross_risk_per_share": 488.13, "gross_rr": 0.0, "gross_rr_1": 0.0, "gross_rr_2": 0.0, "gross_rr_decision": 0.0, "highest_correlation_ticker": "", "highest_correlation_value": null, "initial_action": "SKIP", "market_cap": 1052825054461.12,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488.5449, "net_reward_1_per_share": 0.0, "net_reward_2_per_share": 0.0, "net_risk_per_share": 488.9598, "net_rr": 0.0, "net_rr_1": 0.0, "net_rr_2": 0.0, "net_stop_assumption": -0.4149, "net_target_1_assumption": -0.2441, "net_target_2_assumption": -0.2441, "normalized_atr_score": 100.0, "normalized_liquidity_score": 57.88, "normalized_momentum_score": 47.83, "normalized_quality_score": 63.89,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488.13,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488.13, "ticker": "BRK-B", "timestamp": "2026-06-08T01:37:33", "warnings": ["Target ATR feasibility unavailable."]}</t>
        </is>
      </c>
    </row>
    <row r="95">
      <c r="A95" t="inlineStr">
        <is>
          <t>2026-06-08T01:37:33</t>
        </is>
      </c>
      <c r="B95" t="inlineStr">
        <is>
          <t>IT</t>
        </is>
      </c>
      <c r="C95" t="inlineStr">
        <is>
          <t>No Trade</t>
        </is>
      </c>
      <c r="D95" t="n">
        <v>0</v>
      </c>
      <c r="E95" t="n">
        <v>164.02</v>
      </c>
      <c r="H95" t="n">
        <v>0</v>
      </c>
      <c r="K95" t="n">
        <v>0</v>
      </c>
      <c r="L95" t="inlineStr">
        <is>
          <t>No clean technical setup detected. Price in middle of value area or poor risk/reward.</t>
        </is>
      </c>
      <c r="M95" t="inlineStr">
        <is>
          <t>SKIP</t>
        </is>
      </c>
      <c r="N95" t="inlineStr">
        <is>
          <t>SKIP: No Trade result. Market regime NEUTRAL; sector STRONG; net R/R 0.00.</t>
        </is>
      </c>
      <c r="O95" t="inlineStr">
        <is>
          <t>IT
No Trade
0.00
score
Price
164.02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149.73
Fib Zone
147.69 - 151.76
Swing Low
140.56
Swing High
164.56
Click chart to open full size</t>
        </is>
      </c>
      <c r="P95" t="inlineStr">
        <is>
          <t>agent_results\charts\market_lens_agent_20260608_013140_it.png</t>
        </is>
      </c>
      <c r="Q95" t="inlineStr">
        <is>
          <t>Smart Universe: broad liquid US universe, diversified by sector | Sector: Technology - Strong (76/100); XLK sector regime is strong: 29.2% 3m return, 20.1% vs SPY | Setup: No Trade; score 0.00; R/R 0.00x; price 164.02 | Market: NEUTRAL; Sector regime: STRONG; Net R/R: 0.00; Factors: Technology | Agent action: SKIP - SKIP: No Trade result. Market regime NEUTRAL; sector STRONG; net R/R 0.00.</t>
        </is>
      </c>
      <c r="R95" t="inlineStr">
        <is>
          <t>{"adjusted_cash_out": 0.0, "adjusted_position_size": 0, "adjusted_risk_amount": 0.0, "ask": 0.0, "bid": 0.0, "buy_zone_high": null, "buy_zone_low": null, "cash_available": 100000.0, "company_name": "Gartner", "correlation_warning": false, "days_to_earnings": 41, "earnings_blackout": false, "earnings_date": "2026-08-04T00:00:00", "estimated_fees": 0.0, "estimated_slippage": 0.4921, "estimated_spread": 0.1312, "executable_entry": 164.02, "execution_liquidity_bucket": "mid_liquid", "factor_exposure_after": {}, "factor_exposure_before": {}, "factor_exposure_cap": 7000.0, "factor_exposure_limit_exceeded": false, "factor_tags": ["Technology"], "final_action": "SKIP", "gross_reward_1_per_share": 0.0, "gross_reward_2_per_share": 0.0, "gross_risk_per_share": 164.02, "gross_rr": 0.0, "gross_rr_1": 0.0, "gross_rr_2": 0.0, "gross_rr_decision": 0.0, "highest_correlation_ticker": "", "highest_correlation_value": null, "initial_action": "SKIP", "market_cap": 10981449119.83,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164.3316, "net_reward_1_per_share": 0.0, "net_reward_2_per_share": 0.0, "net_risk_per_share": 164.6433, "net_rr": 0.0, "net_rr_1": 0.0, "net_rr_2": 0.0, "net_stop_assumption": -0.3116, "net_target_1_assumption": -0.1886, "net_target_2_assumption": -0.1886, "normalized_atr_score": 100.0, "normalized_liquidity_score": 34.64, "normalized_momentum_score": 51.77, "normalized_quality_score": 58.69,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164.02,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164.02, "ticker": "IT", "timestamp": "2026-06-08T01:37:33", "warnings": ["Target ATR feasibility unavailable."]}</t>
        </is>
      </c>
    </row>
    <row r="96">
      <c r="A96" t="inlineStr">
        <is>
          <t>2026-06-08T01:37:33</t>
        </is>
      </c>
      <c r="B96" t="inlineStr">
        <is>
          <t>JNJ</t>
        </is>
      </c>
      <c r="C96" t="inlineStr">
        <is>
          <t>No Trade</t>
        </is>
      </c>
      <c r="D96" t="n">
        <v>0</v>
      </c>
      <c r="E96" t="n">
        <v>232.77</v>
      </c>
      <c r="H96" t="n">
        <v>0</v>
      </c>
      <c r="K96" t="n">
        <v>0</v>
      </c>
      <c r="L96" t="inlineStr">
        <is>
          <t>No clean technical setup detected. Price in middle of value area or poor risk/reward.</t>
        </is>
      </c>
      <c r="M96" t="inlineStr">
        <is>
          <t>SKIP</t>
        </is>
      </c>
      <c r="N96" t="inlineStr">
        <is>
          <t>SKIP: No Trade result. Market regime NEUTRAL; sector NEUTRAL; net R/R 0.00.</t>
        </is>
      </c>
      <c r="O96" t="inlineStr">
        <is>
          <t>JNJ
No Trade
0.00
score
Price
232.77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223.76 - 225.95
Swing Low
219.11
Swing High
234.15
Click chart to open full size</t>
        </is>
      </c>
      <c r="P96" t="inlineStr">
        <is>
          <t>agent_results\charts\market_lens_agent_20260608_013140_jnj.png</t>
        </is>
      </c>
      <c r="Q96" t="inlineStr">
        <is>
          <t>Smart Universe: broad liquid US universe, diversified by sector | Sector: Healthcare - Neutral (66/100); XLV sector regime is neutral: -0.4% 3m return, -9.4% vs SPY | Setup: No Trade; score 0.00; R/R 0.00x; price 232.77 | Market: NEUTRAL; Sector regime: NEUTRAL; Net R/R: 0.00; Factors: Defensive, Healthcare | Agent action: SKIP - SKIP: No Trade result. Market regime NEUTRAL; sector NEUTRAL; net R/R 0.00.</t>
        </is>
      </c>
      <c r="R96" t="inlineStr">
        <is>
          <t>{"adjusted_cash_out": 0.0, "adjusted_position_size": 0, "adjusted_risk_amount": 0.0, "ask": 0.0, "bid": 0.0, "buy_zone_high": null, "buy_zone_low": null, "cash_available": 100000.0, "company_name": "Johnson &amp; Johnson", "correlation_warning": false, "days_to_earnings": 27, "earnings_blackout": false, "earnings_date": "2026-07-15T00:00:00", "estimated_fees": 0.0, "estimated_slippage": 0.3259, "estimated_spread": 0.0698, "executable_entry": 232.77,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232.77, "gross_rr": 0.0, "gross_rr_1": 0.0, "gross_rr_2": 0.0, "gross_rr_decision": 0.0, "highest_correlation_ticker": "", "highest_correlation_value": null, "initial_action": "SKIP", "market_cap": 560327904624.41,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232.9679, "net_reward_1_per_share": 0.0, "net_reward_2_per_share": 0.0, "net_risk_per_share": 233.1657, "net_rr": 0.0, "net_rr_1": 0.0, "net_rr_2": 0.0, "net_stop_assumption": -0.1979, "net_target_1_assumption": -0.1164, "net_target_2_assumption": -0.1164, "normalized_atr_score": 100.0, "normalized_liquidity_score": 48.96, "normalized_momentum_score": 45.75, "normalized_quality_score": 60.28,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232.77,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232.77, "ticker": "JNJ", "timestamp": "2026-06-08T01:37:33", "warnings": ["Target ATR feasibility unavailable."]}</t>
        </is>
      </c>
    </row>
    <row r="97">
      <c r="A97" t="inlineStr">
        <is>
          <t>2026-06-08T01:37:33</t>
        </is>
      </c>
      <c r="B97" t="inlineStr">
        <is>
          <t>GD</t>
        </is>
      </c>
      <c r="C97" t="inlineStr">
        <is>
          <t>No Trade</t>
        </is>
      </c>
      <c r="D97" t="n">
        <v>0</v>
      </c>
      <c r="E97" t="n">
        <v>346.44</v>
      </c>
      <c r="H97" t="n">
        <v>0</v>
      </c>
      <c r="K97" t="n">
        <v>0</v>
      </c>
      <c r="L97" t="inlineStr">
        <is>
          <t>No clean technical setup detected. Price in middle of value area or poor risk/reward.</t>
        </is>
      </c>
      <c r="M97" t="inlineStr">
        <is>
          <t>SKIP</t>
        </is>
      </c>
      <c r="N97" t="inlineStr">
        <is>
          <t>SKIP: No Trade result. Market regime NEUTRAL; sector NEUTRAL; net R/R 0.00.</t>
        </is>
      </c>
      <c r="O97" t="inlineStr">
        <is>
          <t>GD
No Trade
0.00
score
Price
346.44
R/R
0.00x
Grade
No Trade
Quality
0%
Buy Zone
-
Stop
0.00
Targets
-
Skip
Mixed
Relative Strength
In line
47%
Trend Quality
Clean uptrend
86%
Liquidity
Institutional liquidity
100%
Volume
Confirmed
85%
No actionable setup detected.
No clean technical setup detected. Price in middle of value area or poor risk/reward.
Fib 61.8
340.19
Fib Zone
338.55 - 341.84
Swing Low
333.29
Swing High
351.36
Click chart to open full size</t>
        </is>
      </c>
      <c r="P97" t="inlineStr">
        <is>
          <t>agent_results\charts\market_lens_agent_20260608_013140_gd.png</t>
        </is>
      </c>
      <c r="Q97" t="inlineStr">
        <is>
          <t>Smart Universe: broad liquid US universe, diversified by sector | Sector: Industrials - Neutral (67/100); XLI sector regime is neutral: 2.2% 3m return, -6.9% vs SPY | Setup: No Trade; score 0.00; R/R 0.00x; price 346.44 | Market: NEUTRAL; Sector regime: NEUTRAL; Net R/R: 0.00; Factors: Industrials | Agent action: SKIP - SKIP: No Trade result. Market regime NEUTRAL; sector NEUTRAL; net R/R 0.00.</t>
        </is>
      </c>
      <c r="R97" t="inlineStr">
        <is>
          <t>{"adjusted_cash_out": 0.0, "adjusted_position_size": 0, "adjusted_risk_amount": 0.0, "ask": 0.0, "bid": 0.0, "buy_zone_high": null, "buy_zone_low": null, "cash_available": 100000.0, "company_name": "General Dynamics Corporation", "correlation_warning": false, "days_to_earnings": 32, "earnings_blackout": false, "earnings_date": "2026-07-22T00:00:00", "estimated_fees": 0.0, "estimated_slippage": 1.0393, "estimated_spread": 0.2772, "executable_entry": 346.44, "execution_liquidity_bucket": "mid_liquid", "factor_exposure_after": {}, "factor_exposure_before": {}, "factor_exposure_cap": 7000.0, "factor_exposure_limit_exceeded": false, "factor_tags": ["Industrials"], "final_action": "SKIP", "gross_reward_1_per_share": 0.0, "gross_reward_2_per_share": 0.0, "gross_risk_per_share": 346.44, "gross_rr": 0.0, "gross_rr_1": 0.0, "gross_rr_2": 0.0, "gross_rr_decision": 0.0, "highest_correlation_ticker": "", "highest_correlation_value": null, "initial_action": "SKIP", "market_cap": 93687834644.51,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347.0982, "net_reward_1_per_share": 0.0, "net_reward_2_per_share": 0.0, "net_risk_per_share": 347.7565, "net_rr": 0.0, "net_rr_1": 0.0, "net_rr_2": 0.0, "net_stop_assumption": -0.6582, "net_target_1_assumption": -0.3984, "net_target_2_assumption": -0.3984, "normalized_atr_score": 100.0, "normalized_liquidity_score": 39.95, "normalized_momentum_score": 37.08, "normalized_quality_score": 53.67,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346.44,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346.44, "ticker": "GD", "timestamp": "2026-06-08T01:37:33", "warnings": ["Target ATR feasibility unavailable."]}</t>
        </is>
      </c>
    </row>
    <row r="98">
      <c r="A98" t="inlineStr">
        <is>
          <t>2026-06-08T01:37:33</t>
        </is>
      </c>
      <c r="B98" t="inlineStr">
        <is>
          <t>DE</t>
        </is>
      </c>
      <c r="C98" t="inlineStr">
        <is>
          <t>No Trade</t>
        </is>
      </c>
      <c r="D98" t="n">
        <v>0</v>
      </c>
      <c r="E98" t="n">
        <v>583.4400000000001</v>
      </c>
      <c r="H98" t="n">
        <v>0</v>
      </c>
      <c r="K98" t="n">
        <v>0</v>
      </c>
      <c r="L98" t="inlineStr">
        <is>
          <t>No clean technical setup detected. Price in middle of value area or poor risk/reward.</t>
        </is>
      </c>
      <c r="M98" t="inlineStr">
        <is>
          <t>SKIP</t>
        </is>
      </c>
      <c r="N98" t="inlineStr">
        <is>
          <t>SKIP: No Trade result. Market regime NEUTRAL; sector NEUTRAL; net R/R 0.00.</t>
        </is>
      </c>
      <c r="O98" t="inlineStr">
        <is>
          <t>DE
No Trade
0.00
score
Price
583.44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571.60
Fib Zone
567.30 - 575.90
Swing Low
557.76
Swing High
593.98
Click chart to open full size</t>
        </is>
      </c>
      <c r="P98" t="inlineStr">
        <is>
          <t>agent_results\charts\market_lens_agent_20260608_013140_de.png</t>
        </is>
      </c>
      <c r="Q98" t="inlineStr">
        <is>
          <t>Smart Universe: broad liquid US universe, diversified by sector | Sector: Industrials - Neutral (67/100); XLI sector regime is neutral: 2.2% 3m return, -6.9% vs SPY | Setup: No Trade; score 0.00; R/R 0.00x; price 583.44 | Market: NEUTRAL; Sector regime: NEUTRAL; Net R/R: 0.00; Factors: Industrials | Agent action: SKIP - SKIP: No Trade result. Market regime NEUTRAL; sector NEUTRAL; net R/R 0.00.</t>
        </is>
      </c>
      <c r="R98" t="inlineStr">
        <is>
          <t>{"adjusted_cash_out": 0.0, "adjusted_position_size": 0, "adjusted_risk_amount": 0.0, "ask": 0.0, "bid": 0.0, "buy_zone_high": null, "buy_zone_low": null, "cash_available": 100000.0, "company_name": "Deere &amp; Company", "correlation_warning": false, "days_to_earnings": 53, "earnings_blackout": false, "earnings_date": "2026-08-20T00:00:00", "estimated_fees": 0.0, "estimated_slippage": 0.8168, "estimated_spread": 0.175, "executable_entry": 583.44, "execution_liquidity_bucket": "large_liquid", "factor_exposure_after": {}, "factor_exposure_before": {}, "factor_exposure_cap": 7000.0, "factor_exposure_limit_exceeded": false, "factor_tags": ["Industrials"], "final_action": "SKIP", "gross_reward_1_per_share": 0.0, "gross_reward_2_per_share": 0.0, "gross_risk_per_share": 583.44, "gross_rr": 0.0, "gross_rr_1": 0.0, "gross_rr_2": 0.0, "gross_rr_decision": 0.0, "highest_correlation_ticker": "", "highest_correlation_value": null, "initial_action": "SKIP", "market_cap": 157492291901.03,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583.9359, "net_reward_1_per_share": 0.0, "net_reward_2_per_share": 0.0, "net_risk_per_share": 584.4318, "net_rr": 0.0, "net_rr_1": 0.0, "net_rr_2": 0.0, "net_stop_assumption": -0.4959, "net_target_1_assumption": -0.2917, "net_target_2_assumption": -0.2917, "normalized_atr_score": 100.0, "normalized_liquidity_score": 62.19, "normalized_momentum_score": 43.15, "normalized_quality_score": 63.07,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583.44,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583.44, "ticker": "DE", "timestamp": "2026-06-08T01:37:33", "warnings": ["Target ATR feasibility unavailable."]}</t>
        </is>
      </c>
    </row>
    <row r="99">
      <c r="A99" t="inlineStr">
        <is>
          <t>2026-06-08T01:37:33</t>
        </is>
      </c>
      <c r="B99" t="inlineStr">
        <is>
          <t>WFC</t>
        </is>
      </c>
      <c r="C99" t="inlineStr">
        <is>
          <t>No Trade</t>
        </is>
      </c>
      <c r="D99" t="n">
        <v>0</v>
      </c>
      <c r="E99" t="n">
        <v>81.94</v>
      </c>
      <c r="H99" t="n">
        <v>0</v>
      </c>
      <c r="K99" t="n">
        <v>0</v>
      </c>
      <c r="L99" t="inlineStr">
        <is>
          <t>No clean technical setup detected. Price in middle of value area or poor risk/reward.</t>
        </is>
      </c>
      <c r="M99" t="inlineStr">
        <is>
          <t>SKIP</t>
        </is>
      </c>
      <c r="N99" t="inlineStr">
        <is>
          <t>SKIP: No Trade result. Market regime NEUTRAL; sector STRONG; net R/R 0.00.</t>
        </is>
      </c>
      <c r="O99" t="inlineStr">
        <is>
          <t>WFC
No Trade
0.00
score
Price
81.94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77.95 - 78.90
Swing Low
73.61
Swing High
86.21
Click chart to open full size</t>
        </is>
      </c>
      <c r="P99" t="inlineStr">
        <is>
          <t>agent_results\charts\market_lens_agent_20260608_013140_wfc.png</t>
        </is>
      </c>
      <c r="Q99" t="inlineStr">
        <is>
          <t>Smart Universe: broad liquid US universe, diversified by sector | Sector: Financials - Strong (70/100); XLF sector regime is strong: 4.4% 3m return, -4.6% vs SPY | Setup: No Trade; score 0.00; R/R 0.00x; price 81.94 | Market: NEUTRAL; Sector regime: STRONG; Net R/R: 0.00; Factors: Financials | Agent action: SKIP - SKIP: No Trade result. Market regime NEUTRAL; sector STRONG; net R/R 0.00.</t>
        </is>
      </c>
      <c r="R99" t="inlineStr">
        <is>
          <t>{"adjusted_cash_out": 0.0, "adjusted_position_size": 0, "adjusted_risk_amount": 0.0, "ask": 0.0, "bid": 0.0, "buy_zone_high": null, "buy_zone_low": null, "cash_available": 100000.0, "company_name": "Wells Fargo &amp; Company", "correlation_warning": false, "days_to_earnings": 26, "earnings_blackout": false, "earnings_date": "2026-07-14T00:00:00", "estimated_fees": 0.0, "estimated_slippage": 0.1147, "estimated_spread": 0.0246, "executable_entry": 81.94, "execution_liquidity_bucket": "large_liquid", "factor_exposure_after": {}, "factor_exposure_before": {}, "factor_exposure_cap": 7000.0, "factor_exposure_limit_exceeded": false, "factor_tags": ["Financials"], "final_action": "SKIP", "gross_reward_1_per_share": 0.0, "gross_reward_2_per_share": 0.0, "gross_risk_per_share": 81.94, "gross_rr": 0.0, "gross_rr_1": 0.0, "gross_rr_2": 0.0, "gross_rr_decision": 0.0, "highest_correlation_ticker": "", "highest_correlation_value": null, "initial_action": "SKIP", "market_cap": 250751934609.53,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82.0096, "net_reward_1_per_share": 0.0, "net_reward_2_per_share": 0.0, "net_risk_per_share": 82.0793, "net_rr": 0.0, "net_rr_1": 0.0, "net_rr_2": 0.0, "net_stop_assumption": -0.0696, "net_target_1_assumption": -0.041, "net_target_2_assumption": -0.041, "normalized_atr_score": 100.0, "normalized_liquidity_score": 42.84, "normalized_momentum_score": 72.91, "normalized_quality_score": 70.66,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81.94,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81.94, "ticker": "WFC", "timestamp": "2026-06-08T01:37:33", "warnings": ["Target ATR feasibility unavailable."]}</t>
        </is>
      </c>
    </row>
    <row r="100">
      <c r="A100" t="inlineStr">
        <is>
          <t>2026-06-08T01:37:33</t>
        </is>
      </c>
      <c r="B100" t="inlineStr">
        <is>
          <t>AMGN</t>
        </is>
      </c>
      <c r="C100" t="inlineStr">
        <is>
          <t>No Trade</t>
        </is>
      </c>
      <c r="D100" t="n">
        <v>0</v>
      </c>
      <c r="E100" t="n">
        <v>349.58</v>
      </c>
      <c r="H100" t="n">
        <v>0</v>
      </c>
      <c r="K100" t="n">
        <v>0</v>
      </c>
      <c r="L100" t="inlineStr">
        <is>
          <t>No clean technical setup detected. Price in middle of value area or poor risk/reward.</t>
        </is>
      </c>
      <c r="M100" t="inlineStr">
        <is>
          <t>SKIP</t>
        </is>
      </c>
      <c r="N100" t="inlineStr">
        <is>
          <t>SKIP: No Trade result. Market regime NEUTRAL; sector NEUTRAL; net R/R 0.00.</t>
        </is>
      </c>
      <c r="O100" t="inlineStr">
        <is>
          <t>AMGN
No Trade
0.00
score
Price
349.58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327.93
Fib Zone
325.90 - 329.96
Swing Low
318.12
Swing High
343.80
Click chart to open full size</t>
        </is>
      </c>
      <c r="P100" t="inlineStr">
        <is>
          <t>agent_results\charts\market_lens_agent_20260608_013140_amgn.png</t>
        </is>
      </c>
      <c r="Q100" t="inlineStr">
        <is>
          <t>Smart Universe: broad liquid US universe, diversified by sector | Sector: Healthcare - Neutral (66/100); XLV sector regime is neutral: -0.4% 3m return, -9.4% vs SPY | Setup: No Trade; score 0.00; R/R 0.00x; price 349.58 | Market: NEUTRAL; Sector regime: NEUTRAL; Net R/R: 0.00; Factors: Defensive, Healthcare | Agent action: SKIP - SKIP: No Trade result. Market regime NEUTRAL; sector NEUTRAL; net R/R 0.00.</t>
        </is>
      </c>
      <c r="R100" t="inlineStr">
        <is>
          <t>{"adjusted_cash_out": 0.0, "adjusted_position_size": 0, "adjusted_risk_amount": 0.0, "ask": 0.0, "bid": 0.0, "buy_zone_high": null, "buy_zone_low": null, "cash_available": 100000.0, "company_name": "Amgen Inc.", "correlation_warning": false, "days_to_earnings": 41, "earnings_blackout": false, "earnings_date": "2026-08-04T00:00:00", "estimated_fees": 0.0, "estimated_slippage": 0.4894, "estimated_spread": 0.1049, "executable_entry": 349.58, "execution_liquidity_bucket": "large_liquid", "factor_exposure_after": {}, "factor_exposure_before": {}, "factor_exposure_cap": 7000.0, "factor_exposure_limit_exceeded": false, "factor_tags": ["Defensive", "Healthcare"], "final_action": "SKIP", "gross_reward_1_per_share": 0.0, "gross_reward_2_per_share": 0.0, "gross_risk_per_share": 349.58, "gross_rr": 0.0, "gross_rr_1": 0.0, "gross_rr_2": 0.0, "gross_rr_decision": 0.0, "highest_correlation_ticker": "", "highest_correlation_value": null, "initial_action": "SKIP", "market_cap": 188671211177.86,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349.8771, "net_reward_1_per_share": 0.0, "net_reward_2_per_share": 0.0, "net_risk_per_share": 350.1743, "net_rr": 0.0, "net_rr_1": 0.0, "net_rr_2": 0.0, "net_stop_assumption": -0.2971, "net_target_1_assumption": -0.1748, "net_target_2_assumption": -0.1748, "normalized_atr_score": 100.0, "normalized_liquidity_score": 60.83, "normalized_momentum_score": 40.24, "normalized_quality_score": 61.36,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349.58,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349.58, "ticker": "AMGN", "timestamp": "2026-06-08T01:37:33", "warnings": ["Target ATR feasibility unavailable."]}</t>
        </is>
      </c>
    </row>
    <row r="101">
      <c r="A101" t="inlineStr">
        <is>
          <t>2026-06-08T01:37:33</t>
        </is>
      </c>
      <c r="B101" t="inlineStr">
        <is>
          <t>CRM</t>
        </is>
      </c>
      <c r="C101" t="inlineStr">
        <is>
          <t>No Trade</t>
        </is>
      </c>
      <c r="D101" t="n">
        <v>0</v>
      </c>
      <c r="E101" t="n">
        <v>185.66</v>
      </c>
      <c r="H101" t="n">
        <v>0</v>
      </c>
      <c r="K101" t="n">
        <v>0</v>
      </c>
      <c r="L101" t="inlineStr">
        <is>
          <t>No clean technical setup detected. Price in middle of value area or poor risk/reward.</t>
        </is>
      </c>
      <c r="M101" t="inlineStr">
        <is>
          <t>SKIP</t>
        </is>
      </c>
      <c r="N101" t="inlineStr">
        <is>
          <t>SKIP: No Trade result. Market regime NEUTRAL; sector STRONG; net R/R 0.00.</t>
        </is>
      </c>
      <c r="O101" t="inlineStr">
        <is>
          <t>CRM
No Trade
0.00
score
Price
185.66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173.16
Fib Zone
170.76 - 175.56
Swing Low
164.33
Swing High
187.44
Click chart to open full size</t>
        </is>
      </c>
      <c r="P101" t="inlineStr">
        <is>
          <t>agent_results\charts\market_lens_agent_20260608_013140_crm.png</t>
        </is>
      </c>
      <c r="Q101" t="inlineStr">
        <is>
          <t>Smart Universe: broad liquid US universe, diversified by sector | Sector: Technology - Strong (76/100); XLK sector regime is strong: 29.2% 3m return, 20.1% vs SPY | Setup: No Trade; score 0.00; R/R 0.00x; price 185.66 | Market: NEUTRAL; Sector regime: STRONG; Net R/R: 0.00; Factors: Technology | Agent action: SKIP - SKIP: No Trade result. Market regime NEUTRAL; sector STRONG; net R/R 0.00.</t>
        </is>
      </c>
      <c r="R101" t="inlineStr">
        <is>
          <t>{"adjusted_cash_out": 0.0, "adjusted_position_size": 0, "adjusted_risk_amount": 0.0, "ask": 0.0, "bid": 0.0, "buy_zone_high": null, "buy_zone_low": null, "cash_available": 100000.0, "company_name": "Salesforce, Inc.", "correlation_warning": false, "days_to_earnings": 62, "earnings_blackout": false, "earnings_date": "2026-09-02T00:00:00", "estimated_fees": 0.0, "estimated_slippage": 0.2599, "estimated_spread": 0.0557, "executable_entry": 185.66, "execution_liquidity_bucket": "large_liquid", "factor_exposure_after": {}, "factor_exposure_before": {}, "factor_exposure_cap": 7000.0, "factor_exposure_limit_exceeded": false, "factor_tags": ["Technology"], "final_action": "SKIP", "gross_reward_1_per_share": 0.0, "gross_reward_2_per_share": 0.0, "gross_risk_per_share": 185.66, "gross_rr": 0.0, "gross_rr_1": 0.0, "gross_rr_2": 0.0, "gross_rr_decision": 0.0, "highest_correlation_ticker": "", "highest_correlation_value": null, "initial_action": "SKIP", "market_cap": 152055542999.27,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185.8178, "net_reward_1_per_share": 0.0, "net_reward_2_per_share": 0.0, "net_risk_per_share": 185.9756, "net_rr": 0.0, "net_rr_1": 0.0, "net_rr_2": 0.0, "net_stop_assumption": -0.1578, "net_target_1_assumption": -0.0928, "net_target_2_assumption": -0.0928, "normalized_atr_score": 100.0, "normalized_liquidity_score": 98.07, "normalized_momentum_score": 29.03, "normalized_quality_score": 67.48,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185.66,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185.66, "ticker": "CRM", "timestamp": "2026-06-08T01:37:33", "warnings": ["Target ATR feasibility unavailable."]}</t>
        </is>
      </c>
    </row>
    <row r="102">
      <c r="A102" t="inlineStr">
        <is>
          <t>2026-06-08T01:37:33</t>
        </is>
      </c>
      <c r="B102" t="inlineStr">
        <is>
          <t>BLK</t>
        </is>
      </c>
      <c r="C102" t="inlineStr">
        <is>
          <t>No Trade</t>
        </is>
      </c>
      <c r="D102" t="n">
        <v>0</v>
      </c>
      <c r="E102" t="n">
        <v>995.6</v>
      </c>
      <c r="H102" t="n">
        <v>0</v>
      </c>
      <c r="K102" t="n">
        <v>0</v>
      </c>
      <c r="L102" t="inlineStr">
        <is>
          <t>No clean technical setup detected. Price in middle of value area or poor risk/reward.</t>
        </is>
      </c>
      <c r="M102" t="inlineStr">
        <is>
          <t>SKIP</t>
        </is>
      </c>
      <c r="N102" t="inlineStr">
        <is>
          <t>SKIP: No Trade result. Market regime NEUTRAL; sector STRONG; net R/R 0.00.</t>
        </is>
      </c>
      <c r="O102" t="inlineStr">
        <is>
          <t>BLK
No Trade
0.00
score
Price
995.60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1038.79 - 1051.69
Swing Low
1024.42
Swing High
1078.92
Click chart to open full size</t>
        </is>
      </c>
      <c r="P102" t="inlineStr">
        <is>
          <t>agent_results\charts\market_lens_agent_20260608_013140_blk.png</t>
        </is>
      </c>
      <c r="Q102" t="inlineStr">
        <is>
          <t>Smart Universe: broad liquid US universe, diversified by sector | Sector: Financials - Strong (70/100); XLF sector regime is strong: 4.4% 3m return, -4.6% vs SPY | Setup: No Trade; score 0.00; R/R 0.00x; price 995.60 | Market: NEUTRAL; Sector regime: STRONG; Net R/R: 0.00; Factors: Financials | Agent action: SKIP - SKIP: No Trade result. Market regime NEUTRAL; sector STRONG; net R/R 0.00.</t>
        </is>
      </c>
      <c r="R102" t="inlineStr">
        <is>
          <t>{"adjusted_cash_out": 0.0, "adjusted_position_size": 0, "adjusted_risk_amount": 0.0, "ask": 0.0, "bid": 0.0, "buy_zone_high": null, "buy_zone_low": null, "cash_available": 100000.0, "company_name": "BlackRock, Inc.", "correlation_warning": false, "days_to_earnings": 27, "earnings_blackout": false, "earnings_date": "2026-07-15T00:00:00", "estimated_fees": 0.0, "estimated_slippage": 1.3938, "estimated_spread": 0.2987, "executable_entry": 995.6, "execution_liquidity_bucket": "large_liquid", "factor_exposure_after": {}, "factor_exposure_before": {}, "factor_exposure_cap": 7000.0, "factor_exposure_limit_exceeded": false, "factor_tags": ["Financials"], "final_action": "SKIP", "gross_reward_1_per_share": 0.0, "gross_reward_2_per_share": 0.0, "gross_risk_per_share": 995.6, "gross_rr": 0.0, "gross_rr_1": 0.0, "gross_rr_2": 0.0, "gross_rr_decision": 0.0, "highest_correlation_ticker": "", "highest_correlation_value": null, "initial_action": "SKIP", "market_cap": 154550955658.51,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996.4463, "net_reward_1_per_share": 0.0, "net_reward_2_per_share": 0.0, "net_risk_per_share": 997.2925, "net_rr": 0.0, "net_rr_1": 0.0, "net_rr_2": 0.0, "net_stop_assumption": -0.8463, "net_target_1_assumption": -0.4978, "net_target_2_assumption": -0.4978, "normalized_atr_score": 100.0, "normalized_liquidity_score": 57.27, "normalized_momentum_score": 54.58, "normalized_quality_score": 66.74,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995.6,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995.6, "ticker": "BLK", "timestamp": "2026-06-08T01:37:33", "warnings": ["Target ATR feasibility unavailable."]}</t>
        </is>
      </c>
    </row>
    <row r="103">
      <c r="A103" t="inlineStr">
        <is>
          <t>2026-06-08T01:37:33</t>
        </is>
      </c>
      <c r="B103" t="inlineStr">
        <is>
          <t>MDT</t>
        </is>
      </c>
      <c r="C103" t="inlineStr">
        <is>
          <t>No Trade</t>
        </is>
      </c>
      <c r="D103" t="n">
        <v>0</v>
      </c>
      <c r="E103" t="n">
        <v>81.67</v>
      </c>
      <c r="H103" t="n">
        <v>0</v>
      </c>
      <c r="K103" t="n">
        <v>0</v>
      </c>
      <c r="L103" t="inlineStr">
        <is>
          <t>No clean technical setup detected. Price in middle of value area or poor risk/reward.</t>
        </is>
      </c>
      <c r="M103" t="inlineStr">
        <is>
          <t>SKIP</t>
        </is>
      </c>
      <c r="N103" t="inlineStr">
        <is>
          <t>SKIP: No Trade result. Market regime NEUTRAL; sector NEUTRAL; net R/R 0.00.</t>
        </is>
      </c>
      <c r="O103" t="inlineStr">
        <is>
          <t>MDT
No Trade
0.00
score
Price
81.67
R/R
0.00x
Grade
No Trade
Quality
0%
Buy Zone
-
Stop
0.00
Targets
-
Skip
Mixed
Relative Strength
Leadership
100%
Trend Quality
Constructive
58%
Liquidity
Institutional liquidity
100%
Volume
Confirmed
85%
No actionable setup detected.
No clean technical setup detected. Price in middle of value area or poor risk/reward.
Fib 61.8
76.25
Fib Zone
75.75 - 76.75
Swing Low
74.40
Swing High
79.25
Click chart to open full size</t>
        </is>
      </c>
      <c r="P103" t="inlineStr">
        <is>
          <t>agent_results\charts\market_lens_agent_20260608_013140_mdt.png</t>
        </is>
      </c>
      <c r="Q103" t="inlineStr">
        <is>
          <t>Smart Universe: broad liquid US universe, diversified by sector | Sector: Healthcare - Neutral (66/100); XLV sector regime is neutral: -0.4% 3m return, -9.4% vs SPY | Setup: No Trade; score 0.00; R/R 0.00x; price 81.67 | Market: NEUTRAL; Sector regime: NEUTRAL; Net R/R: 0.00; Factors: Defensive, Healthcare | Agent action: SKIP - SKIP: No Trade result. Market regime NEUTRAL; sector NEUTRAL; net R/R 0.00.</t>
        </is>
      </c>
      <c r="R103" t="inlineStr">
        <is>
          <t>{"adjusted_cash_out": 0.0, "adjusted_position_size": 0, "adjusted_risk_amount": 0.0, "ask": 0.0, "bid": 0.0, "buy_zone_high": null, "buy_zone_low": null, "cash_available": 100000.0, "company_name": "Medtronic plc", "correlation_warning": false, "days_to_earnings": 51, "earnings_blackout": false, "earnings_date": "2026-08-18T00:00:00", "estimated_fees": 0.0, "estimated_slippage": 0.1143, "estimated_spread": 0.0245, "executable_entry": 81.67, "execution_liquidity_bucket": "large_liquid", "factor_exposure_after": {}, "factor_exposure_before": {}, "factor_exposure_cap": 7000.0, "factor_exposure_limit_exceeded": false, "factor_tags": ["Defensive", "Healthcare"], "final_action": "SKIP", "gross_reward_1_per_share": 0.0, "gross_reward_2_per_share": 0.0, "gross_risk_per_share": 81.67, "gross_rr": 0.0, "gross_rr_1": 0.0, "gross_rr_2": 0.0, "gross_rr_decision": 0.0, "highest_correlation_ticker": "", "highest_correlation_value": null, "initial_action": "SKIP", "market_cap": 104854882659.02,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81.7394, "net_reward_1_per_share": 0.0, "net_reward_2_per_share": 0.0, "net_risk_per_share": 81.8088, "net_rr": 0.0, "net_rr_1": 0.0, "net_rr_2": 0.0, "net_stop_assumption": -0.0694, "net_target_1_assumption": -0.0408, "net_target_2_assumption": -0.0408, "normalized_atr_score": 100.0, "normalized_liquidity_score": 64.58, "normalized_momentum_score": 26.07, "normalized_quality_score": 56.11,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81.67, "ticker": "MDT", "timestamp": "2026-06-08T01:37:33", "warnings": ["Target ATR feasibility unavailable."]}</t>
        </is>
      </c>
    </row>
    <row r="104">
      <c r="A104" t="inlineStr">
        <is>
          <t>2026-06-08T01:37:33</t>
        </is>
      </c>
      <c r="B104" t="inlineStr">
        <is>
          <t>MA</t>
        </is>
      </c>
      <c r="C104" t="inlineStr">
        <is>
          <t>No Trade</t>
        </is>
      </c>
      <c r="D104" t="n">
        <v>0</v>
      </c>
      <c r="E104" t="n">
        <v>491.08</v>
      </c>
      <c r="H104" t="n">
        <v>0</v>
      </c>
      <c r="K104" t="n">
        <v>0</v>
      </c>
      <c r="L104" t="inlineStr">
        <is>
          <t>No clean technical setup detected. Price in middle of value area or poor risk/reward.</t>
        </is>
      </c>
      <c r="M104" t="inlineStr">
        <is>
          <t>SKIP</t>
        </is>
      </c>
      <c r="N104" t="inlineStr">
        <is>
          <t>SKIP: No Trade result. Market regime NEUTRAL; sector STRONG; net R/R 0.00.</t>
        </is>
      </c>
      <c r="O104" t="inlineStr">
        <is>
          <t>MA
No Trade
0.00
score
Price
491.08
R/R
0.00x
Grade
No Trade
Quality
0%
Buy Zone
-
Stop
0.00
Targets
-
Skip
Mixed
Relative Strength
Leadership
84%
Trend Quality
Messy
0%
Liquidity
Institutional liquidity
100%
Volume
Confirmed
85%
No actionable setup detected.
No clean technical setup detected. Price in middle of value area or poor risk/reward.
Fib 61.8
497.52
Fib Zone
494.61 - 500.43
Swing Low
488.01
Swing High
512.90
Click chart to open full size</t>
        </is>
      </c>
      <c r="P104" t="inlineStr">
        <is>
          <t>agent_results\charts\market_lens_agent_20260608_013140_ma.png</t>
        </is>
      </c>
      <c r="Q104" t="inlineStr">
        <is>
          <t>Smart Universe: broad liquid US universe, diversified by sector | Sector: Financials - Strong (70/100); XLF sector regime is strong: 4.4% 3m return, -4.6% vs SPY | Setup: No Trade; score 0.00; R/R 0.00x; price 491.08 | Market: NEUTRAL; Sector regime: STRONG; Net R/R: 0.00; Factors: Financials | Agent action: SKIP - SKIP: No Trade result. Market regime NEUTRAL; sector STRONG; net R/R 0.00.</t>
        </is>
      </c>
      <c r="R104" t="inlineStr">
        <is>
          <t>{"adjusted_cash_out": 0.0, "adjusted_position_size": 0, "adjusted_risk_amount": 0.0, "ask": 0.0, "bid": 0.0, "buy_zone_high": null, "buy_zone_low": null, "cash_available": 100000.0, "company_name": "Mastercard Incorporated", "correlation_warning": false, "days_to_earnings": 38, "earnings_blackout": false, "earnings_date": "2026-07-30T00:00:00", "estimated_fees": 0.0, "estimated_slippage": 0.6875, "estimated_spread": 0.1473, "executable_entry": 491.08, "execution_liquidity_bucket": "large_liquid", "factor_exposure_after": {}, "factor_exposure_before": {}, "factor_exposure_cap": 7000.0, "factor_exposure_limit_exceeded": false, "factor_tags": ["Financials"], "final_action": "SKIP", "gross_reward_1_per_share": 0.0, "gross_reward_2_per_share": 0.0, "gross_risk_per_share": 491.08, "gross_rr": 0.0, "gross_rr_1": 0.0, "gross_rr_2": 0.0, "gross_rr_decision": 0.0, "highest_correlation_ticker": "", "highest_correlation_value": null, "initial_action": "SKIP", "market_cap": 433910347648.87, "market_cap_bucket": "Mega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491.4974, "net_reward_1_per_share": 0.0, "net_reward_2_per_share": 0.0, "net_risk_per_share": 491.9148, "net_rr": 0.0, "net_rr_1": 0.0, "net_rr_2": 0.0, "net_stop_assumption": -0.4174, "net_target_1_assumption": -0.2455, "net_target_2_assumption": -0.2455, "normalized_atr_score": 100.0, "normalized_liquidity_score": 49.93, "normalized_momentum_score": 28.91, "normalized_quality_score": 52.99,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491.08,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491.08, "ticker": "MA", "timestamp": "2026-06-08T01:37:33", "warnings": ["Target ATR feasibility unavailable."]}</t>
        </is>
      </c>
    </row>
    <row r="105">
      <c r="A105" t="inlineStr">
        <is>
          <t>2026-06-08T01:37:33</t>
        </is>
      </c>
      <c r="B105" t="inlineStr">
        <is>
          <t>EMR</t>
        </is>
      </c>
      <c r="C105" t="inlineStr">
        <is>
          <t>No Trade</t>
        </is>
      </c>
      <c r="D105" t="n">
        <v>0</v>
      </c>
      <c r="E105" t="n">
        <v>138.12</v>
      </c>
      <c r="H105" t="n">
        <v>0</v>
      </c>
      <c r="K105" t="n">
        <v>0</v>
      </c>
      <c r="L105" t="inlineStr">
        <is>
          <t>No clean technical setup detected. Price in middle of value area or poor risk/reward.</t>
        </is>
      </c>
      <c r="M105" t="inlineStr">
        <is>
          <t>SKIP</t>
        </is>
      </c>
      <c r="N105" t="inlineStr">
        <is>
          <t>SKIP: No Trade result. Market regime NEUTRAL; sector NEUTRAL; net R/R 0.00.</t>
        </is>
      </c>
      <c r="O105" t="inlineStr">
        <is>
          <t>EMR
No Trade
0.00
score
Price
138.12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133.80 - 135.78
Swing Low
128.13
Swing High
145.57
Click chart to open full size</t>
        </is>
      </c>
      <c r="P105" t="inlineStr">
        <is>
          <t>agent_results\charts\market_lens_agent_20260608_013140_emr.png</t>
        </is>
      </c>
      <c r="Q105" t="inlineStr">
        <is>
          <t>Smart Universe: broad liquid US universe, diversified by sector | Sector: Industrials - Neutral (67/100); XLI sector regime is neutral: 2.2% 3m return, -6.9% vs SPY | Setup: No Trade; score 0.00; R/R 0.00x; price 138.12 | Market: NEUTRAL; Sector regime: NEUTRAL; Net R/R: 0.00; Factors: Industrials | Agent action: SKIP - SKIP: No Trade result. Market regime NEUTRAL; sector NEUTRAL; net R/R 0.00.</t>
        </is>
      </c>
      <c r="R105" t="inlineStr">
        <is>
          <t>{"adjusted_cash_out": 0.0, "adjusted_position_size": 0, "adjusted_risk_amount": 0.0, "ask": 0.0, "bid": 0.0, "buy_zone_high": null, "buy_zone_low": null, "cash_available": 100000.0, "company_name": "Emerson Electric Co.", "correlation_warning": false, "days_to_earnings": 42, "earnings_blackout": false, "earnings_date": "2026-08-05T00:00:00", "estimated_fees": 0.0, "estimated_slippage": 0.4144, "estimated_spread": 0.1105, "executable_entry": 138.12, "execution_liquidity_bucket": "mid_liquid", "factor_exposure_after": {}, "factor_exposure_before": {}, "factor_exposure_cap": 7000.0, "factor_exposure_limit_exceeded": false, "factor_tags": ["Industrials"], "final_action": "SKIP", "gross_reward_1_per_share": 0.0, "gross_reward_2_per_share": 0.0, "gross_risk_per_share": 138.12, "gross_rr": 0.0, "gross_rr_1": 0.0, "gross_rr_2": 0.0, "gross_rr_decision": 0.0, "highest_correlation_ticker": "", "highest_correlation_value": null, "initial_action": "SKIP", "market_cap": 77361009265.14,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138.3824, "net_reward_1_per_share": 0.0, "net_reward_2_per_share": 0.0, "net_risk_per_share": 138.6449, "net_rr": 0.0, "net_rr_1": 0.0, "net_rr_2": 0.0, "net_stop_assumption": -0.2624, "net_target_1_assumption": -0.1588, "net_target_2_assumption": -0.1588, "normalized_atr_score": 100.0, "normalized_liquidity_score": 41.05, "normalized_momentum_score": 41.73, "normalized_quality_score": 56.09,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138.12, "ticker": "EMR", "timestamp": "2026-06-08T01:37:33", "warnings": ["Target ATR feasibility unavailable."]}</t>
        </is>
      </c>
    </row>
    <row r="106">
      <c r="A106" t="inlineStr">
        <is>
          <t>2026-06-08T01:37:33</t>
        </is>
      </c>
      <c r="B106" t="inlineStr">
        <is>
          <t>BA</t>
        </is>
      </c>
      <c r="C106" t="inlineStr">
        <is>
          <t>No Trade</t>
        </is>
      </c>
      <c r="D106" t="n">
        <v>0</v>
      </c>
      <c r="E106" t="n">
        <v>215.45</v>
      </c>
      <c r="H106" t="n">
        <v>0</v>
      </c>
      <c r="K106" t="n">
        <v>0</v>
      </c>
      <c r="L106" t="inlineStr">
        <is>
          <t>No clean technical setup detected. Price in middle of value area or poor risk/reward.</t>
        </is>
      </c>
      <c r="M106" t="inlineStr">
        <is>
          <t>SKIP</t>
        </is>
      </c>
      <c r="N106" t="inlineStr">
        <is>
          <t>SKIP: No Trade result. Market regime NEUTRAL; sector NEUTRAL; net R/R 0.00.</t>
        </is>
      </c>
      <c r="O106" t="inlineStr">
        <is>
          <t>BA
No Trade
0.00
score
Price
215.45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220.99
Fib Zone
219.16 - 222.82
Swing Low
214.00
Swing High
232.30
Click chart to open full size</t>
        </is>
      </c>
      <c r="P106" t="inlineStr">
        <is>
          <t>agent_results\charts\market_lens_agent_20260608_013140_ba.png</t>
        </is>
      </c>
      <c r="Q106" t="inlineStr">
        <is>
          <t>Smart Universe: broad liquid US universe, diversified by sector | Sector: Industrials - Neutral (67/100); XLI sector regime is neutral: 2.2% 3m return, -6.9% vs SPY | Setup: No Trade; score 0.00; R/R 0.00x; price 215.45 | Market: NEUTRAL; Sector regime: NEUTRAL; Net R/R: 0.00; Factors: Industrials | Agent action: SKIP - SKIP: No Trade result. Market regime NEUTRAL; sector NEUTRAL; net R/R 0.00.</t>
        </is>
      </c>
      <c r="R106" t="inlineStr">
        <is>
          <t>{"adjusted_cash_out": 0.0, "adjusted_position_size": 0, "adjusted_risk_amount": 0.0, "ask": 0.0, "bid": 0.0, "buy_zone_high": null, "buy_zone_low": null, "cash_available": 100000.0, "company_name": "Boeing Company", "correlation_warning": false, "days_to_earnings": 36, "earnings_blackout": false, "earnings_date": "2026-07-28T00:00:00", "estimated_fees": 0.0, "estimated_slippage": 0.3016, "estimated_spread": 0.0646, "executable_entry": 215.45, "execution_liquidity_bucket": "large_liquid", "factor_exposure_after": {}, "factor_exposure_before": {}, "factor_exposure_cap": 7000.0, "factor_exposure_limit_exceeded": false, "factor_tags": ["Industrials"], "final_action": "SKIP", "gross_reward_1_per_share": 0.0, "gross_reward_2_per_share": 0.0, "gross_risk_per_share": 215.45, "gross_rr": 0.0, "gross_rr_1": 0.0, "gross_rr_2": 0.0, "gross_rr_decision": 0.0, "highest_correlation_ticker": "", "highest_correlation_value": null, "initial_action": "SKIP", "market_cap": 169839734808.24, "market_cap_bucket": "Large Cap", "market_regime": "NEUTRAL", "market_regime_indicators": {"DXY": {"ema20": 99.2284, "ema200": 98.8017, "ema50": 98.9549, "price": 100.134, "return_1m": 2.34, "return_3m": 1.32,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"net_entry": 215.6331, "net_reward_1_per_share": 0.0, "net_reward_2_per_share": 0.0, "net_risk_per_share": 215.8163, "net_rr": 0.0, "net_rr_1": 0.0, "net_rr_2": 0.0, "net_stop_assumption": -0.1831, "net_target_1_assumption": -0.1077, "net_target_2_assumption": -0.1077, "normalized_atr_score": 100.0, "normalized_liquidity_score": 82.1, "normalized_momentum_score": 25.63, "normalized_quality_score": 61.16,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215.45,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215.45, "ticker": "BA", "timestamp": "2026-06-08T01:37:33", "warnings": ["Target ATR feasibility unavailable."]}</t>
        </is>
      </c>
    </row>
    <row r="107">
      <c r="A107" t="inlineStr">
        <is>
          <t>2026-06-08T09:24:54</t>
        </is>
      </c>
      <c r="B107" t="inlineStr">
        <is>
          <t>OKE</t>
        </is>
      </c>
      <c r="C107" t="inlineStr">
        <is>
          <t>Fib 61.8 Confluence Buy Zone</t>
        </is>
      </c>
      <c r="D107" t="n">
        <v>0.49</v>
      </c>
      <c r="E107" t="n">
        <v>88.25</v>
      </c>
      <c r="F107" t="n">
        <v>87.78</v>
      </c>
      <c r="G107" t="n">
        <v>89.02</v>
      </c>
      <c r="H107" t="n">
        <v>86.06999999999999</v>
      </c>
      <c r="I107" t="n">
        <v>88.7</v>
      </c>
      <c r="J107" t="n">
        <v>96.06999999999999</v>
      </c>
      <c r="K107" t="n">
        <v>1.39</v>
      </c>
      <c r="L107" t="inlineStr">
        <is>
          <t>Price at 61.8% fib retracement (88.40) with confluence at VWAP. Planned entry at zone low 87.78; executable entry 88.25, stop below fib 78.6% at 86.07. Structural confluence: swing low at 83.66 aligns with VAL (83.81).</t>
        </is>
      </c>
      <c r="M107" t="inlineStr">
        <is>
          <t>WATCH</t>
        </is>
      </c>
      <c r="N107" t="inlineStr">
        <is>
          <t>WATCH: Technical setup detected, but weighted risk/reward 1.39 is below minimum 2.00. Market regime NEUTRAL; sector NEUTRAL; net R/R 1.10.</t>
        </is>
      </c>
      <c r="O107"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07" t="inlineStr">
        <is>
          <t>agent_results\charts\market_lens_agent_20260608_091643_oke.png</t>
        </is>
      </c>
      <c r="Q107"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07" t="inlineStr">
        <is>
          <t>{"adjusted_cash_out": 0.0, "adjusted_position_size": 0, "adjusted_risk_amount": 0.0, "ask": 0.0, "bid": 0.0, "buy_zone_high": 89.02, "buy_zone_low": 87.78, "cash_available": 100000.0, "company_name": "ONEOK, Inc.", "correlation_warning": false, "days_to_earnings": -29, "earnings_blackout": false, "earnings_date": "2026-04-28T00:00:00", "estimated_fees": 0.0, "estimated_slippage": 0.2647, "estimated_spread": 0.0706, "executable_entry": 88.25, "execution_liquidity_bucket": "mid_liquid", "factor_exposure_after": {}, "factor_exposure_before": {},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 "highest_correlation_value": null, "initial_action": "WATCH", "market_cap": 55600399189.0,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"2026-06-08T09:24:54", "warnings": ["Target 1 is close versus daily ATR."]}</t>
        </is>
      </c>
    </row>
    <row r="108">
      <c r="A108" t="inlineStr">
        <is>
          <t>2026-06-08T09:24:54</t>
        </is>
      </c>
      <c r="B108" t="inlineStr">
        <is>
          <t>XOM</t>
        </is>
      </c>
      <c r="C108" t="inlineStr">
        <is>
          <t>Fib 61.8 Confluence Buy Zone</t>
        </is>
      </c>
      <c r="D108" t="n">
        <v>0.49</v>
      </c>
      <c r="E108" t="n">
        <v>149.92</v>
      </c>
      <c r="F108" t="n">
        <v>149.87</v>
      </c>
      <c r="G108" t="n">
        <v>151.87</v>
      </c>
      <c r="H108" t="n">
        <v>146.99</v>
      </c>
      <c r="I108" t="n">
        <v>150.49</v>
      </c>
      <c r="J108" t="n">
        <v>173.86</v>
      </c>
      <c r="K108" t="n">
        <v>2.98</v>
      </c>
      <c r="L108" t="inlineStr">
        <is>
          <t>Price at 61.8% fib retracement (150.87) with confluence at VWAP. Planned entry at zone low 149.87; executable entry 149.92, stop below fib 78.6% at 146.99.</t>
        </is>
      </c>
      <c r="M108" t="inlineStr">
        <is>
          <t>BUY_SIMULATED</t>
        </is>
      </c>
      <c r="N108" t="inlineStr">
        <is>
          <t>BUY_SIMULATED: NEUTRAL market regime, NEUTRAL sector, valid setup, net R/R 2.68, no earnings blackout, correlation acceptable, and risk limits allow entry. Position size reduced to 40 shares to fit exposure caps.</t>
        </is>
      </c>
      <c r="O108"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08" t="inlineStr">
        <is>
          <t>agent_results\charts\market_lens_agent_20260608_091643_xom.png</t>
        </is>
      </c>
      <c r="Q108"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R108"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109">
      <c r="A109" t="inlineStr">
        <is>
          <t>2026-06-08T09:24:54</t>
        </is>
      </c>
      <c r="B109" t="inlineStr">
        <is>
          <t>V</t>
        </is>
      </c>
      <c r="C109" t="inlineStr">
        <is>
          <t>Fib 61.8 Confluence Buy Zone</t>
        </is>
      </c>
      <c r="D109" t="n">
        <v>0.45</v>
      </c>
      <c r="E109" t="n">
        <v>323.57</v>
      </c>
      <c r="F109" t="n">
        <v>321.22</v>
      </c>
      <c r="G109" t="n">
        <v>324.81</v>
      </c>
      <c r="H109" t="n">
        <v>319</v>
      </c>
      <c r="I109" t="n">
        <v>325.34</v>
      </c>
      <c r="J109" t="n">
        <v>338.49</v>
      </c>
      <c r="K109" t="n">
        <v>1.39</v>
      </c>
      <c r="L109" t="inlineStr">
        <is>
          <t>Price at 61.8% fib retracement (323.02) with confluence at VWAP. Planned entry at zone low 321.22; executable entry 323.57, stop below fib 78.6% at 319.00.</t>
        </is>
      </c>
      <c r="M109" t="inlineStr">
        <is>
          <t>WATCH</t>
        </is>
      </c>
      <c r="N109" t="inlineStr">
        <is>
          <t>WATCH: Technical setup detected, but weighted risk/reward 1.39 is below minimum 2.00. Market regime NEUTRAL; sector STRONG; net R/R 1.16.</t>
        </is>
      </c>
      <c r="O109"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09" t="inlineStr">
        <is>
          <t>agent_results\charts\market_lens_agent_20260608_091643_v.png</t>
        </is>
      </c>
      <c r="Q109"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09" t="inlineStr">
        <is>
          <t>{"adjusted_cash_out": 0.0, "adjusted_position_size": 0, "adjusted_risk_amount": 0.0, "ask": 0.0, "bid": 0.0, "buy_zone_high": 324.81, "buy_zone_low": 321.22, "cash_available": 94003.2,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"factor_exposure_before": {"Energy": 5996.8},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"XOM", "highest_correlation_value": -0.0131, "initial_action": "WATCH", "market_cap": 615347255294.79,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"2026-06-08T09:24:54", "warnings": ["Target 1 is close versus daily ATR."]}</t>
        </is>
      </c>
    </row>
    <row r="110">
      <c r="A110" t="inlineStr">
        <is>
          <t>2026-06-08T09:24:54</t>
        </is>
      </c>
      <c r="B110" t="inlineStr">
        <is>
          <t>CVX</t>
        </is>
      </c>
      <c r="C110" t="inlineStr">
        <is>
          <t>VWAP Reclaim Setup</t>
        </is>
      </c>
      <c r="D110" t="n">
        <v>0.45</v>
      </c>
      <c r="E110" t="n">
        <v>187.31</v>
      </c>
      <c r="F110" t="n">
        <v>186.04</v>
      </c>
      <c r="G110" t="n">
        <v>188.58</v>
      </c>
      <c r="H110" t="n">
        <v>182.39</v>
      </c>
      <c r="I110" t="n">
        <v>189.98</v>
      </c>
      <c r="J110" t="n">
        <v>204.51</v>
      </c>
      <c r="K110" t="n">
        <v>1.58</v>
      </c>
      <c r="L110" t="inlineStr">
        <is>
          <t>Price (187.31) reclaiming VWAP (187.85) after trading below it. Volume confirming. Anchored VWAP context 186.37 is supportive. Entry at 187.31, stop at 182.39.</t>
        </is>
      </c>
      <c r="M110" t="inlineStr">
        <is>
          <t>WATCH</t>
        </is>
      </c>
      <c r="N110" t="inlineStr">
        <is>
          <t>WATCH: Technical setup detected, but weighted risk/reward 1.58 is below minimum 2.00. Market regime NEUTRAL; sector NEUTRAL; net R/R 1.43.</t>
        </is>
      </c>
      <c r="O110"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10" t="inlineStr">
        <is>
          <t>agent_results\charts\market_lens_agent_20260608_091643_cvx.png</t>
        </is>
      </c>
      <c r="Q110"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10" t="inlineStr">
        <is>
          <t>{"adjusted_cash_out": 0.0, "adjusted_position_size": 0, "adjusted_risk_amount": 0.0, "ask": 0.0, "bid": 0.0, "buy_zone_high": 188.58, "buy_zone_low": 186.04, "cash_available": 94003.2,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"factor_exposure_before": {"Energy": 5996.8},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"2026-06-08T09:24:54", "warnings": ["Target 1 is close versus daily ATR."]}</t>
        </is>
      </c>
    </row>
    <row r="111">
      <c r="A111" t="inlineStr">
        <is>
          <t>2026-06-08T09:24:54</t>
        </is>
      </c>
      <c r="B111" t="inlineStr">
        <is>
          <t>ELAN</t>
        </is>
      </c>
      <c r="C111" t="inlineStr">
        <is>
          <t>Fib 61.8 Confluence Buy Zone</t>
        </is>
      </c>
      <c r="D111" t="n">
        <v>0.44</v>
      </c>
      <c r="E111" t="n">
        <v>23.63</v>
      </c>
      <c r="F111" t="n">
        <v>23.11</v>
      </c>
      <c r="G111" t="n">
        <v>23.69</v>
      </c>
      <c r="H111" t="n">
        <v>22.5</v>
      </c>
      <c r="I111" t="n">
        <v>23.94</v>
      </c>
      <c r="J111" t="n">
        <v>26.29</v>
      </c>
      <c r="K111" t="n">
        <v>1.01</v>
      </c>
      <c r="L111" t="inlineStr">
        <is>
          <t>Price at 61.8% fib retracement (23.40) with confluence at POC, VWAP. Planned entry at zone low 23.11; executable entry 23.63, stop below fib 78.6% at 22.50.</t>
        </is>
      </c>
      <c r="M111" t="inlineStr">
        <is>
          <t>WATCH</t>
        </is>
      </c>
      <c r="N111" t="inlineStr">
        <is>
          <t>WATCH: Technical setup detected, but weighted risk/reward 1.01 is below minimum 2.00. Market regime NEUTRAL; sector NEUTRAL; net R/R 0.87.</t>
        </is>
      </c>
      <c r="O111"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11" t="inlineStr">
        <is>
          <t>agent_results\charts\market_lens_agent_20260608_091643_elan.png</t>
        </is>
      </c>
      <c r="Q111"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11" t="inlineStr">
        <is>
          <t>{"adjusted_cash_out": 0.0, "adjusted_position_size": 0, "adjusted_risk_amount": 0.0, "ask": 0.0, "bid": 0.0, "buy_zone_high": 23.69, "buy_zone_low": 23.11, "cash_available": 94003.2,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"factor_exposure_before": {"Energy": 5996.8},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"XOM", "highest_correlation_value": -0.2991, "initial_action": "WATCH", "market_cap": 11801993227.14,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"2026-06-08T09:24:54", "warnings": ["Target 1 is close versus daily ATR."]}</t>
        </is>
      </c>
    </row>
    <row r="112">
      <c r="A112" t="inlineStr">
        <is>
          <t>2026-06-08T09:24:54</t>
        </is>
      </c>
      <c r="B112" t="inlineStr">
        <is>
          <t>MSFT</t>
        </is>
      </c>
      <c r="C112" t="inlineStr">
        <is>
          <t>Breakout + Retest</t>
        </is>
      </c>
      <c r="D112" t="n">
        <v>0.43</v>
      </c>
      <c r="E112" t="n">
        <v>416.67</v>
      </c>
      <c r="F112" t="n">
        <v>414.17</v>
      </c>
      <c r="G112" t="n">
        <v>427.06</v>
      </c>
      <c r="H112" t="n">
        <v>407.73</v>
      </c>
      <c r="I112" t="n">
        <v>426.34</v>
      </c>
      <c r="J112" t="n">
        <v>444.49</v>
      </c>
      <c r="K112" t="n">
        <v>1.79</v>
      </c>
      <c r="L112" t="inlineStr">
        <is>
          <t>Price (416.67) retesting broken resistance (427.06) as support. Breakout on 2026-05-29 with 2.3× avg volume. Volume confirmed breakout. Entry at 416.67, stop at 407.73.</t>
        </is>
      </c>
      <c r="M112" t="inlineStr">
        <is>
          <t>WATCH</t>
        </is>
      </c>
      <c r="N112" t="inlineStr">
        <is>
          <t>WATCH: Technical setup detected, but weighted risk/reward 1.79 is below minimum 2.00. Market regime NEUTRAL; sector STRONG; net R/R 1.42.</t>
        </is>
      </c>
      <c r="O112"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12" t="inlineStr">
        <is>
          <t>agent_results\charts\market_lens_agent_20260608_091643_msft.png</t>
        </is>
      </c>
      <c r="Q112"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12" t="inlineStr">
        <is>
          <t>{"adjusted_cash_out": 0.0, "adjusted_position_size": 0, "adjusted_risk_amount": 0.0, "ask": 0.0, "bid": 0.0, "buy_zone_high": 427.06, "buy_zone_low": 414.17, "cash_available": 94003.2,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"factor_exposure_before": {"Energy": 5996.8},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"XOM", "highest_correlation_value": -0.1595, "initial_action": "WATCH", "market_cap": 3095205987862.73,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"2026-06-08T09:24:54", "warnings": []}</t>
        </is>
      </c>
    </row>
    <row r="113">
      <c r="A113" t="inlineStr">
        <is>
          <t>2026-06-08T09:24:54</t>
        </is>
      </c>
      <c r="B113" t="inlineStr">
        <is>
          <t>AIG</t>
        </is>
      </c>
      <c r="C113" t="inlineStr">
        <is>
          <t>Fib 61.8 Confluence Buy Zone</t>
        </is>
      </c>
      <c r="D113" t="n">
        <v>0.43</v>
      </c>
      <c r="E113" t="n">
        <v>75.48999999999999</v>
      </c>
      <c r="F113" t="n">
        <v>75.13</v>
      </c>
      <c r="G113" t="n">
        <v>76.02</v>
      </c>
      <c r="H113" t="n">
        <v>74.26000000000001</v>
      </c>
      <c r="I113" t="n">
        <v>76.38</v>
      </c>
      <c r="J113" t="n">
        <v>79.77</v>
      </c>
      <c r="K113" t="n">
        <v>1.68</v>
      </c>
      <c r="L113" t="inlineStr">
        <is>
          <t>Price at 61.8% fib retracement (75.57) with confluence at VWAP. Planned entry at zone low 75.13; executable entry 75.49, stop below fib 78.6% at 74.26.</t>
        </is>
      </c>
      <c r="M113" t="inlineStr">
        <is>
          <t>WATCH</t>
        </is>
      </c>
      <c r="N113" t="inlineStr">
        <is>
          <t>WATCH: Technical setup detected, but weighted risk/reward 1.68 is below minimum 2.00. Market regime NEUTRAL; sector STRONG; net R/R 1.22.</t>
        </is>
      </c>
      <c r="O113"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13" t="inlineStr">
        <is>
          <t>agent_results\charts\market_lens_agent_20260608_091643_aig.png</t>
        </is>
      </c>
      <c r="Q113"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13" t="inlineStr">
        <is>
          <t>{"adjusted_cash_out": 0.0, "adjusted_position_size": 0, "adjusted_risk_amount": 0.0, "ask": 0.0, "bid": 0.0, "buy_zone_high": 76.02, "buy_zone_low": 75.13, "cash_available": 94003.2,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"factor_exposure_before": {"Energy": 5996.8},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"XOM", "highest_correlation_value": 0.0245, "initial_action": "WATCH", "market_cap": 40025266490.65,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"2026-06-08T09:24:54", "warnings": ["Target 1 is close versus daily ATR."]}</t>
        </is>
      </c>
    </row>
    <row r="114">
      <c r="A114" t="inlineStr">
        <is>
          <t>2026-06-08T09:24:54</t>
        </is>
      </c>
      <c r="B114" t="inlineStr">
        <is>
          <t>BKR</t>
        </is>
      </c>
      <c r="C114" t="inlineStr">
        <is>
          <t>Breakout + Retest</t>
        </is>
      </c>
      <c r="D114" t="n">
        <v>0.41</v>
      </c>
      <c r="E114" t="n">
        <v>62.59</v>
      </c>
      <c r="F114" t="n">
        <v>62.05</v>
      </c>
      <c r="G114" t="n">
        <v>64.13</v>
      </c>
      <c r="H114" t="n">
        <v>61.01</v>
      </c>
      <c r="I114" t="n">
        <v>64.56999999999999</v>
      </c>
      <c r="J114" t="n">
        <v>69.36</v>
      </c>
      <c r="K114" t="n">
        <v>2.31</v>
      </c>
      <c r="L114" t="inlineStr">
        <is>
          <t>Price (62.59) retesting broken resistance (64.13) as support. Breakout on 2026-04-23 with 1.5× avg volume. Volume confirmed breakout. Entry at 62.59, stop at 61.01.</t>
        </is>
      </c>
      <c r="M114" t="inlineStr">
        <is>
          <t>WATCH</t>
        </is>
      </c>
      <c r="N114" t="inlineStr">
        <is>
          <t>WATCH: Position cannot be opened because Energy sector exposure cap leaves no executable size.</t>
        </is>
      </c>
      <c r="O114"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14" t="inlineStr">
        <is>
          <t>agent_results\charts\market_lens_agent_20260608_091643_bkr.png</t>
        </is>
      </c>
      <c r="Q114"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14" t="inlineStr">
        <is>
          <t>{"adjusted_cash_out": 0.0, "adjusted_position_size": 0, "adjusted_risk_amount": 0.0, "ask": 0.0, "bid": 0.0, "buy_zone_high": 64.13, "buy_zone_low": 62.05, "cash_available": 94003.2,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"factor_exposure_before": {"Energy": 5996.8},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"2026-06-08T09:24:54", "warnings": ["Position cannot be opened because Energy sector exposure cap leaves no executable size.", "WATCH: Neutral market requires stronger setup score (0.41 &lt; 0.45).", "Gross R/R is valid, but Net R/R 1.74 failed minimum 2.50 after slippage/spread adjustment."]}</t>
        </is>
      </c>
    </row>
    <row r="115">
      <c r="A115" t="inlineStr">
        <is>
          <t>2026-06-08T09:24:54</t>
        </is>
      </c>
      <c r="B115" t="inlineStr">
        <is>
          <t>COP</t>
        </is>
      </c>
      <c r="C115" t="inlineStr">
        <is>
          <t>Fib 61.8 Confluence Buy Zone</t>
        </is>
      </c>
      <c r="D115" t="n">
        <v>0.39</v>
      </c>
      <c r="E115" t="n">
        <v>117.14</v>
      </c>
      <c r="F115" t="n">
        <v>116.7</v>
      </c>
      <c r="G115" t="n">
        <v>118.25</v>
      </c>
      <c r="H115" t="n">
        <v>114.49</v>
      </c>
      <c r="I115" t="n">
        <v>117.87</v>
      </c>
      <c r="J115" t="n">
        <v>134.17</v>
      </c>
      <c r="K115" t="n">
        <v>2.43</v>
      </c>
      <c r="L115" t="inlineStr">
        <is>
          <t>Price at 61.8% fib retracement (117.48) with confluence at VWAP. Planned entry at zone low 116.70; executable entry 117.14, stop below fib 78.6% at 114.49.</t>
        </is>
      </c>
      <c r="M115" t="inlineStr">
        <is>
          <t>WATCH_READY</t>
        </is>
      </c>
      <c r="N115" t="inlineStr">
        <is>
          <t>WATCH: Position cannot be opened because Energy sector exposure cap leaves no executable size.</t>
        </is>
      </c>
      <c r="O115"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15" t="inlineStr">
        <is>
          <t>agent_results\charts\market_lens_agent_20260608_091643_cop.png</t>
        </is>
      </c>
      <c r="Q115"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WATCH_READY - WATCH: Position cannot be opened because Energy sector exposure cap leaves no executable size.</t>
        </is>
      </c>
      <c r="R115" t="inlineStr">
        <is>
          <t>{"adjusted_cash_out": 0.0, "adjusted_position_size": 0, "adjusted_risk_amount": 0.0, "ask": 0.0, "bid": 0.0, "buy_zone_high": 118.25, "buy_zone_low": 116.7, "cash_available": 94003.2,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"factor_exposure_before": {"Energy": 5996.8}, "factor_exposure_cap": 7000.0, "factor_exposure_limit_exceeded": false, "factor_tags": ["Energy"], "final_action": "WATCH_READY",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5996.8, "portfolio_exposure_before": 5996.8,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"2026-06-08T09:24:54",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16">
      <c r="A116" t="inlineStr">
        <is>
          <t>2026-06-08T09:24:54</t>
        </is>
      </c>
      <c r="B116" t="inlineStr">
        <is>
          <t>AXP</t>
        </is>
      </c>
      <c r="C116" t="inlineStr">
        <is>
          <t>Fib 61.8 Confluence Buy Zone</t>
        </is>
      </c>
      <c r="D116" t="n">
        <v>0.34</v>
      </c>
      <c r="E116" t="n">
        <v>310.66</v>
      </c>
      <c r="F116" t="n">
        <v>307.44</v>
      </c>
      <c r="G116" t="n">
        <v>311.01</v>
      </c>
      <c r="H116" t="n">
        <v>305.79</v>
      </c>
      <c r="I116" t="n">
        <v>311.14</v>
      </c>
      <c r="J116" t="n">
        <v>333.13</v>
      </c>
      <c r="K116" t="n">
        <v>1.68</v>
      </c>
      <c r="L116" t="inlineStr">
        <is>
          <t>Price at 61.8% fib retracement (309.23) with confluence at POC, VWAP. Planned entry at zone low 307.44; executable entry 310.66, stop below fib 78.6% at 305.79. Structural confluence: swing low at 303.04 aligns with HVN (302.06).</t>
        </is>
      </c>
      <c r="M116" t="inlineStr">
        <is>
          <t>WATCH</t>
        </is>
      </c>
      <c r="N116" t="inlineStr">
        <is>
          <t>WATCH: Technical setup detected, but weighted risk/reward 1.68 is below minimum 2.00. Market regime NEUTRAL; sector STRONG; net R/R 1.44.</t>
        </is>
      </c>
      <c r="O116"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16" t="inlineStr">
        <is>
          <t>agent_results\charts\market_lens_agent_20260608_091643_axp.png</t>
        </is>
      </c>
      <c r="Q116"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16" t="inlineStr">
        <is>
          <t>{"adjusted_cash_out": 0.0, "adjusted_position_size": 0, "adjusted_risk_amount": 0.0, "ask": 0.0, "bid": 0.0, "buy_zone_high": 311.01, "buy_zone_low": 307.44, "cash_available": 94003.2,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"factor_exposure_before": {"Energy": 5996.8},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"XOM", "highest_correlation_value": -0.2824, "initial_action": "WATCH", "market_cap": 211971535281.13,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"2026-06-08T09:24:54", "warnings": ["Target 1 is close versus daily ATR."]}</t>
        </is>
      </c>
    </row>
    <row r="117">
      <c r="A117" t="inlineStr">
        <is>
          <t>2026-06-08T09:24:54</t>
        </is>
      </c>
      <c r="B117" t="inlineStr">
        <is>
          <t>DHR</t>
        </is>
      </c>
      <c r="C117" t="inlineStr">
        <is>
          <t>VWAP Reclaim Setup</t>
        </is>
      </c>
      <c r="D117" t="n">
        <v>0.33</v>
      </c>
      <c r="E117" t="n">
        <v>184.3</v>
      </c>
      <c r="F117" t="n">
        <v>182.7</v>
      </c>
      <c r="G117" t="n">
        <v>185.9</v>
      </c>
      <c r="H117" t="n">
        <v>178.98</v>
      </c>
      <c r="I117" t="n">
        <v>187.66</v>
      </c>
      <c r="J117" t="n">
        <v>196.09</v>
      </c>
      <c r="K117" t="n">
        <v>1.19</v>
      </c>
      <c r="L117" t="inlineStr">
        <is>
          <t>Price (184.30) reclaiming VWAP (185.00) after trading below it. Volume confirming. Anchored VWAP context 175.57 is supportive. Entry at 184.30, stop at 178.98.</t>
        </is>
      </c>
      <c r="M117" t="inlineStr">
        <is>
          <t>WATCH</t>
        </is>
      </c>
      <c r="N117" t="inlineStr">
        <is>
          <t>WATCH: Technical setup detected, but weighted risk/reward 1.19 is below minimum 2.00. Market regime NEUTRAL; sector NEUTRAL; net R/R 1.08.</t>
        </is>
      </c>
      <c r="O117"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17" t="inlineStr">
        <is>
          <t>agent_results\charts\market_lens_agent_20260608_091643_dhr.png</t>
        </is>
      </c>
      <c r="Q117"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17" t="inlineStr">
        <is>
          <t>{"adjusted_cash_out": 0.0, "adjusted_position_size": 0, "adjusted_risk_amount": 0.0, "ask": 0.0, "bid": 0.0, "buy_zone_high": 185.9, "buy_zone_low": 182.7, "cash_available": 94003.2,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"factor_exposure_before": {"Energy": 5996.8},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"XOM", "highest_correlation_value": -0.187, "initial_action": "WATCH", "market_cap": 130442128716.04,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"2026-06-08T09:24:54", "warnings": ["Target 1 is close versus daily ATR."]}</t>
        </is>
      </c>
    </row>
    <row r="118">
      <c r="A118" t="inlineStr">
        <is>
          <t>2026-06-08T09:24:54</t>
        </is>
      </c>
      <c r="B118" t="inlineStr">
        <is>
          <t>PFE</t>
        </is>
      </c>
      <c r="C118" t="inlineStr">
        <is>
          <t>VWAP Reclaim Setup</t>
        </is>
      </c>
      <c r="D118" t="n">
        <v>0.32</v>
      </c>
      <c r="E118" t="n">
        <v>26.04</v>
      </c>
      <c r="F118" t="n">
        <v>25.89</v>
      </c>
      <c r="G118" t="n">
        <v>26.19</v>
      </c>
      <c r="H118" t="n">
        <v>25.48</v>
      </c>
      <c r="I118" t="n">
        <v>26.28</v>
      </c>
      <c r="J118" t="n">
        <v>27.57</v>
      </c>
      <c r="K118" t="n">
        <v>1.24</v>
      </c>
      <c r="L118" t="inlineStr">
        <is>
          <t>Price (26.04) reclaiming VWAP (26.04) after trading below it. Volume confirming. Anchored VWAP context 25.81 is supportive. Entry at 26.04, stop at 25.48.</t>
        </is>
      </c>
      <c r="M118" t="inlineStr">
        <is>
          <t>WATCH</t>
        </is>
      </c>
      <c r="N118" t="inlineStr">
        <is>
          <t>WATCH: Technical setup detected, but weighted risk/reward 1.24 is below minimum 2.00. Market regime NEUTRAL; sector NEUTRAL; net R/R 1.09.</t>
        </is>
      </c>
      <c r="O11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18" t="inlineStr">
        <is>
          <t>agent_results\charts\market_lens_agent_20260608_091643_pfe.png</t>
        </is>
      </c>
      <c r="Q11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18" t="inlineStr">
        <is>
          <t>{"adjusted_cash_out": 0.0, "adjusted_position_size": 0, "adjusted_risk_amount": 0.0, "ask": 0.0, "bid": 0.0, "buy_zone_high": 26.19, "buy_zone_low": 25.89, "cash_available": 94003.2,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"factor_exposure_before": {"Energy": 5996.8},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"XOM", "highest_correlation_value": -0.1185, "initial_action": "WATCH", "market_cap": 148413531378.76,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"2026-06-08T09:24:54", "warnings": ["Target 1 is close versus daily ATR."]}</t>
        </is>
      </c>
    </row>
    <row r="119">
      <c r="A119" t="inlineStr">
        <is>
          <t>2026-06-08T09:24:54</t>
        </is>
      </c>
      <c r="B119" t="inlineStr">
        <is>
          <t>DLR</t>
        </is>
      </c>
      <c r="C119" t="inlineStr">
        <is>
          <t>Fib 61.8 Confluence Buy Zone</t>
        </is>
      </c>
      <c r="D119" t="n">
        <v>0.24</v>
      </c>
      <c r="E119" t="n">
        <v>186.79</v>
      </c>
      <c r="F119" t="n">
        <v>185.45</v>
      </c>
      <c r="G119" t="n">
        <v>187.5</v>
      </c>
      <c r="H119" t="n">
        <v>180.17</v>
      </c>
      <c r="I119" t="n">
        <v>187.64</v>
      </c>
      <c r="J119" t="n">
        <v>208.14</v>
      </c>
      <c r="K119" t="n">
        <v>1.21</v>
      </c>
      <c r="L119" t="inlineStr">
        <is>
          <t>Price at 61.8% fib retracement (186.47) with confluence at VWAP. Planned entry at zone low 185.45; executable entry 186.79, stop below fib 78.6% at 180.17.</t>
        </is>
      </c>
      <c r="M119" t="inlineStr">
        <is>
          <t>WATCH</t>
        </is>
      </c>
      <c r="N119" t="inlineStr">
        <is>
          <t>WATCH: Technical setup detected, but weighted risk/reward 1.21 is below minimum 2.00. Market regime NEUTRAL; sector STRONG; net R/R 1.02.</t>
        </is>
      </c>
      <c r="O119"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19" t="inlineStr">
        <is>
          <t>agent_results\charts\market_lens_agent_20260608_091643_dlr.png</t>
        </is>
      </c>
      <c r="Q119"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19" t="inlineStr">
        <is>
          <t>{"adjusted_cash_out": 0.0, "adjusted_position_size": 0, "adjusted_risk_amount": 0.0, "ask": 0.0, "bid": 0.0, "buy_zone_high": 187.5, "buy_zone_low": 185.45, "cash_available": 94003.2,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"factor_exposure_before": {"Energy": 5996.8},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"XOM", "highest_correlation_value": -0.2598, "initial_action": "WATCH", "market_cap": 65639137456.01,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"2026-06-08T09:24:54", "warnings": ["Target 1 is close versus daily ATR."]}</t>
        </is>
      </c>
    </row>
    <row r="120">
      <c r="A120" t="inlineStr">
        <is>
          <t>2026-06-08T09:24:54</t>
        </is>
      </c>
      <c r="B120" t="inlineStr">
        <is>
          <t>AMAT</t>
        </is>
      </c>
      <c r="C120" t="inlineStr">
        <is>
          <t>No Trade</t>
        </is>
      </c>
      <c r="D120" t="n">
        <v>0</v>
      </c>
      <c r="E120" t="n">
        <v>453.01</v>
      </c>
      <c r="H120" t="n">
        <v>0</v>
      </c>
      <c r="K120" t="n">
        <v>0</v>
      </c>
      <c r="L120" t="inlineStr">
        <is>
          <t>No clean technical setup detected. Price in middle of value area or poor risk/reward.</t>
        </is>
      </c>
      <c r="M120" t="inlineStr">
        <is>
          <t>SKIP</t>
        </is>
      </c>
      <c r="N120" t="inlineStr">
        <is>
          <t>SKIP: No Trade result. Market regime NEUTRAL; sector STRONG; net R/R 0.00.</t>
        </is>
      </c>
      <c r="O120" t="inlineStr">
        <is>
          <t>AMAT
No Trade
0.00
score
Price
453.01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403.84
Fib Zone
398.18 - 409.49
Swing Low
376.60
Swing High
447.89
Click chart to open full size</t>
        </is>
      </c>
      <c r="P120" t="inlineStr">
        <is>
          <t>agent_results\charts\market_lens_agent_20260608_091643_amat.png</t>
        </is>
      </c>
      <c r="Q120" t="inlineStr">
        <is>
          <t>Smart Universe: broad liquid US universe, diversified by sector | Sector: Semiconductors - Strong (79/100); SMH sector regime is strong: 44.5% 3m return, 35.4% vs SPY | Setup: No Trade; score 0.00; R/R 0.00x; price 453.01 | Market: NEUTRAL; Sector regime: STRONG; Net R/R: 0.00; Factors: AI / Semiconductors, Semiconductors | Agent action: SKIP - SKIP: No Trade result. Market regime NEUTRAL; sector STRONG; net R/R 0.00.</t>
        </is>
      </c>
      <c r="R120" t="inlineStr">
        <is>
          <t>{"adjusted_cash_out": 0.0, "adjusted_position_size": 0, "adjusted_risk_amount": 0.0, "ask": 0.0, "bid": 0.0, "buy_zone_high": null, "buy_zone_low": null, "cash_available": 94003.2, "company_name": "Applied Materials, Inc.", "correlation_warning": false, "days_to_earnings": 48, "earnings_blackout": false, "earnings_date": "2026-08-13T00:00:00", "estimated_fees": 0.0, "estimated_slippage": 0.6342, "estimated_spread": 0.1359, "executable_entry": 453.01,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453.01, "gross_rr": 0.0, "gross_rr_1": 0.0, "gross_rr_2": 0.0, "gross_rr_decision": 0.0, "highest_correlation_ticker": "XOM", "highest_correlation_value": -0.2263, "initial_action": "SKIP", "market_cap": 359671569137.81,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453.3951, "net_reward_1_per_share": 0.0, "net_reward_2_per_share": 0.0, "net_risk_per_share": 453.7801, "net_rr": 0.0, "net_rr_1": 0.0, "net_rr_2": 0.0, "net_stop_assumption": -0.3851, "net_target_1_assumption": -0.2265, "net_target_2_assumption": -0.2265, "normalized_atr_score": 98.01, "normalized_liquidity_score": 69.65, "normalized_momentum_score": 100, "normalized_quality_score": 90.4,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453.01,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453.01, "ticker": "AMAT", "timestamp": "2026-06-08T09:24:54", "warnings": ["Target ATR feasibility unavailable."]}</t>
        </is>
      </c>
    </row>
    <row r="121">
      <c r="A121" t="inlineStr">
        <is>
          <t>2026-06-08T09:24:54</t>
        </is>
      </c>
      <c r="B121" t="inlineStr">
        <is>
          <t>PANW</t>
        </is>
      </c>
      <c r="C121" t="inlineStr">
        <is>
          <t>No Trade</t>
        </is>
      </c>
      <c r="D121" t="n">
        <v>0</v>
      </c>
      <c r="E121" t="n">
        <v>272.05</v>
      </c>
      <c r="H121" t="n">
        <v>0</v>
      </c>
      <c r="K121" t="n">
        <v>0</v>
      </c>
      <c r="L121" t="inlineStr">
        <is>
          <t>No clean technical setup detected. Price in middle of value area or poor risk/reward.</t>
        </is>
      </c>
      <c r="M121" t="inlineStr">
        <is>
          <t>SKIP</t>
        </is>
      </c>
      <c r="N121" t="inlineStr">
        <is>
          <t>SKIP: No Trade result. Market regime NEUTRAL; sector STRONG; net R/R 0.00.</t>
        </is>
      </c>
      <c r="O121" t="inlineStr">
        <is>
          <t>PANW
No Trade
0.00
score
Price
272.05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157.16
Fib Zone
153.95 - 160.38
Swing Low
143.50
Swing High
179.27
Click chart to open full size</t>
        </is>
      </c>
      <c r="P121" t="inlineStr">
        <is>
          <t>agent_results\charts\market_lens_agent_20260608_091643_panw.png</t>
        </is>
      </c>
      <c r="Q121" t="inlineStr">
        <is>
          <t>Smart Universe: broad liquid US universe, diversified by sector | Sector: Technology - Strong (76/100); XLK sector regime is strong: 29.2% 3m return, 20.1% vs SPY | Setup: No Trade; score 0.00; R/R 0.00x; price 272.05 | Market: NEUTRAL; Sector regime: STRONG; Net R/R: 0.00; Factors: High Beta Growth, Technology | Agent action: SKIP - SKIP: No Trade result. Market regime NEUTRAL; sector STRONG; net R/R 0.00.</t>
        </is>
      </c>
      <c r="R121" t="inlineStr">
        <is>
          <t>{"adjusted_cash_out": 0.0, "adjusted_position_size": 0, "adjusted_risk_amount": 0.0, "ask": 0.0, "bid": 0.0, "buy_zone_high": null, "buy_zone_low": null, "cash_available": 94003.2, "company_name": "Palo Alto Networks, Inc.", "correlation_warning": false, "days_to_earnings": 51, "earnings_blackout": false, "earnings_date": "2026-08-18T00:00:00", "estimated_fees": 0.0, "estimated_slippage": 0.3809, "estimated_spread": 0.0816, "executable_entry": 272.05,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272.05, "gross_rr": 0.0, "gross_rr_1": 0.0, "gross_rr_2": 0.0, "gross_rr_decision": 0.0, "highest_correlation_ticker": "XOM", "highest_correlation_value": -0.1171, "initial_action": "SKIP", "market_cap": 221720740051.27,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272.2812, "net_reward_1_per_share": 0.0, "net_reward_2_per_share": 0.0, "net_risk_per_share": 272.5125, "net_rr": 0.0, "net_rr_1": 0.0, "net_rr_2": 0.0, "net_stop_assumption": -0.2312, "net_target_1_assumption": -0.136, "net_target_2_assumption": -0.136, "normalized_atr_score": 100.0, "normalized_liquidity_score": 59.83, "normalized_momentum_score": 100, "normalized_quality_score": 87.95,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272.05,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272.05, "ticker": "PANW", "timestamp": "2026-06-08T09:24:54", "warnings": ["Target ATR feasibility unavailable."]}</t>
        </is>
      </c>
    </row>
    <row r="122">
      <c r="A122" t="inlineStr">
        <is>
          <t>2026-06-08T09:24:54</t>
        </is>
      </c>
      <c r="B122" t="inlineStr">
        <is>
          <t>KLAC</t>
        </is>
      </c>
      <c r="C122" t="inlineStr">
        <is>
          <t>No Trade</t>
        </is>
      </c>
      <c r="D122" t="n">
        <v>0</v>
      </c>
      <c r="E122" t="n">
        <v>1929.2</v>
      </c>
      <c r="H122" t="n">
        <v>0</v>
      </c>
      <c r="K122" t="n">
        <v>0</v>
      </c>
      <c r="L122" t="inlineStr">
        <is>
          <t>No clean technical setup detected. Price in middle of value area or poor risk/reward.</t>
        </is>
      </c>
      <c r="M122" t="inlineStr">
        <is>
          <t>SKIP</t>
        </is>
      </c>
      <c r="N122" t="inlineStr">
        <is>
          <t>SKIP: No Trade result. Market regime NEUTRAL; sector STRONG; net R/R 0.00.</t>
        </is>
      </c>
      <c r="O122" t="inlineStr">
        <is>
          <t>KLAC
No Trade
0.00
score
Price
1929.20
R/R
0.00x
Grade
No Trade
Quality
0%
Buy Zone
-
Stop
0.00
Targets
-
Skip
Mixed
Relative Strength
Leadership
100%
Trend Quality
Clean uptrend
86%
Liquidity
Institutional liquidity
100%
Volume
Neutral
50%
No actionable setup detected.
No clean technical setup detected. Price in middle of value area or poor risk/reward.
Fib 61.8
1745.04
Fib Zone
1720.95 - 1769.14
Swing Low
1643.90
Swing High
1908.67
Click chart to open full size</t>
        </is>
      </c>
      <c r="P122" t="inlineStr">
        <is>
          <t>agent_results\charts\market_lens_agent_20260608_091643_klac.png</t>
        </is>
      </c>
      <c r="Q122" t="inlineStr">
        <is>
          <t>Smart Universe: broad liquid US universe, diversified by sector | Sector: Semiconductors - Strong (79/100); SMH sector regime is strong: 44.5% 3m return, 35.4% vs SPY | Setup: No Trade; score 0.00; R/R 0.00x; price 1929.20 | Market: NEUTRAL; Sector regime: STRONG; Net R/R: 0.00; Factors: AI / Semiconductors, Semiconductors | Agent action: SKIP - SKIP: No Trade result. Market regime NEUTRAL; sector STRONG; net R/R 0.00.</t>
        </is>
      </c>
      <c r="R122" t="inlineStr">
        <is>
          <t>{"adjusted_cash_out": 0.0, "adjusted_position_size": 0, "adjusted_risk_amount": 0.0, "ask": 0.0, "bid": 0.0, "buy_zone_high": null, "buy_zone_low": null, "cash_available": 94003.2, "company_name": "KLA Corporation", "correlation_warning": false, "days_to_earnings": 38, "earnings_blackout": false, "earnings_date": "2026-07-30T00:00:00", "estimated_fees": 0.0, "estimated_slippage": 2.7009, "estimated_spread": 0.5788, "executable_entry": 1929.2,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1929.2, "gross_rr": 0.0, "gross_rr_1": 0.0, "gross_rr_2": 0.0, "gross_rr_decision": 0.0, "highest_correlation_ticker": "XOM", "highest_correlation_value": -0.2484, "initial_action": "SKIP", "market_cap": 252006607134.9,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1930.8398, "net_reward_1_per_share": 0.0, "net_reward_2_per_share": 0.0, "net_risk_per_share": 1932.4796, "net_rr": 0.0, "net_rr_1": 0.0, "net_rr_2": 0.0, "net_stop_assumption": -1.6398, "net_target_1_assumption": -0.9646, "net_target_2_assumption": -0.9646, "normalized_atr_score": 97.97, "normalized_liquidity_score": 51.67, "normalized_momentum_score": 100, "normalized_quality_score": 84.99,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1929.2,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1929.2, "ticker": "KLAC", "timestamp": "2026-06-08T09:24:54", "warnings": ["Target ATR feasibility unavailable."]}</t>
        </is>
      </c>
    </row>
    <row r="123">
      <c r="A123" t="inlineStr">
        <is>
          <t>2026-06-08T09:24:54</t>
        </is>
      </c>
      <c r="B123" t="inlineStr">
        <is>
          <t>ORCL</t>
        </is>
      </c>
      <c r="C123" t="inlineStr">
        <is>
          <t>No Trade</t>
        </is>
      </c>
      <c r="D123" t="n">
        <v>0</v>
      </c>
      <c r="E123" t="n">
        <v>213.68</v>
      </c>
      <c r="H123" t="n">
        <v>0</v>
      </c>
      <c r="K123" t="n">
        <v>0</v>
      </c>
      <c r="L123" t="inlineStr">
        <is>
          <t>No clean technical setup detected. Price in middle of value area or poor risk/reward.</t>
        </is>
      </c>
      <c r="M123" t="inlineStr">
        <is>
          <t>SKIP</t>
        </is>
      </c>
      <c r="N123" t="inlineStr">
        <is>
          <t>SKIP: No Trade result. Market regime NEUTRAL; sector STRONG; net R/R 0.00.</t>
        </is>
      </c>
      <c r="O123" t="inlineStr">
        <is>
          <t>ORCL
No Trade
0.00
score
Price
213.68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175.76
Fib Zone
172.62 - 178.89
Swing Low
160.33
Swing High
200.71
Click chart to open full size</t>
        </is>
      </c>
      <c r="P123" t="inlineStr">
        <is>
          <t>agent_results\charts\market_lens_agent_20260608_091643_orcl.png</t>
        </is>
      </c>
      <c r="Q123" t="inlineStr">
        <is>
          <t>Smart Universe: broad liquid US universe, diversified by sector | Sector: Technology - Strong (76/100); XLK sector regime is strong: 29.2% 3m return, 20.1% vs SPY | Setup: No Trade; score 0.00; R/R 0.00x; price 213.68 | Market: NEUTRAL; Sector regime: STRONG; Net R/R: 0.00; Factors: Technology | Agent action: SKIP - SKIP: No Trade result. Market regime NEUTRAL; sector STRONG; net R/R 0.00.</t>
        </is>
      </c>
      <c r="R123" t="inlineStr">
        <is>
          <t>{"adjusted_cash_out": 0.0, "adjusted_position_size": 0, "adjusted_risk_amount": 0.0, "ask": 0.0, "bid": 0.0, "buy_zone_high": null, "buy_zone_low": null, "cash_available": 94003.2, "company_name": "Oracle Corporation", "correlation_warning": false, "days_to_earnings": 2, "earnings_blackout": true, "earnings_date": "2026-06-10T00:00:00", "estimated_fees": 0.0, "estimated_slippage": 0.2992, "estimated_spread": 0.0641, "executable_entry": 213.68,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213.68, "gross_rr": 0.0, "gross_rr_1": 0.0, "gross_rr_2": 0.0, "gross_rr_decision": 0.0, "highest_correlation_ticker": "XOM", "highest_correlation_value": -0.0783, "initial_action": "SKIP", "market_cap": 614553488215.21,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213.8616, "net_reward_1_per_share": 0.0, "net_reward_2_per_share": 0.0, "net_risk_per_share": 214.0433, "net_rr": 0.0, "net_rr_1": 0.0, "net_rr_2": 0.0, "net_stop_assumption": -0.1816, "net_target_1_assumption": -0.1068, "net_target_2_assumption": -0.1068, "normalized_atr_score": 88.94, "normalized_liquidity_score": 75.35, "normalized_momentum_score": 100, "normalized_quality_score": 89.84,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213.68,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213.68, "ticker": "ORCL", "timestamp": "2026-06-08T09:24:54", "warnings": ["Target ATR feasibility unavailable.", "Earnings blackout active."]}</t>
        </is>
      </c>
    </row>
    <row r="124">
      <c r="A124" t="inlineStr">
        <is>
          <t>2026-06-08T09:24:54</t>
        </is>
      </c>
      <c r="B124" t="inlineStr">
        <is>
          <t>UNH</t>
        </is>
      </c>
      <c r="C124" t="inlineStr">
        <is>
          <t>No Trade</t>
        </is>
      </c>
      <c r="D124" t="n">
        <v>0</v>
      </c>
      <c r="E124" t="n">
        <v>399.47</v>
      </c>
      <c r="H124" t="n">
        <v>0</v>
      </c>
      <c r="K124" t="n">
        <v>0</v>
      </c>
      <c r="L124" t="inlineStr">
        <is>
          <t>No clean technical setup detected. Price in middle of value area or poor risk/reward.</t>
        </is>
      </c>
      <c r="M124" t="inlineStr">
        <is>
          <t>SKIP</t>
        </is>
      </c>
      <c r="N124" t="inlineStr">
        <is>
          <t>SKIP: No Trade result. Market regime NEUTRAL; sector NEUTRAL; net R/R 0.00.</t>
        </is>
      </c>
      <c r="O124" t="inlineStr">
        <is>
          <t>UNH
No Trade
0.00
score
Price
399.47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312.57
Fib Zone
310.10 - 315.05
Swing Low
255.97
Swing High
404.15
Click chart to open full size</t>
        </is>
      </c>
      <c r="P124" t="inlineStr">
        <is>
          <t>agent_results\charts\market_lens_agent_20260608_091643_unh.png</t>
        </is>
      </c>
      <c r="Q124" t="inlineStr">
        <is>
          <t>Smart Universe: broad liquid US universe, diversified by sector | Sector: Healthcare - Neutral (66/100); XLV sector regime is neutral: -0.4% 3m return, -9.4% vs SPY | Setup: No Trade; score 0.00; R/R 0.00x; price 399.47 | Market: NEUTRAL; Sector regime: NEUTRAL; Net R/R: 0.00; Factors: Defensive, Healthcare | Agent action: SKIP - SKIP: No Trade result. Market regime NEUTRAL; sector NEUTRAL; net R/R 0.00.</t>
        </is>
      </c>
      <c r="R124" t="inlineStr">
        <is>
          <t>{"adjusted_cash_out": 0.0, "adjusted_position_size": 0, "adjusted_risk_amount": 0.0, "ask": 0.0, "bid": 0.0, "buy_zone_high": null, "buy_zone_low": null, "cash_available": 94003.2, "company_name": "UnitedHealth Group Incorporated", "correlation_warning": false, "days_to_earnings": 36, "earnings_blackout": false, "earnings_date": "2026-07-28T00:00:00", "estimated_fees": 0.0, "estimated_slippage": 0.5593, "estimated_spread": 0.1198, "executable_entry": 399.47,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399.47, "gross_rr": 0.0, "gross_rr_1": 0.0, "gross_rr_2": 0.0, "gross_rr_decision": 0.0, "highest_correlation_ticker": "XOM", "highest_correlation_value": -0.0208, "initial_action": "SKIP", "market_cap": 362776446174.45,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399.8095, "net_reward_1_per_share": 0.0, "net_reward_2_per_share": 0.0, "net_risk_per_share": 400.1491, "net_rr": 0.0, "net_rr_1": 0.0, "net_rr_2": 0.0, "net_stop_assumption": -0.3395, "net_target_1_assumption": -0.1997, "net_target_2_assumption": -0.1997, "normalized_atr_score": 100.0, "normalized_liquidity_score": 61.49, "normalized_momentum_score": 100, "normalized_quality_score": 88.45,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399.47,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399.47, "ticker": "UNH", "timestamp": "2026-06-08T09:24:54", "warnings": ["Target ATR feasibility unavailable."]}</t>
        </is>
      </c>
    </row>
    <row r="125">
      <c r="A125" t="inlineStr">
        <is>
          <t>2026-06-08T09:24:54</t>
        </is>
      </c>
      <c r="B125" t="inlineStr">
        <is>
          <t>CRWD</t>
        </is>
      </c>
      <c r="C125" t="inlineStr">
        <is>
          <t>No Trade</t>
        </is>
      </c>
      <c r="D125" t="n">
        <v>0</v>
      </c>
      <c r="E125" t="n">
        <v>671.02</v>
      </c>
      <c r="H125" t="n">
        <v>0</v>
      </c>
      <c r="K125" t="n">
        <v>0</v>
      </c>
      <c r="L125" t="inlineStr">
        <is>
          <t>No clean technical setup detected. Price in middle of value area or poor risk/reward.</t>
        </is>
      </c>
      <c r="M125" t="inlineStr">
        <is>
          <t>SKIP</t>
        </is>
      </c>
      <c r="N125" t="inlineStr">
        <is>
          <t>SKIP: No Trade result. Market regime NEUTRAL; sector STRONG; net R/R 0.00.</t>
        </is>
      </c>
      <c r="O125" t="inlineStr">
        <is>
          <t>CRWD
No Trade
0.00
score
Price
671.02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404.00
Fib Zone
395.22 - 412.77
Swing Low
364.47
Swing High
467.95
Click chart to open full size</t>
        </is>
      </c>
      <c r="P125" t="inlineStr">
        <is>
          <t>agent_results\charts\market_lens_agent_20260608_091643_crwd.png</t>
        </is>
      </c>
      <c r="Q125" t="inlineStr">
        <is>
          <t>Smart Universe: broad liquid US universe, diversified by sector | Sector: Technology - Strong (76/100); XLK sector regime is strong: 29.2% 3m return, 20.1% vs SPY | Setup: No Trade; score 0.00; R/R 0.00x; price 671.02 | Market: NEUTRAL; Sector regime: STRONG; Net R/R: 0.00; Factors: High Beta Growth, Technology | Agent action: SKIP - SKIP: No Trade result. Market regime NEUTRAL; sector STRONG; net R/R 0.00.</t>
        </is>
      </c>
      <c r="R125" t="inlineStr">
        <is>
          <t>{"adjusted_cash_out": 0.0, "adjusted_position_size": 0, "adjusted_risk_amount": 0.0, "ask": 0.0, "bid": 0.0, "buy_zone_high": null, "buy_zone_low": null, "cash_available": 94003.2, "company_name": "CrowdStrike Holdings, Inc.", "correlation_warning": false, "days_to_earnings": 61, "earnings_blackout": false, "earnings_date": "2026-09-01T00:00:00", "estimated_fees": 0.0, "estimated_slippage": 0.9394, "estimated_spread": 0.2013, "executable_entry": 671.02,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671.02, "gross_rr": 0.0, "gross_rr_1": 0.0, "gross_rr_2": 0.0, "gross_rr_decision": 0.0, "highest_correlation_ticker": "XOM", "highest_correlation_value": -0.0496, "initial_action": "SKIP", "market_cap": 170818090488.37,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671.5904, "net_reward_1_per_share": 0.0, "net_reward_2_per_share": 0.0, "net_risk_per_share": 672.1607, "net_rr": 0.0, "net_rr_1": 0.0, "net_rr_2": 0.0, "net_stop_assumption": -0.5704, "net_target_1_assumption": -0.3355, "net_target_2_assumption": -0.3355, "normalized_atr_score": 100.0, "normalized_liquidity_score": 94.37, "normalized_momentum_score": 100, "normalized_quality_score": 98.31,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671.02,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671.02, "ticker": "CRWD", "timestamp": "2026-06-08T09:24:54", "warnings": ["Target ATR feasibility unavailable."]}</t>
        </is>
      </c>
    </row>
    <row r="126">
      <c r="A126" t="inlineStr">
        <is>
          <t>2026-06-08T09:24:54</t>
        </is>
      </c>
      <c r="B126" t="inlineStr">
        <is>
          <t>MU</t>
        </is>
      </c>
      <c r="C126" t="inlineStr">
        <is>
          <t>No Trade</t>
        </is>
      </c>
      <c r="D126" t="n">
        <v>0</v>
      </c>
      <c r="E126" t="n">
        <v>864.01</v>
      </c>
      <c r="H126" t="n">
        <v>0</v>
      </c>
      <c r="K126" t="n">
        <v>0</v>
      </c>
      <c r="L126" t="inlineStr">
        <is>
          <t>No clean technical setup detected. Price in middle of value area or poor risk/reward.</t>
        </is>
      </c>
      <c r="M126" t="inlineStr">
        <is>
          <t>SKIP</t>
        </is>
      </c>
      <c r="N126" t="inlineStr">
        <is>
          <t>SKIP: No Trade result. Market regime NEUTRAL; sector STRONG; net R/R 0.00.</t>
        </is>
      </c>
      <c r="O126" t="inlineStr">
        <is>
          <t>MU
No Trade
0.00
score
Price
864.01
R/R
0.00x
Grade
No Trade
Quality
0%
Buy Zone
-
Stop
0.00
Targets
-
Skip
Mixed
Relative Strength
Leadership
100%
Trend Quality
Clean uptrend
86%
Liquidity
Institutional liquidity
100%
Volume
Confirmed
100%
No actionable setup detected.
No clean technical setup detected. Price in middle of value area or poor risk/reward.
Fib 61.8
505.23
Fib Zone
488.78 - 521.68
Swing Low
311.49
Swing High
818.67
Click chart to open full size</t>
        </is>
      </c>
      <c r="P126" t="inlineStr">
        <is>
          <t>agent_results\charts\market_lens_agent_20260608_091643_mu.png</t>
        </is>
      </c>
      <c r="Q126" t="inlineStr">
        <is>
          <t>Smart Universe: broad liquid US universe, diversified by sector | Sector: Semiconductors - Strong (79/100); SMH sector regime is strong: 44.5% 3m return, 35.4% vs SPY | Setup: No Trade; score 0.00; R/R 0.00x; price 864.01 | Market: NEUTRAL; Sector regime: STRONG; Net R/R: 0.00; Factors: AI / Semiconductors, Semiconductors | Agent action: SKIP - SKIP: No Trade result. Market regime NEUTRAL; sector STRONG; net R/R 0.00.</t>
        </is>
      </c>
      <c r="R126" t="inlineStr">
        <is>
          <t>{"adjusted_cash_out": 0.0, "adjusted_position_size": 0, "adjusted_risk_amount": 0.0, "ask": 0.0, "bid": 0.0, "buy_zone_high": null, "buy_zone_low": null, "cash_available": 94003.2, "company_name": "Micron Technology, Inc.", "correlation_warning": false, "days_to_earnings": 12, "earnings_blackout": false, "earnings_date": "2026-06-24T00:00:00", "estimated_fees": 0.0, "estimated_slippage": 1.3911, "estimated_spread": 0.2592, "executable_entry": 864.01,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864.01, "gross_rr": 0.0, "gross_rr_1": 0.0, "gross_rr_2": 0.0, "gross_rr_decision": 0.0, "highest_correlation_ticker": "XOM", "highest_correlation_value": -0.2523, "initial_action": "SKIP", "market_cap": 974373508417.54,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864.8351, "net_reward_1_per_share": 0.0, "net_reward_2_per_share": 0.0, "net_risk_per_share": 865.6603, "net_rr": 0.0, "net_rr_1": 0.0, "net_rr_2": 0.0, "net_stop_assumption": -0.8251, "net_target_1_assumption": -0.4774, "net_target_2_assumption": -0.4774, "normalized_atr_score": 70.68, "normalized_liquidity_score": 100, "normalized_momentum_score": 100, "normalized_quality_score": 92.67,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864.01,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864.01, "ticker": "MU", "timestamp": "2026-06-08T09:24:54", "warnings": ["Target ATR feasibility unavailable."]}</t>
        </is>
      </c>
    </row>
    <row r="127">
      <c r="A127" t="inlineStr">
        <is>
          <t>2026-06-08T09:24:54</t>
        </is>
      </c>
      <c r="B127" t="inlineStr">
        <is>
          <t>MS</t>
        </is>
      </c>
      <c r="C127" t="inlineStr">
        <is>
          <t>No Trade</t>
        </is>
      </c>
      <c r="D127" t="n">
        <v>0</v>
      </c>
      <c r="E127" t="n">
        <v>211.93</v>
      </c>
      <c r="H127" t="n">
        <v>0</v>
      </c>
      <c r="K127" t="n">
        <v>0</v>
      </c>
      <c r="L127" t="inlineStr">
        <is>
          <t>No clean technical setup detected. Price in middle of value area or poor risk/reward.</t>
        </is>
      </c>
      <c r="M127" t="inlineStr">
        <is>
          <t>SKIP</t>
        </is>
      </c>
      <c r="N127" t="inlineStr">
        <is>
          <t>SKIP: No Trade result. Market regime NEUTRAL; sector STRONG; net R/R 0.00.</t>
        </is>
      </c>
      <c r="O127" t="inlineStr">
        <is>
          <t>MS
No Trade
0.00
score
Price
211.93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166.53 - 169.19
Swing Low
151.98
Swing High
193.55
Click chart to open full size</t>
        </is>
      </c>
      <c r="P127" t="inlineStr">
        <is>
          <t>agent_results\charts\market_lens_agent_20260608_091643_ms.png</t>
        </is>
      </c>
      <c r="Q127" t="inlineStr">
        <is>
          <t>Smart Universe: broad liquid US universe, diversified by sector | Sector: Financials - Strong (70/100); XLF sector regime is strong: 4.4% 3m return, -4.6% vs SPY | Setup: No Trade; score 0.00; R/R 0.00x; price 211.93 | Market: NEUTRAL; Sector regime: STRONG; Net R/R: 0.00; Factors: Financials | Agent action: SKIP - SKIP: No Trade result. Market regime NEUTRAL; sector STRONG; net R/R 0.00.</t>
        </is>
      </c>
      <c r="R127" t="inlineStr">
        <is>
          <t>{"adjusted_cash_out": 0.0, "adjusted_position_size": 0, "adjusted_risk_amount": 0.0, "ask": 0.0, "bid": 0.0, "buy_zone_high": null, "buy_zone_low": null, "cash_available": 94003.2, "company_name": "Morgan Stanley", "correlation_warning": false, "days_to_earnings": 27, "earnings_blackout": false, "earnings_date": "2026-07-15T00:00:00", "estimated_fees": 0.0, "estimated_slippage": 0.2967, "estimated_spread": 0.0636, "executable_entry": 211.93,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211.93, "gross_rr": 0.0, "gross_rr_1": 0.0, "gross_rr_2": 0.0, "gross_rr_decision": 0.0, "highest_correlation_ticker": "XOM", "highest_correlation_value": -0.329, "initial_action": "SKIP", "market_cap": 334273959714.43,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212.1101, "net_reward_1_per_share": 0.0, "net_reward_2_per_share": 0.0, "net_risk_per_share": 212.2903, "net_rr": 0.0, "net_rr_1": 0.0, "net_rr_2": 0.0, "net_stop_assumption": -0.1801, "net_target_1_assumption": -0.106, "net_target_2_assumption": -0.106, "normalized_atr_score": 100.0, "normalized_liquidity_score": 39.49, "normalized_momentum_score": 100, "normalized_quality_score": 81.85,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211.93,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211.93, "ticker": "MS", "timestamp": "2026-06-08T09:24:54", "warnings": ["Target ATR feasibility unavailable."]}</t>
        </is>
      </c>
    </row>
    <row r="128">
      <c r="A128" t="inlineStr">
        <is>
          <t>2026-06-08T09:24:54</t>
        </is>
      </c>
      <c r="B128" t="inlineStr">
        <is>
          <t>CAT</t>
        </is>
      </c>
      <c r="C128" t="inlineStr">
        <is>
          <t>No Trade</t>
        </is>
      </c>
      <c r="D128" t="n">
        <v>0</v>
      </c>
      <c r="E128" t="n">
        <v>904.28</v>
      </c>
      <c r="H128" t="n">
        <v>0</v>
      </c>
      <c r="K128" t="n">
        <v>0</v>
      </c>
      <c r="L128" t="inlineStr">
        <is>
          <t>No clean technical setup detected. Price in middle of value area or poor risk/reward.</t>
        </is>
      </c>
      <c r="M128" t="inlineStr">
        <is>
          <t>SKIP</t>
        </is>
      </c>
      <c r="N128" t="inlineStr">
        <is>
          <t>SKIP: No Trade result. Market regime NEUTRAL; sector NEUTRAL; net R/R 0.00.</t>
        </is>
      </c>
      <c r="O128" t="inlineStr">
        <is>
          <t>CAT
No Trade
0.00
score
Price
904.28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757.07 - 772.21
Swing Low
661.59
Swing High
931.35
Click chart to open full size</t>
        </is>
      </c>
      <c r="P128" t="inlineStr">
        <is>
          <t>agent_results\charts\market_lens_agent_20260608_091643_cat.png</t>
        </is>
      </c>
      <c r="Q128" t="inlineStr">
        <is>
          <t>Smart Universe: broad liquid US universe, diversified by sector | Sector: Industrials - Neutral (67/100); XLI sector regime is neutral: 2.2% 3m return, -6.9% vs SPY | Setup: No Trade; score 0.00; R/R 0.00x; price 904.28 | Market: NEUTRAL; Sector regime: NEUTRAL; Net R/R: 0.00; Factors: Industrials | Agent action: SKIP - SKIP: No Trade result. Market regime NEUTRAL; sector NEUTRAL; net R/R 0.00.</t>
        </is>
      </c>
      <c r="R128" t="inlineStr">
        <is>
          <t>{"adjusted_cash_out": 0.0, "adjusted_position_size": 0, "adjusted_risk_amount": 0.0, "ask": 0.0, "bid": 0.0, "buy_zone_high": null, "buy_zone_low": null, "cash_available": 94003.2, "company_name": "Caterpillar Inc.", "correlation_warning": false, "days_to_earnings": 41, "earnings_blackout": false, "earnings_date": "2026-08-04T00:00:00", "estimated_fees": 0.0, "estimated_slippage": 1.266, "estimated_spread": 0.2713, "executable_entry": 904.28,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904.28, "gross_rr": 0.0, "gross_rr_1": 0.0, "gross_rr_2": 0.0, "gross_rr_decision": 0.0, "highest_correlation_ticker": "XOM", "highest_correlation_value": -0.1636, "initial_action": "SKIP", "market_cap": 416504131881.15,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905.0486, "net_reward_1_per_share": 0.0, "net_reward_2_per_share": 0.0, "net_risk_per_share": 905.8173, "net_rr": 0.0, "net_rr_1": 0.0, "net_rr_2": 0.0, "net_stop_assumption": -0.7686, "net_target_1_assumption": -0.4521, "net_target_2_assumption": -0.4521, "normalized_atr_score": 100.0, "normalized_liquidity_score": 56.89, "normalized_momentum_score": 100, "normalized_quality_score": 87.07,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904.28,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904.28, "ticker": "CAT", "timestamp": "2026-06-08T09:24:54", "warnings": ["Target ATR feasibility unavailable."]}</t>
        </is>
      </c>
    </row>
    <row r="129">
      <c r="A129" t="inlineStr">
        <is>
          <t>2026-06-08T09:24:54</t>
        </is>
      </c>
      <c r="B129" t="inlineStr">
        <is>
          <t>GS</t>
        </is>
      </c>
      <c r="C129" t="inlineStr">
        <is>
          <t>No Trade</t>
        </is>
      </c>
      <c r="D129" t="n">
        <v>0</v>
      </c>
      <c r="E129" t="n">
        <v>1038.68</v>
      </c>
      <c r="H129" t="n">
        <v>0</v>
      </c>
      <c r="K129" t="n">
        <v>0</v>
      </c>
      <c r="L129" t="inlineStr">
        <is>
          <t>No clean technical setup detected. Price in middle of value area or poor risk/reward.</t>
        </is>
      </c>
      <c r="M129" t="inlineStr">
        <is>
          <t>SKIP</t>
        </is>
      </c>
      <c r="N129" t="inlineStr">
        <is>
          <t>SKIP: No Trade result. Market regime NEUTRAL; sector STRONG; net R/R 0.00.</t>
        </is>
      </c>
      <c r="O129" t="inlineStr">
        <is>
          <t>GS
No Trade
0.00
score
Price
1038.68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842.30
Fib Zone
834.41 - 850.20
Swing Low
777.08
Swing High
947.83
Click chart to open full size</t>
        </is>
      </c>
      <c r="P129" t="inlineStr">
        <is>
          <t>agent_results\charts\market_lens_agent_20260608_091643_gs.png</t>
        </is>
      </c>
      <c r="Q129" t="inlineStr">
        <is>
          <t>Smart Universe: broad liquid US universe, diversified by sector | Sector: Financials - Strong (70/100); XLF sector regime is strong: 4.4% 3m return, -4.6% vs SPY | Setup: No Trade; score 0.00; R/R 0.00x; price 1038.68 | Market: NEUTRAL; Sector regime: STRONG; Net R/R: 0.00; Factors: Financials | Agent action: SKIP - SKIP: No Trade result. Market regime NEUTRAL; sector STRONG; net R/R 0.00.</t>
        </is>
      </c>
      <c r="R129" t="inlineStr">
        <is>
          <t>{"adjusted_cash_out": 0.0, "adjusted_position_size": 0, "adjusted_risk_amount": 0.0, "ask": 0.0, "bid": 0.0, "buy_zone_high": null, "buy_zone_low": null, "cash_available": 94003.2, "company_name": "Goldman Sachs Group, Inc.", "correlation_warning": false, "days_to_earnings": 26, "earnings_blackout": false, "earnings_date": "2026-07-14T00:00:00", "estimated_fees": 0.0, "estimated_slippage": 1.4542, "estimated_spread": 0.3116, "executable_entry": 1038.68,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1038.68, "gross_rr": 0.0, "gross_rr_1": 0.0, "gross_rr_2": 0.0, "gross_rr_decision": 0.0, "highest_correlation_ticker": "XOM", "highest_correlation_value": -0.3392, "initial_action": "SKIP", "market_cap": 306418323889.41,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1039.5629, "net_reward_1_per_share": 0.0, "net_reward_2_per_share": 0.0, "net_risk_per_share": 1040.4458, "net_rr": 0.0, "net_rr_1": 0.0, "net_rr_2": 0.0, "net_stop_assumption": -0.8829, "net_target_1_assumption": -0.5193, "net_target_2_assumption": -0.5193, "normalized_atr_score": 100.0, "normalized_liquidity_score": 55.06, "normalized_momentum_score": 100, "normalized_quality_score": 86.52,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1038.68,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1038.68, "ticker": "GS", "timestamp": "2026-06-08T09:24:54", "warnings": ["Target ATR feasibility unavailable."]}</t>
        </is>
      </c>
    </row>
    <row r="130">
      <c r="A130" t="inlineStr">
        <is>
          <t>2026-06-08T09:24:54</t>
        </is>
      </c>
      <c r="B130" t="inlineStr">
        <is>
          <t>URI</t>
        </is>
      </c>
      <c r="C130" t="inlineStr">
        <is>
          <t>No Trade</t>
        </is>
      </c>
      <c r="D130" t="n">
        <v>0</v>
      </c>
      <c r="E130" t="n">
        <v>1067.77</v>
      </c>
      <c r="H130" t="n">
        <v>0</v>
      </c>
      <c r="K130" t="n">
        <v>0</v>
      </c>
      <c r="L130" t="inlineStr">
        <is>
          <t>No clean technical setup detected. Price in middle of value area or poor risk/reward.</t>
        </is>
      </c>
      <c r="M130" t="inlineStr">
        <is>
          <t>SKIP</t>
        </is>
      </c>
      <c r="N130" t="inlineStr">
        <is>
          <t>SKIP: No Trade result. Market regime NEUTRAL; sector NEUTRAL; net R/R 0.00.</t>
        </is>
      </c>
      <c r="O130" t="inlineStr">
        <is>
          <t>URI
No Trade
0.00
score
Price
1067.77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819.18
Fib Zone
811.20 - 827.15
Swing Low
707.99
Swing High
999.06
Click chart to open full size</t>
        </is>
      </c>
      <c r="P130" t="inlineStr">
        <is>
          <t>agent_results\charts\market_lens_agent_20260608_091643_uri.png</t>
        </is>
      </c>
      <c r="Q130" t="inlineStr">
        <is>
          <t>Smart Universe: broad liquid US universe, diversified by sector | Sector: Industrials - Neutral (67/100); XLI sector regime is neutral: 2.2% 3m return, -6.9% vs SPY | Setup: No Trade; score 0.00; R/R 0.00x; price 1067.77 | Market: NEUTRAL; Sector regime: NEUTRAL; Net R/R: 0.00; Factors: Industrials | Agent action: SKIP - SKIP: No Trade result. Market regime NEUTRAL; sector NEUTRAL; net R/R 0.00.</t>
        </is>
      </c>
      <c r="R130" t="inlineStr">
        <is>
          <t>{"adjusted_cash_out": 0.0, "adjusted_position_size": 0, "adjusted_risk_amount": 0.0, "ask": 0.0, "bid": 0.0, "buy_zone_high": null, "buy_zone_low": null, "cash_available": 94003.2, "company_name": "United Rentals, Inc.", "correlation_warning": false, "days_to_earnings": 32, "earnings_blackout": false, "earnings_date": "2026-07-22T00:00:00", "estimated_fees": 0.0, "estimated_slippage": 3.2033, "estimated_spread": 0.8542, "executable_entry": 1067.77,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1067.77, "gross_rr": 0.0, "gross_rr_1": 0.0, "gross_rr_2": 0.0, "gross_rr_decision": 0.0, "highest_correlation_ticker": "XOM", "highest_correlation_value": -0.0614, "initial_action": "SKIP", "market_cap": 66892115391.46,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1069.7988, "net_reward_1_per_share": 0.0, "net_reward_2_per_share": 0.0, "net_risk_per_share": 1071.8275, "net_rr": 0.0, "net_rr_1": 0.0, "net_rr_2": 0.0, "net_stop_assumption": -2.0288, "net_target_1_assumption": -1.2279, "net_target_2_assumption": -1.2279, "normalized_atr_score": 100.0, "normalized_liquidity_score": 47.57, "normalized_momentum_score": 100, "normalized_quality_score": 84.27,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1067.77,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1067.77, "ticker": "URI", "timestamp": "2026-06-08T09:24:54", "warnings": ["Target ATR feasibility unavailable."]}</t>
        </is>
      </c>
    </row>
    <row r="131">
      <c r="A131" t="inlineStr">
        <is>
          <t>2026-06-08T09:24:54</t>
        </is>
      </c>
      <c r="B131" t="inlineStr">
        <is>
          <t>SMCI</t>
        </is>
      </c>
      <c r="C131" t="inlineStr">
        <is>
          <t>No Trade</t>
        </is>
      </c>
      <c r="D131" t="n">
        <v>0</v>
      </c>
      <c r="E131" t="n">
        <v>41.64</v>
      </c>
      <c r="H131" t="n">
        <v>0</v>
      </c>
      <c r="K131" t="n">
        <v>0</v>
      </c>
      <c r="L131" t="inlineStr">
        <is>
          <t>No clean technical setup detected. Price in middle of value area or poor risk/reward.</t>
        </is>
      </c>
      <c r="M131" t="inlineStr">
        <is>
          <t>SKIP</t>
        </is>
      </c>
      <c r="N131" t="inlineStr">
        <is>
          <t>SKIP: No Trade result. Market regime NEUTRAL; sector STRONG; net R/R 0.00.</t>
        </is>
      </c>
      <c r="O131" t="inlineStr">
        <is>
          <t>SMCI
No Trade
0.00
score
Price
41.64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29.63
Fib Zone
28.83 - 30.42
Swing Low
25.46
Swing High
36.37
Click chart to open full size</t>
        </is>
      </c>
      <c r="P131" t="inlineStr">
        <is>
          <t>agent_results\charts\market_lens_agent_20260608_091643_smci.png</t>
        </is>
      </c>
      <c r="Q131" t="inlineStr">
        <is>
          <t>Smart Universe: broad liquid US universe, diversified by sector | Sector: Semiconductors - Strong (79/100); SMH sector regime is strong: 44.5% 3m return, 35.4% vs SPY | Setup: No Trade; score 0.00; R/R 0.00x; price 41.64 | Market: NEUTRAL; Sector regime: STRONG; Net R/R: 0.00; Factors: AI / Semiconductors, High Beta Growth, Semiconductors | Agent action: SKIP - SKIP: No Trade result. Market regime NEUTRAL; sector STRONG; net R/R 0.00.</t>
        </is>
      </c>
      <c r="R131" t="inlineStr">
        <is>
          <t>{"adjusted_cash_out": 0.0, "adjusted_position_size": 0, "adjusted_risk_amount": 0.0, "ask": 0.0, "bid": 0.0, "buy_zone_high": null, "buy_zone_low": null, "cash_available": 94003.2, "company_name": "Super Micro Computer, Inc.", "correlation_warning": false, "days_to_earnings": 41, "earnings_blackout": false, "earnings_date": "2026-08-04T00:00:00", "estimated_fees": 0.0, "estimated_slippage": 0.067, "estimated_spread": 0.0125, "executable_entry": 41.64, "execution_liquidity_bucket": "large_liquid", "factor_exposure_after": {"Energy": 5996.8}, "factor_exposure_before": {"Energy": 5996.8}, "factor_exposure_cap": 7000.0, "factor_exposure_limit_exceeded": false, "factor_tags": ["AI / Semiconductors", "High Beta Growth", "Semiconductors"], "final_action": "SKIP", "gross_reward_1_per_share": 0.0, "gross_reward_2_per_share": 0.0, "gross_risk_per_share": 41.64, "gross_rr": 0.0, "gross_rr_1": 0.0, "gross_rr_2": 0.0, "gross_rr_decision": 0.0, "highest_correlation_ticker": "XOM", "highest_correlation_value": -0.2645, "initial_action": "SKIP", "market_cap": 25043065223.4,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41.6798, "net_reward_1_per_share": 0.0, "net_reward_2_per_share": 0.0, "net_risk_per_share": 41.7195, "net_rr": 0.0, "net_rr_1": 0.0, "net_rr_2": 0.0, "net_stop_assumption": -0.0398, "net_target_1_assumption": -0.023, "net_target_2_assumption": -0.023, "normalized_atr_score": 80.49, "normalized_liquidity_score": 81.49, "normalized_momentum_score": 100, "normalized_quality_score": 89.57,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41.64,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41.64, "ticker": "SMCI", "timestamp": "2026-06-08T09:24:54", "warnings": ["Target ATR feasibility unavailable."]}</t>
        </is>
      </c>
    </row>
    <row r="132">
      <c r="A132" t="inlineStr">
        <is>
          <t>2026-06-08T09:24:54</t>
        </is>
      </c>
      <c r="B132" t="inlineStr">
        <is>
          <t>ASML</t>
        </is>
      </c>
      <c r="C132" t="inlineStr">
        <is>
          <t>No Trade</t>
        </is>
      </c>
      <c r="D132" t="n">
        <v>0</v>
      </c>
      <c r="E132" t="n">
        <v>1641.74</v>
      </c>
      <c r="H132" t="n">
        <v>0</v>
      </c>
      <c r="K132" t="n">
        <v>0</v>
      </c>
      <c r="L132" t="inlineStr">
        <is>
          <t>No clean technical setup detected. Price in middle of value area or poor risk/reward.</t>
        </is>
      </c>
      <c r="M132" t="inlineStr">
        <is>
          <t>SKIP</t>
        </is>
      </c>
      <c r="N132" t="inlineStr">
        <is>
          <t>SKIP: No Trade result. Market regime NEUTRAL; sector STRONG; net R/R 0.00.</t>
        </is>
      </c>
      <c r="O132" t="inlineStr">
        <is>
          <t>ASML
No Trade
0.00
score
Price
1641.74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1438.81 - 1473.16
Swing Low
1364.81
Swing High
1603.49
Click chart to open full size</t>
        </is>
      </c>
      <c r="P132" t="inlineStr">
        <is>
          <t>agent_results\charts\market_lens_agent_20260608_091643_asml.png</t>
        </is>
      </c>
      <c r="Q132" t="inlineStr">
        <is>
          <t>Smart Universe: broad liquid US universe, diversified by sector | Sector: Semiconductors - Strong (79/100); SMH sector regime is strong: 44.5% 3m return, 35.4% vs SPY | Setup: No Trade; score 0.00; R/R 0.00x; price 1641.74 | Market: NEUTRAL; Sector regime: STRONG; Net R/R: 0.00; Factors: AI / Semiconductors, Semiconductors | Agent action: SKIP - SKIP: No Trade result. Market regime NEUTRAL; sector STRONG; net R/R 0.00.</t>
        </is>
      </c>
      <c r="R132" t="inlineStr">
        <is>
          <t>{"adjusted_cash_out": 0.0, "adjusted_position_size": 0, "adjusted_risk_amount": 0.0, "ask": 0.0, "bid": 0.0, "buy_zone_high": null, "buy_zone_low": null, "cash_available": 94003.2, "company_name": "ASML Holding N.V.", "correlation_warning": false, "days_to_earnings": 27, "earnings_blackout": false, "earnings_date": "2026-07-15T00:00:00", "estimated_fees": 0.0, "estimated_slippage": 2.2984, "estimated_spread": 0.4925, "executable_entry": 1641.74,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1641.74, "gross_rr": 0.0, "gross_rr_1": 0.0, "gross_rr_2": 0.0, "gross_rr_decision": 0.0, "highest_correlation_ticker": "XOM", "highest_correlation_value": -0.36, "initial_action": "SKIP", "market_cap": 632755593573.26,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1643.1355, "net_reward_1_per_share": 0.0, "net_reward_2_per_share": 0.0, "net_risk_per_share": 1644.531, "net_rr": 0.0, "net_rr_1": 0.0, "net_rr_2": 0.0, "net_stop_assumption": -1.3955, "net_target_1_assumption": -0.8209, "net_target_2_assumption": -0.8209, "normalized_atr_score": 100.0, "normalized_liquidity_score": 60.26, "normalized_momentum_score": 100, "normalized_quality_score": 88.08,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1641.74,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1641.74, "ticker": "ASML", "timestamp": "2026-06-08T09:24:54", "warnings": ["Target ATR feasibility unavailable."]}</t>
        </is>
      </c>
    </row>
    <row r="133">
      <c r="A133" t="inlineStr">
        <is>
          <t>2026-06-08T09:24:54</t>
        </is>
      </c>
      <c r="B133" t="inlineStr">
        <is>
          <t>LRCX</t>
        </is>
      </c>
      <c r="C133" t="inlineStr">
        <is>
          <t>No Trade</t>
        </is>
      </c>
      <c r="D133" t="n">
        <v>0</v>
      </c>
      <c r="E133" t="n">
        <v>303.28</v>
      </c>
      <c r="H133" t="n">
        <v>0</v>
      </c>
      <c r="K133" t="n">
        <v>0</v>
      </c>
      <c r="L133" t="inlineStr">
        <is>
          <t>No clean technical setup detected. Price in middle of value area or poor risk/reward.</t>
        </is>
      </c>
      <c r="M133" t="inlineStr">
        <is>
          <t>SKIP</t>
        </is>
      </c>
      <c r="N133" t="inlineStr">
        <is>
          <t>SKIP: No Trade result. Market regime NEUTRAL; sector STRONG; net R/R 0.00.</t>
        </is>
      </c>
      <c r="O133" t="inlineStr">
        <is>
          <t>LRCX
No Trade
0.00
score
Price
303.28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227.21
Fib Zone
223.23 - 231.20
Swing Low
198.60
Swing High
273.50
Click chart to open full size</t>
        </is>
      </c>
      <c r="P133" t="inlineStr">
        <is>
          <t>agent_results\charts\market_lens_agent_20260608_091643_lrcx.png</t>
        </is>
      </c>
      <c r="Q133" t="inlineStr">
        <is>
          <t>Smart Universe: broad liquid US universe, diversified by sector | Sector: Semiconductors - Strong (79/100); SMH sector regime is strong: 44.5% 3m return, 35.4% vs SPY | Setup: No Trade; score 0.00; R/R 0.00x; price 303.28 | Market: NEUTRAL; Sector regime: STRONG; Net R/R: 0.00; Factors: AI / Semiconductors, Semiconductors | Agent action: SKIP - SKIP: No Trade result. Market regime NEUTRAL; sector STRONG; net R/R 0.00.</t>
        </is>
      </c>
      <c r="R133" t="inlineStr">
        <is>
          <t>{"adjusted_cash_out": 0.0, "adjusted_position_size": 0, "adjusted_risk_amount": 0.0, "ask": 0.0, "bid": 0.0, "buy_zone_high": null, "buy_zone_low": null, "cash_available": 94003.2, "company_name": "Lam Research Corporation", "correlation_warning": false, "days_to_earnings": 37, "earnings_blackout": false, "earnings_date": "2026-07-29T00:00:00", "estimated_fees": 0.0, "estimated_slippage": 0.4246, "estimated_spread": 0.091, "executable_entry": 303.28,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303.28, "gross_rr": 0.0, "gross_rr_1": 0.0, "gross_rr_2": 0.0, "gross_rr_decision": 0.0, "highest_correlation_ticker": "XOM", "highest_correlation_value": -0.3178, "initial_action": "SKIP", "market_cap": 379263466393.46,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303.5378, "net_reward_1_per_share": 0.0, "net_reward_2_per_share": 0.0, "net_risk_per_share": 303.7956, "net_rr": 0.0, "net_rr_1": 0.0, "net_rr_2": 0.0, "net_stop_assumption": -0.2578, "net_target_1_assumption": -0.1516, "net_target_2_assumption": -0.1516, "normalized_atr_score": 95.25, "normalized_liquidity_score": 60.92, "normalized_momentum_score": 100, "normalized_quality_score": 87.09,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303.28,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303.28, "ticker": "LRCX", "timestamp": "2026-06-08T09:24:54", "warnings": ["Target ATR feasibility unavailable."]}</t>
        </is>
      </c>
    </row>
    <row r="134">
      <c r="A134" t="inlineStr">
        <is>
          <t>2026-06-08T09:24:54</t>
        </is>
      </c>
      <c r="B134" t="inlineStr">
        <is>
          <t>TXN</t>
        </is>
      </c>
      <c r="C134" t="inlineStr">
        <is>
          <t>No Trade</t>
        </is>
      </c>
      <c r="D134" t="n">
        <v>0</v>
      </c>
      <c r="E134" t="n">
        <v>285.06</v>
      </c>
      <c r="H134" t="n">
        <v>0</v>
      </c>
      <c r="K134" t="n">
        <v>0</v>
      </c>
      <c r="L134" t="inlineStr">
        <is>
          <t>No clean technical setup detected. Price in middle of value area or poor risk/reward.</t>
        </is>
      </c>
      <c r="M134" t="inlineStr">
        <is>
          <t>SKIP</t>
        </is>
      </c>
      <c r="N134" t="inlineStr">
        <is>
          <t>SKIP: No Trade result. Market regime NEUTRAL; sector STRONG; net R/R 0.00.</t>
        </is>
      </c>
      <c r="O134" t="inlineStr">
        <is>
          <t>TXN
No Trade
0.00
score
Price
285.06
R/R
0.00x
Grade
No Trade
Quality
0%
Buy Zone
-
Stop
0.00
Targets
-
Skip
Mixed
Relative Strength
Leadership
87%
Trend Quality
Constructive
68%
Liquidity
Institutional liquidity
100%
Volume
Confirmed
85%
No actionable setup detected.
No clean technical setup detected. Price in middle of value area or poor risk/reward.
Fib 61.8
223.12
Fib Zone
220.05 - 226.19
Swing Low
184.01
Swing High
286.37
Click chart to open full size</t>
        </is>
      </c>
      <c r="P134" t="inlineStr">
        <is>
          <t>agent_results\charts\market_lens_agent_20260608_091643_txn.png</t>
        </is>
      </c>
      <c r="Q134" t="inlineStr">
        <is>
          <t>Smart Universe: broad liquid US universe, diversified by sector | Sector: Technology - Strong (76/100); XLK sector regime is strong: 29.2% 3m return, 20.1% vs SPY | Setup: No Trade; score 0.00; R/R 0.00x; price 285.06 | Market: NEUTRAL; Sector regime: STRONG; Net R/R: 0.00; Factors: AI / Semiconductors, Technology | Agent action: SKIP - SKIP: No Trade result. Market regime NEUTRAL; sector STRONG; net R/R 0.00.</t>
        </is>
      </c>
      <c r="R134" t="inlineStr">
        <is>
          <t>{"adjusted_cash_out": 0.0, "adjusted_position_size": 0, "adjusted_risk_amount": 0.0, "ask": 0.0, "bid": 0.0, "buy_zone_high": null, "buy_zone_low": null, "cash_available": 94003.2, "company_name": "Texas Instruments Incorporated", "correlation_warning": false, "days_to_earnings": 32, "earnings_blackout": false, "earnings_date": "2026-07-22T00:00:00", "estimated_fees": 0.0, "estimated_slippage": 0.3991, "estimated_spread": 0.0855, "executable_entry": 285.06, "execution_liquidity_bucket": "large_liquid", "factor_exposure_after": {"Energy": 5996.8}, "factor_exposure_before": {"Energy": 5996.8}, "factor_exposure_cap": 7000.0, "factor_exposure_limit_exceeded": false, "factor_tags": ["AI / Semiconductors", "Technology"], "final_action": "SKIP", "gross_reward_1_per_share": 0.0, "gross_reward_2_per_share": 0.0, "gross_risk_per_share": 285.06, "gross_rr": 0.0, "gross_rr_1": 0.0, "gross_rr_2": 0.0, "gross_rr_decision": 0.0, "highest_correlation_ticker": "XOM", "highest_correlation_value": -0.0794, "initial_action": "SKIP", "market_cap": 259431048780.55,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285.3023, "net_reward_1_per_share": 0.0, "net_reward_2_per_share": 0.0, "net_risk_per_share": 285.5446, "net_rr": 0.0, "net_rr_1": 0.0, "net_rr_2": 0.0, "net_stop_assumption": -0.2423, "net_target_1_assumption": -0.1425, "net_target_2_assumption": -0.1425, "normalized_atr_score": 100.0, "normalized_liquidity_score": 58.24, "normalized_momentum_score": 100, "normalized_quality_score": 87.47,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285.06,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285.06, "ticker": "TXN", "timestamp": "2026-06-08T09:24:54", "warnings": ["Target ATR feasibility unavailable."]}</t>
        </is>
      </c>
    </row>
    <row r="135">
      <c r="A135" t="inlineStr">
        <is>
          <t>2026-06-08T09:24:54</t>
        </is>
      </c>
      <c r="B135" t="inlineStr">
        <is>
          <t>AMD</t>
        </is>
      </c>
      <c r="C135" t="inlineStr">
        <is>
          <t>No Trade</t>
        </is>
      </c>
      <c r="D135" t="n">
        <v>0</v>
      </c>
      <c r="E135" t="n">
        <v>466.38</v>
      </c>
      <c r="H135" t="n">
        <v>0</v>
      </c>
      <c r="K135" t="n">
        <v>0</v>
      </c>
      <c r="L135" t="inlineStr">
        <is>
          <t>No clean technical setup detected. Price in middle of value area or poor risk/reward.</t>
        </is>
      </c>
      <c r="M135" t="inlineStr">
        <is>
          <t>SKIP</t>
        </is>
      </c>
      <c r="N135" t="inlineStr">
        <is>
          <t>SKIP: No Trade result. Market regime NEUTRAL; sector STRONG; net R/R 0.00.</t>
        </is>
      </c>
      <c r="O135" t="inlineStr">
        <is>
          <t>AMD
No Trade
0.00
score
Price
466.38
R/R
0.00x
Grade
No Trade
Quality
0%
Buy Zone
-
Stop
0.00
Targets
-
Skip
Mixed
Relative Strength
Leadership
100%
Trend Quality
Constructive
68%
Liquidity
Institutional liquidity
100%
Volume
Confirmed
100%
No actionable setup detected.
No clean technical setup detected. Price in middle of value area or poor risk/reward.
Fib 61.8
298.44
Fib Zone
291.08 - 305.79
Swing Low
192.87
Swing High
469.22
Click chart to open full size</t>
        </is>
      </c>
      <c r="P135" t="inlineStr">
        <is>
          <t>agent_results\charts\market_lens_agent_20260608_091643_amd.png</t>
        </is>
      </c>
      <c r="Q135" t="inlineStr">
        <is>
          <t>Smart Universe: broad liquid US universe, diversified by sector | Sector: Technology - Strong (76/100); XLK sector regime is strong: 29.2% 3m return, 20.1% vs SPY | Setup: No Trade; score 0.00; R/R 0.00x; price 466.38 | Market: NEUTRAL; Sector regime: STRONG; Net R/R: 0.00; Factors: AI / Semiconductors, High Beta Growth, Technology | Agent action: SKIP - SKIP: No Trade result. Market regime NEUTRAL; sector STRONG; net R/R 0.00.</t>
        </is>
      </c>
      <c r="R135" t="inlineStr">
        <is>
          <t>{"adjusted_cash_out": 0.0, "adjusted_position_size": 0, "adjusted_risk_amount": 0.0, "ask": 0.0, "bid": 0.0, "buy_zone_high": null, "buy_zone_low": null, "cash_available": 94003.2, "company_name": "Advanced Micro Devices, Inc.", "correlation_warning": false, "days_to_earnings": 41, "earnings_blackout": false, "earnings_date": "2026-08-04T00:00:00", "estimated_fees": 0.0, "estimated_slippage": 0.7509, "estimated_spread": 0.1399, "executable_entry": 466.38, "execution_liquidity_bucket": "large_liquid", "factor_exposure_after": {"Energy": 5996.8}, "factor_exposure_before": {"Energy": 5996.8}, "factor_exposure_cap": 7000.0, "factor_exposure_limit_exceeded": false, "factor_tags": ["AI / Semiconductors", "High Beta Growth", "Technology"], "final_action": "SKIP", "gross_reward_1_per_share": 0.0, "gross_reward_2_per_share": 0.0, "gross_risk_per_share": 466.38, "gross_rr": 0.0, "gross_rr_1": 0.0, "gross_rr_2": 0.0, "gross_rr_decision": 0.0, "highest_correlation_ticker": "XOM", "highest_correlation_value": -0.3362, "initial_action": "SKIP", "market_cap": 760479533978.74,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466.8254, "net_reward_1_per_share": 0.0, "net_reward_2_per_share": 0.0, "net_risk_per_share": 467.2708, "net_rr": 0.0, "net_rr_1": 0.0, "net_rr_2": 0.0, "net_stop_assumption": -0.4454, "net_target_1_assumption": -0.2577, "net_target_2_assumption": -0.2577, "normalized_atr_score": 84.31, "normalized_liquidity_score": 100, "normalized_momentum_score": 100, "normalized_quality_score": 96.08,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466.38,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466.38, "ticker": "AMD", "timestamp": "2026-06-08T09:24:54", "warnings": ["Target ATR feasibility unavailable."]}</t>
        </is>
      </c>
    </row>
    <row r="136">
      <c r="A136" t="inlineStr">
        <is>
          <t>2026-06-08T09:24:54</t>
        </is>
      </c>
      <c r="B136" t="inlineStr">
        <is>
          <t>C</t>
        </is>
      </c>
      <c r="C136" t="inlineStr">
        <is>
          <t>No Trade</t>
        </is>
      </c>
      <c r="D136" t="n">
        <v>0</v>
      </c>
      <c r="E136" t="n">
        <v>132.47</v>
      </c>
      <c r="H136" t="n">
        <v>0</v>
      </c>
      <c r="K136" t="n">
        <v>0</v>
      </c>
      <c r="L136" t="inlineStr">
        <is>
          <t>No clean technical setup detected. Price in middle of value area or poor risk/reward.</t>
        </is>
      </c>
      <c r="M136" t="inlineStr">
        <is>
          <t>SKIP</t>
        </is>
      </c>
      <c r="N136" t="inlineStr">
        <is>
          <t>SKIP: No Trade result. Market regime NEUTRAL; sector STRONG; net R/R 0.00.</t>
        </is>
      </c>
      <c r="O136" t="inlineStr">
        <is>
          <t>C
No Trade
0.00
score
Price
132.47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113.29 - 115.07
Swing Low
101.53
Swing High
134.65
Click chart to open full size</t>
        </is>
      </c>
      <c r="P136" t="inlineStr">
        <is>
          <t>agent_results\charts\market_lens_agent_20260608_091643_c.png</t>
        </is>
      </c>
      <c r="Q136" t="inlineStr">
        <is>
          <t>Smart Universe: broad liquid US universe, diversified by sector | Sector: Financials - Strong (70/100); XLF sector regime is strong: 4.4% 3m return, -4.6% vs SPY | Setup: No Trade; score 0.00; R/R 0.00x; price 132.47 | Market: NEUTRAL; Sector regime: STRONG; Net R/R: 0.00; Factors: Financials | Agent action: SKIP - SKIP: No Trade result. Market regime NEUTRAL; sector STRONG; net R/R 0.00.</t>
        </is>
      </c>
      <c r="R136" t="inlineStr">
        <is>
          <t>{"adjusted_cash_out": 0.0, "adjusted_position_size": 0, "adjusted_risk_amount": 0.0, "ask": 0.0, "bid": 0.0, "buy_zone_high": null, "buy_zone_low": null, "cash_available": 94003.2, "company_name": "Citigroup Inc.", "correlation_warning": false, "days_to_earnings": 26, "earnings_blackout": false, "earnings_date": "2026-07-14T00:00:00", "estimated_fees": 0.0, "estimated_slippage": 0.1855, "estimated_spread": 0.0397, "executable_entry": 132.47,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132.47, "gross_rr": 0.0, "gross_rr_1": 0.0, "gross_rr_2": 0.0, "gross_rr_decision": 0.0, "highest_correlation_ticker": "XOM", "highest_correlation_value": -0.2623, "initial_action": "SKIP", "market_cap": 225937781310.85,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132.5826, "net_reward_1_per_share": 0.0, "net_reward_2_per_share": 0.0, "net_risk_per_share": 132.6952, "net_rr": 0.0, "net_rr_1": 0.0, "net_rr_2": 0.0, "net_stop_assumption": -0.1126, "net_target_1_assumption": -0.0662, "net_target_2_assumption": -0.0662, "normalized_atr_score": 100.0, "normalized_liquidity_score": 42.28, "normalized_momentum_score": 100, "normalized_quality_score": 82.68,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132.47,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132.47, "ticker": "C", "timestamp": "2026-06-08T09:24:54", "warnings": ["Target ATR feasibility unavailable."]}</t>
        </is>
      </c>
    </row>
    <row r="137">
      <c r="A137" t="inlineStr">
        <is>
          <t>2026-06-08T09:24:54</t>
        </is>
      </c>
      <c r="B137" t="inlineStr">
        <is>
          <t>AAPL</t>
        </is>
      </c>
      <c r="C137" t="inlineStr">
        <is>
          <t>No Trade</t>
        </is>
      </c>
      <c r="D137" t="n">
        <v>0</v>
      </c>
      <c r="E137" t="n">
        <v>307.34</v>
      </c>
      <c r="H137" t="n">
        <v>0</v>
      </c>
      <c r="K137" t="n">
        <v>0</v>
      </c>
      <c r="L137" t="inlineStr">
        <is>
          <t>No clean technical setup detected. Price in middle of value area or poor risk/reward.</t>
        </is>
      </c>
      <c r="M137" t="inlineStr">
        <is>
          <t>SKIP</t>
        </is>
      </c>
      <c r="N137" t="inlineStr">
        <is>
          <t>SKIP: No Trade result. Market regime NEUTRAL; sector STRONG; net R/R 0.00.</t>
        </is>
      </c>
      <c r="O137" t="inlineStr">
        <is>
          <t>AAPL
No Trade
0.00
score
Price
307.34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257.26
Fib Zone
255.75 - 258.78
Swing Low
242.97
Swing High
280.39
Click chart to open full size</t>
        </is>
      </c>
      <c r="P137" t="inlineStr">
        <is>
          <t>agent_results\charts\market_lens_agent_20260608_091643_aapl.png</t>
        </is>
      </c>
      <c r="Q137" t="inlineStr">
        <is>
          <t>Smart Universe: broad liquid US universe, diversified by sector | Sector: Technology - Strong (76/100); XLK sector regime is strong: 29.2% 3m return, 20.1% vs SPY | Setup: No Trade; score 0.00; R/R 0.00x; price 307.34 | Market: NEUTRAL; Sector regime: STRONG; Net R/R: 0.00; Factors: Mega Cap Tech, Rates-sensitive Growth, Technology | Agent action: SKIP - SKIP: No Trade result. Market regime NEUTRAL; sector STRONG; net R/R 0.00.</t>
        </is>
      </c>
      <c r="R137" t="inlineStr">
        <is>
          <t>{"adjusted_cash_out": 0.0, "adjusted_position_size": 0, "adjusted_risk_amount": 0.0, "ask": 0.0, "bid": 0.0, "buy_zone_high": null, "buy_zone_low": null, "cash_available": 94003.2, "company_name": "Apple Inc.", "correlation_warning": false, "days_to_earnings": 38, "earnings_blackout": false, "earnings_date": "2026-07-30T00:00:00", "estimated_fees": 0.0, "estimated_slippage": 0.4303, "estimated_spread": 0.0922, "executable_entry": 307.34, "execution_liquidity_bucket": "large_liquid", "factor_exposure_after": {"Energy": 5996.8}, "factor_exposure_before": {"Energy": 5996.8}, "factor_exposure_cap": 7000.0, "factor_exposure_limit_exceeded": false, "factor_tags": ["Mega Cap Tech", "Rates-sensitive Growth", "Technology"], "final_action": "SKIP", "gross_reward_1_per_share": 0.0, "gross_reward_2_per_share": 0.0, "gross_risk_per_share": 307.34, "gross_rr": 0.0, "gross_rr_1": 0.0, "gross_rr_2": 0.0, "gross_rr_decision": 0.0, "highest_correlation_ticker": "XOM", "highest_correlation_value": -0.2062, "initial_action": "SKIP", "market_cap": 4514011939253.3,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307.6012, "net_reward_1_per_share": 0.0, "net_reward_2_per_share": 0.0, "net_risk_per_share": 307.8625, "net_rr": 0.0, "net_rr_1": 0.0, "net_rr_2": 0.0, "net_stop_assumption": -0.2612, "net_target_1_assumption": -0.1537, "net_target_2_assumption": -0.1537, "normalized_atr_score": 100.0, "normalized_liquidity_score": 100, "normalized_momentum_score": 100, "normalized_quality_score": 100.0,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307.34,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307.34, "ticker": "AAPL", "timestamp": "2026-06-08T09:24:54", "warnings": ["Target ATR feasibility unavailable."]}</t>
        </is>
      </c>
    </row>
    <row r="138">
      <c r="A138" t="inlineStr">
        <is>
          <t>2026-06-08T09:24:54</t>
        </is>
      </c>
      <c r="B138" t="inlineStr">
        <is>
          <t>LLY</t>
        </is>
      </c>
      <c r="C138" t="inlineStr">
        <is>
          <t>No Trade</t>
        </is>
      </c>
      <c r="D138" t="n">
        <v>0</v>
      </c>
      <c r="E138" t="n">
        <v>1131.42</v>
      </c>
      <c r="H138" t="n">
        <v>0</v>
      </c>
      <c r="K138" t="n">
        <v>0</v>
      </c>
      <c r="L138" t="inlineStr">
        <is>
          <t>No clean technical setup detected. Price in middle of value area or poor risk/reward.</t>
        </is>
      </c>
      <c r="M138" t="inlineStr">
        <is>
          <t>SKIP</t>
        </is>
      </c>
      <c r="N138" t="inlineStr">
        <is>
          <t>SKIP: No Trade result. Market regime NEUTRAL; sector NEUTRAL; net R/R 0.00.</t>
        </is>
      </c>
      <c r="O138" t="inlineStr">
        <is>
          <t>LLY
No Trade
0.00
score
Price
1131.42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954.73 - 972.61
Swing Low
849.05
Swing High
1149.10
Click chart to open full size</t>
        </is>
      </c>
      <c r="P138" t="inlineStr">
        <is>
          <t>agent_results\charts\market_lens_agent_20260608_091643_lly.png</t>
        </is>
      </c>
      <c r="Q138" t="inlineStr">
        <is>
          <t>Smart Universe: broad liquid US universe, diversified by sector | Sector: Healthcare - Neutral (66/100); XLV sector regime is neutral: -0.4% 3m return, -9.4% vs SPY | Setup: No Trade; score 0.00; R/R 0.00x; price 1131.42 | Market: NEUTRAL; Sector regime: NEUTRAL; Net R/R: 0.00; Factors: Defensive, Healthcare | Agent action: SKIP - SKIP: No Trade result. Market regime NEUTRAL; sector NEUTRAL; net R/R 0.00.</t>
        </is>
      </c>
      <c r="R138" t="inlineStr">
        <is>
          <t>{"adjusted_cash_out": 0.0, "adjusted_position_size": 0, "adjusted_risk_amount": 0.0, "ask": 0.0, "bid": 0.0, "buy_zone_high": null, "buy_zone_low": null, "cash_available": 94003.2, "company_name": "Eli Lilly and Company", "correlation_warning": false, "days_to_earnings": 42, "earnings_blackout": false, "earnings_date": "2026-08-05T00:00:00", "estimated_fees": 0.0, "estimated_slippage": 1.584, "estimated_spread": 0.3394, "executable_entry": 1131.42,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1131.42, "gross_rr": 0.0, "gross_rr_1": 0.0, "gross_rr_2": 0.0, "gross_rr_decision": 0.0, "highest_correlation_ticker": "XOM", "highest_correlation_value": -0.0611, "initial_action": "SKIP", "market_cap": 1008934100764.37,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1132.3817, "net_reward_1_per_share": 0.0, "net_reward_2_per_share": 0.0, "net_risk_per_share": 1133.3434, "net_rr": 0.0, "net_rr_1": 0.0, "net_rr_2": 0.0, "net_stop_assumption": -0.9617, "net_target_1_assumption": -0.5657, "net_target_2_assumption": -0.5657, "normalized_atr_score": 100.0, "normalized_liquidity_score": 66.54, "normalized_momentum_score": 100, "normalized_quality_score": 89.96,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1131.42,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1131.42, "ticker": "LLY", "timestamp": "2026-06-08T09:24:54", "warnings": ["Target ATR feasibility unavailable."]}</t>
        </is>
      </c>
    </row>
    <row r="139">
      <c r="A139" t="inlineStr">
        <is>
          <t>2026-06-08T09:24:54</t>
        </is>
      </c>
      <c r="B139" t="inlineStr">
        <is>
          <t>BAC</t>
        </is>
      </c>
      <c r="C139" t="inlineStr">
        <is>
          <t>No Trade</t>
        </is>
      </c>
      <c r="D139" t="n">
        <v>0</v>
      </c>
      <c r="E139" t="n">
        <v>53.83</v>
      </c>
      <c r="H139" t="n">
        <v>0</v>
      </c>
      <c r="K139" t="n">
        <v>0</v>
      </c>
      <c r="L139" t="inlineStr">
        <is>
          <t>No clean technical setup detected. Price in middle of value area or poor risk/reward.</t>
        </is>
      </c>
      <c r="M139" t="inlineStr">
        <is>
          <t>SKIP</t>
        </is>
      </c>
      <c r="N139" t="inlineStr">
        <is>
          <t>SKIP: No Trade result. Market regime NEUTRAL; sector STRONG; net R/R 0.00.</t>
        </is>
      </c>
      <c r="O139" t="inlineStr">
        <is>
          <t>BAC
No Trade
0.00
score
Price
53.83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49.12 - 49.70
Swing Low
45.88
Swing High
55.11
Click chart to open full size</t>
        </is>
      </c>
      <c r="P139" t="inlineStr">
        <is>
          <t>agent_results\charts\market_lens_agent_20260608_091643_bac.png</t>
        </is>
      </c>
      <c r="Q139" t="inlineStr">
        <is>
          <t>Smart Universe: broad liquid US universe, diversified by sector | Sector: Financials - Strong (70/100); XLF sector regime is strong: 4.4% 3m return, -4.6% vs SPY | Setup: No Trade; score 0.00; R/R 0.00x; price 53.83 | Market: NEUTRAL; Sector regime: STRONG; Net R/R: 0.00; Factors: Financials | Agent action: SKIP - SKIP: No Trade result. Market regime NEUTRAL; sector STRONG; net R/R 0.00.</t>
        </is>
      </c>
      <c r="R139" t="inlineStr">
        <is>
          <t>{"adjusted_cash_out": 0.0, "adjusted_position_size": 0, "adjusted_risk_amount": 0.0, "ask": 0.0, "bid": 0.0, "buy_zone_high": null, "buy_zone_low": null, "cash_available": 94003.2, "company_name": "Bank of America Corporation", "correlation_warning": false, "days_to_earnings": 26, "earnings_blackout": false, "earnings_date": "2026-07-14T00:00:00", "estimated_fees": 0.0, "estimated_slippage": 0.0754, "estimated_spread": 0.0161, "executable_entry": 53.83,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53.83, "gross_rr": 0.0, "gross_rr_1": 0.0, "gross_rr_2": 0.0, "gross_rr_decision": 0.0, "highest_correlation_ticker": "XOM", "highest_correlation_value": -0.2142, "initial_action": "SKIP", "market_cap": 382009487737.58,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53.8758, "net_reward_1_per_share": 0.0, "net_reward_2_per_share": 0.0, "net_risk_per_share": 53.9215, "net_rr": 0.0, "net_rr_1": 0.0, "net_rr_2": 0.0, "net_stop_assumption": -0.0458, "net_target_1_assumption": -0.0269, "net_target_2_assumption": -0.0269, "normalized_atr_score": 100.0, "normalized_liquidity_score": 52.83, "normalized_momentum_score": 100, "normalized_quality_score": 85.85,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53.83,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53.83, "ticker": "BAC", "timestamp": "2026-06-08T09:24:54", "warnings": ["Target ATR feasibility unavailable."]}</t>
        </is>
      </c>
    </row>
    <row r="140">
      <c r="A140" t="inlineStr">
        <is>
          <t>2026-06-08T09:24:54</t>
        </is>
      </c>
      <c r="B140" t="inlineStr">
        <is>
          <t>TSM</t>
        </is>
      </c>
      <c r="C140" t="inlineStr">
        <is>
          <t>No Trade</t>
        </is>
      </c>
      <c r="D140" t="n">
        <v>0</v>
      </c>
      <c r="E140" t="n">
        <v>415.17</v>
      </c>
      <c r="H140" t="n">
        <v>0</v>
      </c>
      <c r="K140" t="n">
        <v>0</v>
      </c>
      <c r="L140" t="inlineStr">
        <is>
          <t>No clean technical setup detected. Price in middle of value area or poor risk/reward.</t>
        </is>
      </c>
      <c r="M140" t="inlineStr">
        <is>
          <t>SKIP</t>
        </is>
      </c>
      <c r="N140" t="inlineStr">
        <is>
          <t>SKIP: No Trade result. Market regime NEUTRAL; sector STRONG; net R/R 0.00.</t>
        </is>
      </c>
      <c r="O140" t="inlineStr">
        <is>
          <t>TSM
No Trade
0.00
score
Price
415.17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381.16
Fib Zone
376.97 - 385.35
Swing Low
360.55
Swing High
414.50
Click chart to open full size</t>
        </is>
      </c>
      <c r="P140" t="inlineStr">
        <is>
          <t>agent_results\charts\market_lens_agent_20260608_091643_tsm.png</t>
        </is>
      </c>
      <c r="Q140" t="inlineStr">
        <is>
          <t>Smart Universe: broad liquid US universe, diversified by sector | Sector: Semiconductors - Strong (79/100); SMH sector regime is strong: 44.5% 3m return, 35.4% vs SPY | Setup: No Trade; score 0.00; R/R 0.00x; price 415.17 | Market: NEUTRAL; Sector regime: STRONG; Net R/R: 0.00; Factors: AI / Semiconductors, Semiconductors | Agent action: SKIP - SKIP: No Trade result. Market regime NEUTRAL; sector STRONG; net R/R 0.00.</t>
        </is>
      </c>
      <c r="R140" t="inlineStr">
        <is>
          <t>{"adjusted_cash_out": 0.0, "adjusted_position_size": 0, "adjusted_risk_amount": 0.0, "ask": 0.0, "bid": 0.0, "buy_zone_high": null, "buy_zone_low": null, "cash_available": 94003.2, "company_name": "Taiwan Semiconductor Manufacturing Company Limited", "correlation_warning": false, "days_to_earnings": 28, "earnings_blackout": false, "earnings_date": "2026-07-16T00:00:00", "estimated_fees": 0.0, "estimated_slippage": 0.5812, "estimated_spread": 0.1246, "executable_entry": 415.17, "execution_liquidity_bucket": "large_liquid", "factor_exposure_after": {"Energy": 5996.8}, "factor_exposure_before": {"Energy": 5996.8}, "factor_exposure_cap": 7000.0, "factor_exposure_limit_exceeded": false, "factor_tags": ["AI / Semiconductors", "Semiconductors"], "final_action": "SKIP", "gross_reward_1_per_share": 0.0, "gross_reward_2_per_share": 0.0, "gross_risk_per_share": 415.17, "gross_rr": 0.0, "gross_rr_1": 0.0, "gross_rr_2": 0.0, "gross_rr_decision": 0.0, "highest_correlation_ticker": "XOM", "highest_correlation_value": -0.2885, "initial_action": "SKIP", "market_cap": 2153268485619.81,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415.5229, "net_reward_1_per_share": 0.0, "net_reward_2_per_share": 0.0, "net_risk_per_share": 415.8758, "net_rr": 0.0, "net_rr_1": 0.0, "net_rr_2": 0.0, "net_stop_assumption": -0.3529, "net_target_1_assumption": -0.2076, "net_target_2_assumption": -0.2076, "normalized_atr_score": 100.0, "normalized_liquidity_score": 80.47, "normalized_momentum_score": 100, "normalized_quality_score": 94.14,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415.17,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78.71, "setup_score": 0.0, "setup_type": "No Trade", "sizing_adjustment_reason": "", "spread_source": "liquidity_fallback", "stock_score": 0.0, "stop_loss": 0.0, "target_1": null, "target_1_atr_distance": 0.0, "target_2": null, "target_2_atr_distance": 0.0, "target_feasibility_status": "UNKNOWN", "theoretical_entry": 415.17, "ticker": "TSM", "timestamp": "2026-06-08T09:24:54", "warnings": ["Target ATR feasibility unavailable."]}</t>
        </is>
      </c>
    </row>
    <row r="141">
      <c r="A141" t="inlineStr">
        <is>
          <t>2026-06-08T09:24:54</t>
        </is>
      </c>
      <c r="B141" t="inlineStr">
        <is>
          <t>UPS</t>
        </is>
      </c>
      <c r="C141" t="inlineStr">
        <is>
          <t>No Trade</t>
        </is>
      </c>
      <c r="D141" t="n">
        <v>0</v>
      </c>
      <c r="E141" t="n">
        <v>108.54</v>
      </c>
      <c r="H141" t="n">
        <v>0</v>
      </c>
      <c r="K141" t="n">
        <v>0</v>
      </c>
      <c r="L141" t="inlineStr">
        <is>
          <t>No clean technical setup detected. Price in middle of value area or poor risk/reward.</t>
        </is>
      </c>
      <c r="M141" t="inlineStr">
        <is>
          <t>SKIP</t>
        </is>
      </c>
      <c r="N141" t="inlineStr">
        <is>
          <t>SKIP: No Trade result. Market regime NEUTRAL; sector NEUTRAL; net R/R 0.00.</t>
        </is>
      </c>
      <c r="O141" t="inlineStr">
        <is>
          <t>UPS
No Trade
0.00
score
Price
108.54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97.76 - 99.10
Swing Low
92.50
Swing High
108.02
Click chart to open full size</t>
        </is>
      </c>
      <c r="P141" t="inlineStr">
        <is>
          <t>agent_results\charts\market_lens_agent_20260608_091643_ups.png</t>
        </is>
      </c>
      <c r="Q141" t="inlineStr">
        <is>
          <t>Smart Universe: broad liquid US universe, diversified by sector | Sector: Industrials - Neutral (67/100); XLI sector regime is neutral: 2.2% 3m return, -6.9% vs SPY | Setup: No Trade; score 0.00; R/R 0.00x; price 108.54 | Market: NEUTRAL; Sector regime: NEUTRAL; Net R/R: 0.00; Factors: Industrials | Agent action: SKIP - SKIP: No Trade result. Market regime NEUTRAL; sector NEUTRAL; net R/R 0.00.</t>
        </is>
      </c>
      <c r="R141" t="inlineStr">
        <is>
          <t>{"adjusted_cash_out": 0.0, "adjusted_position_size": 0, "adjusted_risk_amount": 0.0, "ask": 0.0, "bid": 0.0, "buy_zone_high": null, "buy_zone_low": null, "cash_available": 94003.2, "company_name": "United Parcel Service, Inc.", "correlation_warning": false, "days_to_earnings": 36, "earnings_blackout": false, "earnings_date": "2026-07-28T00:00:00", "estimated_fees": 0.0, "estimated_slippage": 0.152, "estimated_spread": 0.0326, "executable_entry": 108.54,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108.54, "gross_rr": 0.0, "gross_rr_1": 0.0, "gross_rr_2": 0.0, "gross_rr_decision": 0.0, "highest_correlation_ticker": "XOM", "highest_correlation_value": -0.1184, "initial_action": "SKIP", "market_cap": 92259682300.86,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108.6323, "net_reward_1_per_share": 0.0, "net_reward_2_per_share": 0.0, "net_risk_per_share": 108.7245, "net_rr": 0.0, "net_rr_1": 0.0, "net_rr_2": 0.0, "net_stop_assumption": -0.0923, "net_target_1_assumption": -0.0543, "net_target_2_assumption": -0.0543, "normalized_atr_score": 100.0, "normalized_liquidity_score": 51.52, "normalized_momentum_score": 99.81, "normalized_quality_score": 85.37,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108.54,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108.54, "ticker": "UPS", "timestamp": "2026-06-08T09:24:54", "warnings": ["Target ATR feasibility unavailable."]}</t>
        </is>
      </c>
    </row>
    <row r="142">
      <c r="A142" t="inlineStr">
        <is>
          <t>2026-06-08T09:24:54</t>
        </is>
      </c>
      <c r="B142" t="inlineStr">
        <is>
          <t>PSX</t>
        </is>
      </c>
      <c r="C142" t="inlineStr">
        <is>
          <t>No Trade</t>
        </is>
      </c>
      <c r="D142" t="n">
        <v>0</v>
      </c>
      <c r="E142" t="n">
        <v>183.08</v>
      </c>
      <c r="H142" t="n">
        <v>0</v>
      </c>
      <c r="K142" t="n">
        <v>0</v>
      </c>
      <c r="L142" t="inlineStr">
        <is>
          <t>No clean technical setup detected. Price in middle of value area or poor risk/reward.</t>
        </is>
      </c>
      <c r="M142" t="inlineStr">
        <is>
          <t>SKIP</t>
        </is>
      </c>
      <c r="N142" t="inlineStr">
        <is>
          <t>SKIP: No Trade result. Market regime NEUTRAL; sector NEUTRAL; net R/R 0.00.</t>
        </is>
      </c>
      <c r="O142" t="inlineStr">
        <is>
          <t>PSX
No Trade
0.00
score
Price
183.08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172.07
Fib Zone
170.69 - 173.44
Swing Low
164.25
Swing High
184.72
Click chart to open full size</t>
        </is>
      </c>
      <c r="P142" t="inlineStr">
        <is>
          <t>agent_results\charts\market_lens_agent_20260608_091643_psx.png</t>
        </is>
      </c>
      <c r="Q142" t="inlineStr">
        <is>
          <t>Smart Universe: broad liquid US universe, diversified by sector | Sector: Energy - Neutral (48/100); XLE sector regime is neutral: 3.1% 3m return, -6.0% vs SPY | Setup: No Trade; score 0.00; R/R 0.00x; price 183.08 | Market: NEUTRAL; Sector regime: NEUTRAL; Net R/R: 0.00; Factors: Energy | Agent action: SKIP - SKIP: No Trade result. Market regime NEUTRAL; sector NEUTRAL; net R/R 0.00.</t>
        </is>
      </c>
      <c r="R142" t="inlineStr">
        <is>
          <t>{"adjusted_cash_out": 0.0, "adjusted_position_size": 0, "adjusted_risk_amount": 0.0, "ask": 0.0, "bid": 0.0, "buy_zone_high": null, "buy_zone_low": null, "cash_available": 94003.2, "company_name": "Phillips 66", "correlation_warning": false, "days_to_earnings": 34, "earnings_blackout": false, "earnings_date": "2026-07-24T00:00:00", "estimated_fees": 0.0, "estimated_slippage": 0.5492, "estimated_spread": 0.1465, "executable_entry": 183.08, "execution_liquidity_bucket": "mid_liquid", "factor_exposure_after": {"Energy": 5996.8}, "factor_exposure_before": {"Energy": 5996.8}, "factor_exposure_cap": 7000.0, "factor_exposure_limit_exceeded": false, "factor_tags": ["Energy"], "final_action": "SKIP", "gross_reward_1_per_share": 0.0, "gross_reward_2_per_share": 0.0, "gross_risk_per_share": 183.08, "gross_rr": 0.0, "gross_rr_1": 0.0, "gross_rr_2": 0.0, "gross_rr_decision": 0.0, "highest_correlation_ticker": "XOM", "highest_correlation_value": 0.6702, "initial_action": "SKIP", "market_cap": 73403184195.73,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183.4279, "net_reward_1_per_share": 0.0, "net_reward_2_per_share": 0.0, "net_risk_per_share": 183.7757, "net_rr": 0.0, "net_rr_1": 0.0, "net_rr_2": 0.0, "net_stop_assumption": -0.3479, "net_target_1_assumption": -0.2105, "net_target_2_assumption": -0.2105, "normalized_atr_score": 100.0, "normalized_liquidity_score": 42.74, "normalized_momentum_score": 100, "normalized_quality_score": 82.82,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183.08,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183.08, "ticker": "PSX", "timestamp": "2026-06-08T09:24:54", "warnings": ["Target ATR feasibility unavailable."]}</t>
        </is>
      </c>
    </row>
    <row r="143">
      <c r="A143" t="inlineStr">
        <is>
          <t>2026-06-08T09:24:54</t>
        </is>
      </c>
      <c r="B143" t="inlineStr">
        <is>
          <t>UNP</t>
        </is>
      </c>
      <c r="C143" t="inlineStr">
        <is>
          <t>No Trade</t>
        </is>
      </c>
      <c r="D143" t="n">
        <v>0</v>
      </c>
      <c r="E143" t="n">
        <v>272.32</v>
      </c>
      <c r="H143" t="n">
        <v>0</v>
      </c>
      <c r="K143" t="n">
        <v>0</v>
      </c>
      <c r="L143" t="inlineStr">
        <is>
          <t>No clean technical setup detected. Price in middle of value area or poor risk/reward.</t>
        </is>
      </c>
      <c r="M143" t="inlineStr">
        <is>
          <t>SKIP</t>
        </is>
      </c>
      <c r="N143" t="inlineStr">
        <is>
          <t>SKIP: No Trade result. Market regime NEUTRAL; sector NEUTRAL; net R/R 0.00.</t>
        </is>
      </c>
      <c r="O143" t="inlineStr">
        <is>
          <t>UNP
No Trade
0.00
score
Price
272.32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263.88 - 267.17
Swing Low
259.69
Swing High
274.97
Click chart to open full size</t>
        </is>
      </c>
      <c r="P143" t="inlineStr">
        <is>
          <t>agent_results\charts\market_lens_agent_20260608_091643_unp.png</t>
        </is>
      </c>
      <c r="Q143" t="inlineStr">
        <is>
          <t>Smart Universe: broad liquid US universe, diversified by sector | Sector: Industrials - Neutral (67/100); XLI sector regime is neutral: 2.2% 3m return, -6.9% vs SPY | Setup: No Trade; score 0.00; R/R 0.00x; price 272.32 | Market: NEUTRAL; Sector regime: NEUTRAL; Net R/R: 0.00; Factors: Industrials | Agent action: SKIP - SKIP: No Trade result. Market regime NEUTRAL; sector NEUTRAL; net R/R 0.00.</t>
        </is>
      </c>
      <c r="R143" t="inlineStr">
        <is>
          <t>{"adjusted_cash_out": 0.0, "adjusted_position_size": 0, "adjusted_risk_amount": 0.0, "ask": 0.0, "bid": 0.0, "buy_zone_high": null, "buy_zone_low": null, "cash_available": 94003.2, "company_name": "Union Pacific Corporation", "correlation_warning": false, "days_to_earnings": 33, "earnings_blackout": false, "earnings_date": "2026-07-23T00:00:00", "estimated_fees": 0.0, "estimated_slippage": 0.3812, "estimated_spread": 0.0817, "executable_entry": 272.32,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272.32, "gross_rr": 0.0, "gross_rr_1": 0.0, "gross_rr_2": 0.0, "gross_rr_decision": 0.0, "highest_correlation_ticker": "XOM", "highest_correlation_value": 0.0504, "initial_action": "SKIP", "market_cap": 161679986512.65,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272.5515, "net_reward_1_per_share": 0.0, "net_reward_2_per_share": 0.0, "net_risk_per_share": 272.7829, "net_rr": 0.0, "net_rr_1": 0.0, "net_rr_2": 0.0, "net_stop_assumption": -0.2315, "net_target_1_assumption": -0.1362, "net_target_2_assumption": -0.1362, "normalized_atr_score": 100.0, "normalized_liquidity_score": 61.12, "normalized_momentum_score": 80.74, "normalized_quality_score": 79.67,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272.32,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272.32, "ticker": "UNP", "timestamp": "2026-06-08T09:24:54", "warnings": ["Target ATR feasibility unavailable."]}</t>
        </is>
      </c>
    </row>
    <row r="144">
      <c r="A144" t="inlineStr">
        <is>
          <t>2026-06-08T09:24:54</t>
        </is>
      </c>
      <c r="B144" t="inlineStr">
        <is>
          <t>MRK</t>
        </is>
      </c>
      <c r="C144" t="inlineStr">
        <is>
          <t>No Trade</t>
        </is>
      </c>
      <c r="D144" t="n">
        <v>0</v>
      </c>
      <c r="E144" t="n">
        <v>120.79</v>
      </c>
      <c r="H144" t="n">
        <v>0</v>
      </c>
      <c r="K144" t="n">
        <v>0</v>
      </c>
      <c r="L144" t="inlineStr">
        <is>
          <t>No clean technical setup detected. Price in middle of value area or poor risk/reward.</t>
        </is>
      </c>
      <c r="M144" t="inlineStr">
        <is>
          <t>SKIP</t>
        </is>
      </c>
      <c r="N144" t="inlineStr">
        <is>
          <t>SKIP: No Trade result. Market regime NEUTRAL; sector NEUTRAL; net R/R 0.00.</t>
        </is>
      </c>
      <c r="O144" t="inlineStr">
        <is>
          <t>MRK
No Trade
0.00
score
Price
120.79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115.60
Fib Zone
114.81 - 116.39
Swing Low
110.94
Swing High
123.13
Click chart to open full size</t>
        </is>
      </c>
      <c r="P144" t="inlineStr">
        <is>
          <t>agent_results\charts\market_lens_agent_20260608_091643_mrk.png</t>
        </is>
      </c>
      <c r="Q144" t="inlineStr">
        <is>
          <t>Smart Universe: broad liquid US universe, diversified by sector | Sector: Healthcare - Neutral (66/100); XLV sector regime is neutral: -0.4% 3m return, -9.4% vs SPY | Setup: No Trade; score 0.00; R/R 0.00x; price 120.79 | Market: NEUTRAL; Sector regime: NEUTRAL; Net R/R: 0.00; Factors: Defensive, Healthcare | Agent action: SKIP - SKIP: No Trade result. Market regime NEUTRAL; sector NEUTRAL; net R/R 0.00.</t>
        </is>
      </c>
      <c r="R144" t="inlineStr">
        <is>
          <t>{"adjusted_cash_out": 0.0, "adjusted_position_size": 0, "adjusted_risk_amount": 0.0, "ask": 0.0, "bid": 0.0, "buy_zone_high": null, "buy_zone_low": null, "cash_available": 94003.2, "company_name": "Merck &amp; Co., Inc.", "correlation_warning": false, "days_to_earnings": 41, "earnings_blackout": false, "earnings_date": "2026-08-04T00:00:00", "estimated_fees": 0.0, "estimated_slippage": 0.1691, "estimated_spread": 0.0362, "executable_entry": 120.79,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120.79, "gross_rr": 0.0, "gross_rr_1": 0.0, "gross_rr_2": 0.0, "gross_rr_decision": 0.0, "highest_correlation_ticker": "XOM", "highest_correlation_value": -0.0556, "initial_action": "SKIP", "market_cap": 298330093349.04,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120.8927, "net_reward_1_per_share": 0.0, "net_reward_2_per_share": 0.0, "net_risk_per_share": 120.9953, "net_rr": 0.0, "net_rr_1": 0.0, "net_rr_2": 0.0, "net_stop_assumption": -0.1027, "net_target_1_assumption": -0.0604, "net_target_2_assumption": -0.0604, "normalized_atr_score": 100.0, "normalized_liquidity_score": 38.49, "normalized_momentum_score": 76.16, "normalized_quality_score": 70.82,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120.79,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120.79, "ticker": "MRK", "timestamp": "2026-06-08T09:24:54", "warnings": ["Target ATR feasibility unavailable."]}</t>
        </is>
      </c>
    </row>
    <row r="145">
      <c r="A145" t="inlineStr">
        <is>
          <t>2026-06-08T09:24:54</t>
        </is>
      </c>
      <c r="B145" t="inlineStr">
        <is>
          <t>UDR</t>
        </is>
      </c>
      <c r="C145" t="inlineStr">
        <is>
          <t>No Trade</t>
        </is>
      </c>
      <c r="D145" t="n">
        <v>0</v>
      </c>
      <c r="E145" t="n">
        <v>39.2</v>
      </c>
      <c r="H145" t="n">
        <v>0</v>
      </c>
      <c r="K145" t="n">
        <v>0</v>
      </c>
      <c r="L145" t="inlineStr">
        <is>
          <t>No clean technical setup detected. Price in middle of value area or poor risk/reward.</t>
        </is>
      </c>
      <c r="M145" t="inlineStr">
        <is>
          <t>SKIP</t>
        </is>
      </c>
      <c r="N145" t="inlineStr">
        <is>
          <t>SKIP: No Trade result. Market regime NEUTRAL; sector STRONG; net R/R 0.00.</t>
        </is>
      </c>
      <c r="O145" t="inlineStr">
        <is>
          <t>UDR
No Trade
0.00
score
Price
39.20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35.12
Fib Zone
34.93 - 35.31
Swing Low
33.07
Swing High
38.44
Click chart to open full size</t>
        </is>
      </c>
      <c r="P145" t="inlineStr">
        <is>
          <t>agent_results\charts\market_lens_agent_20260608_091643_udr.png</t>
        </is>
      </c>
      <c r="Q145" t="inlineStr">
        <is>
          <t>Smart Universe: broad liquid US universe, diversified by sector | Sector: Real Estate - Strong (70/100); XLRE sector regime is strong: 4.7% 3m return, -4.3% vs SPY | Setup: No Trade; score 0.00; R/R 0.00x; price 39.20 | Market: NEUTRAL; Sector regime: STRONG; Net R/R: 0.00; Factors: Real Estate | Agent action: SKIP - SKIP: No Trade result. Market regime NEUTRAL; sector STRONG; net R/R 0.00.</t>
        </is>
      </c>
      <c r="R145" t="inlineStr">
        <is>
          <t>{"adjusted_cash_out": 0.0, "adjusted_position_size": 0, "adjusted_risk_amount": 0.0, "ask": 0.0, "bid": 0.0, "buy_zone_high": null, "buy_zone_low": null, "cash_available": 94003.2, "company_name": "UDR, Inc.", "correlation_warning": false, "days_to_earnings": 37, "earnings_blackout": false, "earnings_date": "2026-07-29T00:00:00", "estimated_fees": 0.0, "estimated_slippage": 0.1176, "estimated_spread": 0.0314, "executable_entry": 39.2, "execution_liquidity_bucket": "mid_liquid", "factor_exposure_after": {"Energy": 5996.8}, "factor_exposure_before": {"Energy": 5996.8}, "factor_exposure_cap": 7000.0, "factor_exposure_limit_exceeded": false, "factor_tags": ["Real Estate"], "final_action": "SKIP", "gross_reward_1_per_share": 0.0, "gross_reward_2_per_share": 0.0, "gross_risk_per_share": 39.2, "gross_rr": 0.0, "gross_rr_1": 0.0, "gross_rr_2": 0.0, "gross_rr_decision": 0.0, "highest_correlation_ticker": "XOM", "highest_correlation_value": -0.013, "initial_action": "SKIP", "market_cap": 12736693845.49,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39.2745, "net_reward_1_per_share": 0.0, "net_reward_2_per_share": 0.0, "net_risk_per_share": 39.349, "net_rr": 0.0, "net_rr_1": 0.0, "net_rr_2": 0.0, "net_stop_assumption": -0.0745, "net_target_1_assumption": -0.0451, "net_target_2_assumption": -0.0451, "normalized_atr_score": 100.0, "normalized_liquidity_score": 28.69, "normalized_momentum_score": 81.18, "normalized_quality_score": 70.14,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39.2,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39.2, "ticker": "UDR", "timestamp": "2026-06-08T09:24:54", "warnings": ["Target ATR feasibility unavailable."]}</t>
        </is>
      </c>
    </row>
    <row r="146">
      <c r="A146" t="inlineStr">
        <is>
          <t>2026-06-08T09:24:54</t>
        </is>
      </c>
      <c r="B146" t="inlineStr">
        <is>
          <t>JPM</t>
        </is>
      </c>
      <c r="C146" t="inlineStr">
        <is>
          <t>No Trade</t>
        </is>
      </c>
      <c r="D146" t="n">
        <v>0</v>
      </c>
      <c r="E146" t="n">
        <v>312.37</v>
      </c>
      <c r="H146" t="n">
        <v>0</v>
      </c>
      <c r="K146" t="n">
        <v>0</v>
      </c>
      <c r="L146" t="inlineStr">
        <is>
          <t>No clean technical setup detected. Price in middle of value area or poor risk/reward.</t>
        </is>
      </c>
      <c r="M146" t="inlineStr">
        <is>
          <t>SKIP</t>
        </is>
      </c>
      <c r="N146" t="inlineStr">
        <is>
          <t>SKIP: No Trade result. Market regime NEUTRAL; sector STRONG; net R/R 0.00.</t>
        </is>
      </c>
      <c r="O146" t="inlineStr">
        <is>
          <t>JPM
No Trade
0.00
score
Price
312.37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298.30 - 301.47
Swing Low
293.67
Swing High
309.93
Click chart to open full size</t>
        </is>
      </c>
      <c r="P146" t="inlineStr">
        <is>
          <t>agent_results\charts\market_lens_agent_20260608_091643_jpm.png</t>
        </is>
      </c>
      <c r="Q146" t="inlineStr">
        <is>
          <t>Smart Universe: broad liquid US universe, diversified by sector | Sector: Financials - Strong (70/100); XLF sector regime is strong: 4.4% 3m return, -4.6% vs SPY | Setup: No Trade; score 0.00; R/R 0.00x; price 312.37 | Market: NEUTRAL; Sector regime: STRONG; Net R/R: 0.00; Factors: Financials | Agent action: SKIP - SKIP: No Trade result. Market regime NEUTRAL; sector STRONG; net R/R 0.00.</t>
        </is>
      </c>
      <c r="R146" t="inlineStr">
        <is>
          <t>{"adjusted_cash_out": 0.0, "adjusted_position_size": 0, "adjusted_risk_amount": 0.0, "ask": 0.0, "bid": 0.0, "buy_zone_high": null, "buy_zone_low": null, "cash_available": 94003.2, "company_name": "JPMorgan Chase &amp; Co.", "correlation_warning": false, "days_to_earnings": 26, "earnings_blackout": false, "earnings_date": "2026-07-14T00:00:00", "estimated_fees": 0.0, "estimated_slippage": 0.4373, "estimated_spread": 0.0937, "executable_entry": 312.37, "execution_liquidity_bucket": "large_liquid", "factor_exposure_after": {"Energy": 5996.8}, "factor_exposure_before": {"Energy": 5996.8}, "factor_exposure_cap": 7000.0, "factor_exposure_limit_exceeded": false, "factor_tags": ["Financials"], "final_action": "SKIP", "gross_reward_1_per_share": 0.0, "gross_reward_2_per_share": 0.0, "gross_risk_per_share": 312.37, "gross_rr": 0.0, "gross_rr_1": 0.0, "gross_rr_2": 0.0, "gross_rr_decision": 0.0, "highest_correlation_ticker": "XOM", "highest_correlation_value": -0.1817, "initial_action": "SKIP", "market_cap": 836998968557.11,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312.6355, "net_reward_1_per_share": 0.0, "net_reward_2_per_share": 0.0, "net_risk_per_share": 312.901, "net_rr": 0.0, "net_rr_1": 0.0, "net_rr_2": 0.0, "net_stop_assumption": -0.2655, "net_target_1_assumption": -0.1562, "net_target_2_assumption": -0.1562, "normalized_atr_score": 100.0, "normalized_liquidity_score": 60.16, "normalized_momentum_score": 83.05, "normalized_quality_score": 80.42,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312.37,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69.62, "setup_score": 0.0, "setup_type": "No Trade", "sizing_adjustment_reason": "", "spread_source": "liquidity_fallback", "stock_score": 0.0, "stop_loss": 0.0, "target_1": null, "target_1_atr_distance": 0.0, "target_2": null, "target_2_atr_distance": 0.0, "target_feasibility_status": "UNKNOWN", "theoretical_entry": 312.37, "ticker": "JPM", "timestamp": "2026-06-08T09:24:54", "warnings": ["Target ATR feasibility unavailable."]}</t>
        </is>
      </c>
    </row>
    <row r="147">
      <c r="A147" t="inlineStr">
        <is>
          <t>2026-06-08T09:24:54</t>
        </is>
      </c>
      <c r="B147" t="inlineStr">
        <is>
          <t>GE</t>
        </is>
      </c>
      <c r="C147" t="inlineStr">
        <is>
          <t>No Trade</t>
        </is>
      </c>
      <c r="D147" t="n">
        <v>0</v>
      </c>
      <c r="E147" t="n">
        <v>328</v>
      </c>
      <c r="H147" t="n">
        <v>0</v>
      </c>
      <c r="K147" t="n">
        <v>0</v>
      </c>
      <c r="L147" t="inlineStr">
        <is>
          <t>No clean technical setup detected. Price in middle of value area or poor risk/reward.</t>
        </is>
      </c>
      <c r="M147" t="inlineStr">
        <is>
          <t>SKIP</t>
        </is>
      </c>
      <c r="N147" t="inlineStr">
        <is>
          <t>SKIP: No Trade result. Market regime NEUTRAL; sector NEUTRAL; net R/R 0.00.</t>
        </is>
      </c>
      <c r="O147" t="inlineStr">
        <is>
          <t>GE
No Trade
0.00
score
Price
328.00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282.14 - 287.07
Swing Low
268.91
Swing High
310.00
Click chart to open full size</t>
        </is>
      </c>
      <c r="P147" t="inlineStr">
        <is>
          <t>agent_results\charts\market_lens_agent_20260608_091643_ge.png</t>
        </is>
      </c>
      <c r="Q147" t="inlineStr">
        <is>
          <t>Smart Universe: broad liquid US universe, diversified by sector | Sector: Industrials - Neutral (67/100); XLI sector regime is neutral: 2.2% 3m return, -6.9% vs SPY | Setup: No Trade; score 0.00; R/R 0.00x; price 328.00 | Market: NEUTRAL; Sector regime: NEUTRAL; Net R/R: 0.00; Factors: Industrials | Agent action: SKIP - SKIP: No Trade result. Market regime NEUTRAL; sector NEUTRAL; net R/R 0.00.</t>
        </is>
      </c>
      <c r="R147" t="inlineStr">
        <is>
          <t>{"adjusted_cash_out": 0.0, "adjusted_position_size": 0, "adjusted_risk_amount": 0.0, "ask": 0.0, "bid": 0.0, "buy_zone_high": null, "buy_zone_low": null, "cash_available": 94003.2, "company_name": "GE Aerospace", "correlation_warning": false, "days_to_earnings": 28, "earnings_blackout": false, "earnings_date": "2026-07-16T00:00:00", "estimated_fees": 0.0, "estimated_slippage": 0.4592, "estimated_spread": 0.0984, "executable_entry": 328.0, "execution_liquidity_bucket": "large_liquid", "factor_exposure_after": {"Energy": 5996.8}, "factor_exposure_before": {"Energy": 5996.8}, "factor_exposure_cap": 7000.0, "factor_exposure_limit_exceeded": false, "factor_tags": ["Industrials"], "final_action": "SKIP", "gross_reward_1_per_share": 0.0, "gross_reward_2_per_share": 0.0, "gross_risk_per_share": 328.0, "gross_rr": 0.0, "gross_rr_1": 0.0, "gross_rr_2": 0.0, "gross_rr_decision": 0.0, "highest_correlation_ticker": "XOM", "highest_correlation_value": -0.4224, "initial_action": "SKIP", "market_cap": 342704109784.0,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328.2788, "net_reward_1_per_share": 0.0, "net_reward_2_per_share": 0.0, "net_risk_per_share": 328.5576, "net_rr": 0.0, "net_rr_1": 0.0, "net_rr_2": 0.0, "net_stop_assumption": -0.2788, "net_target_1_assumption": -0.164, "net_target_2_assumption": -0.164, "normalized_atr_score": 100.0, "normalized_liquidity_score": 45.05, "normalized_momentum_score": 70.2, "normalized_quality_score": 70.11,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328.0,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328.0, "ticker": "GE", "timestamp": "2026-06-08T09:24:54", "warnings": ["Target ATR feasibility unavailable."]}</t>
        </is>
      </c>
    </row>
    <row r="148">
      <c r="A148" t="inlineStr">
        <is>
          <t>2026-06-08T09:24:54</t>
        </is>
      </c>
      <c r="B148" t="inlineStr">
        <is>
          <t>ANET</t>
        </is>
      </c>
      <c r="C148" t="inlineStr">
        <is>
          <t>No Trade</t>
        </is>
      </c>
      <c r="D148" t="n">
        <v>0</v>
      </c>
      <c r="E148" t="n">
        <v>154.27</v>
      </c>
      <c r="H148" t="n">
        <v>0</v>
      </c>
      <c r="K148" t="n">
        <v>0</v>
      </c>
      <c r="L148" t="inlineStr">
        <is>
          <t>No clean technical setup detected. Price in middle of value area or poor risk/reward.</t>
        </is>
      </c>
      <c r="M148" t="inlineStr">
        <is>
          <t>SKIP</t>
        </is>
      </c>
      <c r="N148" t="inlineStr">
        <is>
          <t>SKIP: No Trade result. Market regime NEUTRAL; sector STRONG; net R/R 0.00.</t>
        </is>
      </c>
      <c r="O148" t="inlineStr">
        <is>
          <t>ANET
No Trade
0.00
score
Price
154.27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140.01
Fib Zone
137.88 - 142.14
Swing Low
115.42
Swing High
179.80
Click chart to open full size</t>
        </is>
      </c>
      <c r="P148" t="inlineStr">
        <is>
          <t>agent_results\charts\market_lens_agent_20260608_091643_anet.png</t>
        </is>
      </c>
      <c r="Q148" t="inlineStr">
        <is>
          <t>Smart Universe: broad liquid US universe, diversified by sector | Sector: Technology - Strong (76/100); XLK sector regime is strong: 29.2% 3m return, 20.1% vs SPY | Setup: No Trade; score 0.00; R/R 0.00x; price 154.27 | Market: NEUTRAL; Sector regime: STRONG; Net R/R: 0.00; Factors: Technology | Agent action: SKIP - SKIP: No Trade result. Market regime NEUTRAL; sector STRONG; net R/R 0.00.</t>
        </is>
      </c>
      <c r="R148" t="inlineStr">
        <is>
          <t>{"adjusted_cash_out": 0.0, "adjusted_position_size": 0, "adjusted_risk_amount": 0.0, "ask": 0.0, "bid": 0.0, "buy_zone_high": null, "buy_zone_low": null, "cash_available": 94003.2, "company_name": "Arista Networks, Inc.", "correlation_warning": false, "days_to_earnings": 41, "earnings_blackout": false, "earnings_date": "2026-08-04T00:00:00", "estimated_fees": 0.0, "estimated_slippage": 0.216, "estimated_spread": 0.0463, "executable_entry": 154.27, "execution_liquidity_bucket": "large_liquid", "factor_exposure_after": {"Energy": 5996.8}, "factor_exposure_before": {"Energy": 5996.8}, "factor_exposure_cap": 7000.0, "factor_exposure_limit_exceeded": false, "factor_tags": ["Technology"], "final_action": "SKIP", "gross_reward_1_per_share": 0.0, "gross_reward_2_per_share": 0.0, "gross_risk_per_share": 154.27, "gross_rr": 0.0, "gross_rr_1": 0.0, "gross_rr_2": 0.0, "gross_rr_decision": 0.0, "highest_correlation_ticker": "XOM", "highest_correlation_value": -0.0848, "initial_action": "SKIP", "market_cap": 194252074580.01,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154.4011, "net_reward_1_per_share": 0.0, "net_reward_2_per_share": 0.0, "net_risk_per_share": 154.5323, "net_rr": 0.0, "net_rr_1": 0.0, "net_rr_2": 0.0, "net_stop_assumption": -0.1311, "net_target_1_assumption": -0.0771, "net_target_2_assumption": -0.0771, "normalized_atr_score": 99.78, "normalized_liquidity_score": 82.35, "normalized_momentum_score": 100, "normalized_quality_score": 94.65,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154.27,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154.27, "ticker": "ANET", "timestamp": "2026-06-08T09:24:54", "warnings": ["Target ATR feasibility unavailable."]}</t>
        </is>
      </c>
    </row>
    <row r="149">
      <c r="A149" t="inlineStr">
        <is>
          <t>2026-06-08T09:24:54</t>
        </is>
      </c>
      <c r="B149" t="inlineStr">
        <is>
          <t>ABBV</t>
        </is>
      </c>
      <c r="C149" t="inlineStr">
        <is>
          <t>No Trade</t>
        </is>
      </c>
      <c r="D149" t="n">
        <v>0</v>
      </c>
      <c r="E149" t="n">
        <v>227.23</v>
      </c>
      <c r="H149" t="n">
        <v>0</v>
      </c>
      <c r="K149" t="n">
        <v>0</v>
      </c>
      <c r="L149" t="inlineStr">
        <is>
          <t>No clean technical setup detected. Price in middle of value area or poor risk/reward.</t>
        </is>
      </c>
      <c r="M149" t="inlineStr">
        <is>
          <t>SKIP</t>
        </is>
      </c>
      <c r="N149" t="inlineStr">
        <is>
          <t>SKIP: No Trade result. Market regime NEUTRAL; sector NEUTRAL; net R/R 0.00.</t>
        </is>
      </c>
      <c r="O149" t="inlineStr">
        <is>
          <t>ABBV
No Trade
0.00
score
Price
227.23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207.66
Fib Zone
206.26 - 209.05
Swing Low
200.02
Swing High
220.01
Click chart to open full size</t>
        </is>
      </c>
      <c r="P149" t="inlineStr">
        <is>
          <t>agent_results\charts\market_lens_agent_20260608_091643_abbv.png</t>
        </is>
      </c>
      <c r="Q149" t="inlineStr">
        <is>
          <t>Smart Universe: broad liquid US universe, diversified by sector | Sector: Healthcare - Neutral (66/100); XLV sector regime is neutral: -0.4% 3m return, -9.4% vs SPY | Setup: No Trade; score 0.00; R/R 0.00x; price 227.23 | Market: NEUTRAL; Sector regime: NEUTRAL; Net R/R: 0.00; Factors: Defensive, Healthcare | Agent action: SKIP - SKIP: No Trade result. Market regime NEUTRAL; sector NEUTRAL; net R/R 0.00.</t>
        </is>
      </c>
      <c r="R149" t="inlineStr">
        <is>
          <t>{"adjusted_cash_out": 0.0, "adjusted_position_size": 0, "adjusted_risk_amount": 0.0, "ask": 0.0, "bid": 0.0, "buy_zone_high": null, "buy_zone_low": null, "cash_available": 94003.2, "company_name": "AbbVie Inc.", "correlation_warning": false, "days_to_earnings": 38, "earnings_blackout": false, "earnings_date": "2026-07-30T00:00:00", "estimated_fees": 0.0, "estimated_slippage": 0.3181, "estimated_spread": 0.0682, "executable_entry": 227.23, "execution_liquidity_bucket": "large_liquid", "factor_exposure_after": {"Energy": 5996.8}, "factor_exposure_before": {"Energy": 5996.8}, "factor_exposure_cap": 7000.0, "factor_exposure_limit_exceeded": false, "factor_tags": ["Defensive", "Healthcare"], "final_action": "SKIP", "gross_reward_1_per_share": 0.0, "gross_reward_2_per_share": 0.0, "gross_risk_per_share": 227.23, "gross_rr": 0.0, "gross_rr_1": 0.0, "gross_rr_2": 0.0, "gross_rr_decision": 0.0, "highest_correlation_ticker": "XOM", "highest_correlation_value": -0.0382, "initial_action": "SKIP", "market_cap": 401468325167.28,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227.4231, "net_reward_1_per_share": 0.0, "net_reward_2_per_share": 0.0, "net_risk_per_share": 227.6163, "net_rr": 0.0, "net_rr_1": 0.0, "net_rr_2": 0.0, "net_stop_assumption": -0.1931, "net_target_1_assumption": -0.1136, "net_target_2_assumption": -0.1136, "normalized_atr_score": 100.0, "normalized_liquidity_score": 39.65, "normalized_momentum_score": 71.99, "normalized_quality_score": 69.29,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227.23,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227.23, "ticker": "ABBV", "timestamp": "2026-06-08T09:24:54", "warnings": ["Target ATR feasibility unavailable."]}</t>
        </is>
      </c>
    </row>
    <row r="150">
      <c r="A150" t="inlineStr">
        <is>
          <t>2026-06-08T09:24:54</t>
        </is>
      </c>
      <c r="B150" t="inlineStr">
        <is>
          <t>SLB</t>
        </is>
      </c>
      <c r="C150" t="inlineStr">
        <is>
          <t>No Trade</t>
        </is>
      </c>
      <c r="D150" t="n">
        <v>0</v>
      </c>
      <c r="E150" t="n">
        <v>54.87</v>
      </c>
      <c r="H150" t="n">
        <v>0</v>
      </c>
      <c r="K150" t="n">
        <v>0</v>
      </c>
      <c r="L150" t="inlineStr">
        <is>
          <t>No clean technical setup detected. Price in middle of value area or poor risk/reward.</t>
        </is>
      </c>
      <c r="M150" t="inlineStr">
        <is>
          <t>SKIP</t>
        </is>
      </c>
      <c r="N150" t="inlineStr">
        <is>
          <t>SKIP: No Trade result. Market regime NEUTRAL; sector NEUTRAL; net R/R 0.00.</t>
        </is>
      </c>
      <c r="O150" t="inlineStr">
        <is>
          <t>SLB
No Trade
0.00
score
Price
54.87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54.77
Fib Zone
54.33 - 55.21
Swing Low
52.45
Swing High
58.51
Click chart to open full size</t>
        </is>
      </c>
      <c r="P150" t="inlineStr">
        <is>
          <t>agent_results\charts\market_lens_agent_20260608_091643_slb.png</t>
        </is>
      </c>
      <c r="Q150" t="inlineStr">
        <is>
          <t>Smart Universe: broad liquid US universe, diversified by sector | Sector: Energy - Neutral (48/100); XLE sector regime is neutral: 3.1% 3m return, -6.0% vs SPY | Setup: No Trade; score 0.00; R/R 0.00x; price 54.87 | Market: NEUTRAL; Sector regime: NEUTRAL; Net R/R: 0.00; Factors: Energy | Agent action: SKIP - SKIP: No Trade result. Market regime NEUTRAL; sector NEUTRAL; net R/R 0.00.</t>
        </is>
      </c>
      <c r="R150" t="inlineStr">
        <is>
          <t>{"adjusted_cash_out": 0.0, "adjusted_position_size": 0, "adjusted_risk_amount": 0.0, "ask": 0.0, "bid": 0.0, "buy_zone_high": null, "buy_zone_low": null, "cash_available": 94003.2, "company_name": "Schlumberger Limited", "correlation_warning": false, "days_to_earnings": 34, "earnings_blackout": false, "earnings_date": "2026-07-24T00:00:00", "estimated_fees": 0.0, "estimated_slippage": 0.0768, "estimated_spread": 0.0165, "executable_entry": 54.87, "execution_liquidity_bucket": "large_liquid", "factor_exposure_after": {"Energy": 5996.8}, "factor_exposure_before": {"Energy": 5996.8}, "factor_exposure_cap": 7000.0, "factor_exposure_limit_exceeded": false, "factor_tags": ["Energy"], "final_action": "SKIP", "gross_reward_1_per_share": 0.0, "gross_reward_2_per_share": 0.0, "gross_risk_per_share": 54.87, "gross_rr": 0.0, "gross_rr_1": 0.0, "gross_rr_2": 0.0, "gross_rr_decision": 0.0, "highest_correlation_ticker": "XOM", "highest_correlation_value": 0.2659, "initial_action": "SKIP", "market_cap": 82033812262.18,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54.9166, "net_reward_1_per_share": 0.0, "net_reward_2_per_share": 0.0, "net_risk_per_share": 54.9633, "net_rr": 0.0, "net_rr_1": 0.0, "net_rr_2": 0.0, "net_stop_assumption": -0.0466, "net_target_1_assumption": -0.0274, "net_target_2_assumption": -0.0274, "normalized_atr_score": 100.0, "normalized_liquidity_score": 56.73, "normalized_momentum_score": 100, "normalized_quality_score": 87.02,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54.87,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54.87, "ticker": "SLB", "timestamp": "2026-06-08T09:24:54", "warnings": ["Target ATR feasibility unavailable."]}</t>
        </is>
      </c>
    </row>
    <row r="151">
      <c r="A151" t="inlineStr">
        <is>
          <t>2026-06-08T09:24:54</t>
        </is>
      </c>
      <c r="B151" t="inlineStr">
        <is>
          <t>SWK</t>
        </is>
      </c>
      <c r="C151" t="inlineStr">
        <is>
          <t>No Trade</t>
        </is>
      </c>
      <c r="D151" t="n">
        <v>0</v>
      </c>
      <c r="E151" t="n">
        <v>78.48</v>
      </c>
      <c r="H151" t="n">
        <v>0</v>
      </c>
      <c r="K151" t="n">
        <v>0</v>
      </c>
      <c r="L151" t="inlineStr">
        <is>
          <t>No clean technical setup detected. Price in middle of value area or poor risk/reward.</t>
        </is>
      </c>
      <c r="M151" t="inlineStr">
        <is>
          <t>SKIP</t>
        </is>
      </c>
      <c r="N151" t="inlineStr">
        <is>
          <t>SKIP: No Trade result. Market regime NEUTRAL; sector NEUTRAL; net R/R 0.00.</t>
        </is>
      </c>
      <c r="O151" t="inlineStr">
        <is>
          <t>SWK
No Trade
0.00
score
Price
78.48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75.58
Fib Zone
74.96 - 76.20
Swing Low
72.14
Swing High
81.15
Click chart to open full size</t>
        </is>
      </c>
      <c r="P151" t="inlineStr">
        <is>
          <t>agent_results\charts\market_lens_agent_20260608_091643_swk.png</t>
        </is>
      </c>
      <c r="Q151" t="inlineStr">
        <is>
          <t>Smart Universe: broad liquid US universe, diversified by sector | Sector: Industrials - Neutral (67/100); XLI sector regime is neutral: 2.2% 3m return, -6.9% vs SPY | Setup: No Trade; score 0.00; R/R 0.00x; price 78.48 | Market: NEUTRAL; Sector regime: NEUTRAL; Net R/R: 0.00; Factors: Industrials | Agent action: SKIP - SKIP: No Trade result. Market regime NEUTRAL; sector NEUTRAL; net R/R 0.00.</t>
        </is>
      </c>
      <c r="R151" t="inlineStr">
        <is>
          <t>{"adjusted_cash_out": 0.0, "adjusted_position_size": 0, "adjusted_risk_amount": 0.0, "ask": 0.0, "bid": 0.0, "buy_zone_high": null, "buy_zone_low": null, "cash_available": 94003.2, "company_name": "Stanley Black &amp; Decker", "correlation_warning": false, "days_to_earnings": 36, "earnings_blackout": false, "earnings_date": "2026-07-28T00:00:00", "estimated_fees": 0.0, "estimated_slippage": 0.2354, "estimated_spread": 0.0628, "executable_entry": 78.48, "execution_liquidity_bucket": "mid_liquid", "factor_exposure_after": {"Energy": 5996.8}, "factor_exposure_before": {"Energy": 5996.8}, "factor_exposure_cap": 7000.0, "factor_exposure_limit_exceeded": false, "factor_tags": ["Industrials"], "final_action": "SKIP", "gross_reward_1_per_share": 0.0, "gross_reward_2_per_share": 0.0, "gross_risk_per_share": 78.48, "gross_rr": 0.0, "gross_rr_1": 0.0, "gross_rr_2": 0.0, "gross_rr_decision": 0.0, "highest_correlation_ticker": "XOM", "highest_correlation_value": -0.3086, "initial_action": "SKIP", "market_cap": 12200153184.57,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78.6291, "net_reward_1_per_share": 0.0, "net_reward_2_per_share": 0.0, "net_risk_per_share": 78.7782, "net_rr": 0.0, "net_rr_1": 0.0, "net_rr_2": 0.0, "net_stop_assumption": -0.1491, "net_target_1_assumption": -0.0903, "net_target_2_assumption": -0.0903, "normalized_atr_score": 100.0, "normalized_liquidity_score": 18.37, "normalized_momentum_score": 62.36, "normalized_quality_score": 58.57,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78.48,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78.48, "ticker": "SWK", "timestamp": "2026-06-08T09:24:54", "warnings": ["Target ATR feasibility unavailable."]}</t>
        </is>
      </c>
    </row>
    <row r="152">
      <c r="A152" t="inlineStr">
        <is>
          <t>2026-06-08T09:24:54</t>
        </is>
      </c>
      <c r="B152" t="inlineStr">
        <is>
          <t>NVDA</t>
        </is>
      </c>
      <c r="C152" t="inlineStr">
        <is>
          <t>No Trade</t>
        </is>
      </c>
      <c r="D152" t="n">
        <v>0</v>
      </c>
      <c r="E152" t="n">
        <v>205.1</v>
      </c>
      <c r="H152" t="n">
        <v>0</v>
      </c>
      <c r="K152" t="n">
        <v>0</v>
      </c>
      <c r="L152" t="inlineStr">
        <is>
          <t>No clean technical setup detected. Price in middle of value area or poor risk/reward.</t>
        </is>
      </c>
      <c r="M152" t="inlineStr">
        <is>
          <t>SKIP</t>
        </is>
      </c>
      <c r="N152" t="inlineStr">
        <is>
          <t>SKIP: No Trade result. Market regime NEUTRAL; sector STRONG; net R/R 0.00.</t>
        </is>
      </c>
      <c r="O152" t="inlineStr">
        <is>
          <t>NVDA
No Trade
0.00
score
Price
205.10
R/R
0.00x
Grade
No Trade
Quality
0%
Buy Zone
-
Stop
0.00
Targets
-
Skip
Mixed
Relative Strength
Leadership
100%
Trend Quality
Constructive
68%
Liquidity
Institutional liquidity
100%
Volume
Neutral
50%
No actionable setup detected.
No clean technical setup detected. Price in middle of value area or poor risk/reward.
Fib 61.8
210.46
Fib Zone
208.33 - 212.59
Swing Low
194.51
Swing High
236.26
Click chart to open full size</t>
        </is>
      </c>
      <c r="P152" t="inlineStr">
        <is>
          <t>agent_results\charts\market_lens_agent_20260608_091643_nvda.png</t>
        </is>
      </c>
      <c r="Q152" t="inlineStr">
        <is>
          <t>Smart Universe: broad liquid US universe, diversified by sector | Sector: Technology - Strong (76/100); XLK sector regime is strong: 29.2% 3m return, 20.1% vs SPY | Setup: No Trade; score 0.00; R/R 0.00x; price 205.10 | Market: NEUTRAL; Sector regime: STRONG; Net R/R: 0.00; Factors: AI / Semiconductors, High Beta Growth, Mega Cap Tech, Rates-sensitive Growth, Technology | Agent action: SKIP - SKIP: No Trade result. Market regime NEUTRAL; sector STRONG; net R/R 0.00.</t>
        </is>
      </c>
      <c r="R152" t="inlineStr">
        <is>
          <t>{"adjusted_cash_out": 0.0, "adjusted_position_size": 0, "adjusted_risk_amount": 0.0, "ask": 0.0, "bid": 0.0, "buy_zone_high": null, "buy_zone_low": null, "cash_available": 94003.2, "company_name": "NVIDIA Corporation", "correlation_warning": false, "days_to_earnings": 57, "earnings_blackout": false, "earnings_date": "2026-08-26T00:00:00", "estimated_fees": 0.0, "estimated_slippage": 0.2871, "estimated_spread": 0.0615, "executable_entry": 205.1, "execution_liquidity_bucket": "large_liquid", "factor_exposure_after": {"Energy": 5996.8}, "factor_exposure_before": {"Energy": 5996.8}, "factor_exposure_cap": 7000.0, "factor_exposure_limit_exceeded": false, "factor_tags": ["AI / Semiconductors", "High Beta Growth", "Mega Cap Tech", "Rates-sensitive Growth", "Technology"], "final_action": "SKIP", "gross_reward_1_per_share": 0.0, "gross_reward_2_per_share": 0.0, "gross_risk_per_share": 205.1, "gross_rr": 0.0, "gross_rr_1": 0.0, "gross_rr_2": 0.0, "gross_rr_decision": 0.0, "highest_correlation_ticker": "XOM", "highest_correlation_value": -0.1965, "initial_action": "SKIP", "market_cap": 4967727247833.25,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205.2743, "net_reward_1_per_share": 0.0, "net_reward_2_per_share": 0.0, "net_risk_per_share": 205.4487, "net_rr": 0.0, "net_rr_1": 0.0, "net_rr_2": 0.0, "net_stop_assumption": -0.1743, "net_target_1_assumption": -0.1026, "net_target_2_assumption": -0.1026, "normalized_atr_score": 100.0, "normalized_liquidity_score": 100, "normalized_momentum_score": 90.08, "normalized_quality_score": 95.54,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205.1,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205.1, "ticker": "NVDA", "timestamp": "2026-06-08T09:24:54", "warnings": ["Target ATR feasibility unavailable."]}</t>
        </is>
      </c>
    </row>
    <row r="153">
      <c r="A153" t="inlineStr">
        <is>
          <t>2026-06-08T09:24:54</t>
        </is>
      </c>
      <c r="B153" t="inlineStr">
        <is>
          <t>AVGO</t>
        </is>
      </c>
      <c r="C153" t="inlineStr">
        <is>
          <t>No Trade</t>
        </is>
      </c>
      <c r="D153" t="n">
        <v>0</v>
      </c>
      <c r="E153" t="n">
        <v>385.73</v>
      </c>
      <c r="H153" t="n">
        <v>0</v>
      </c>
      <c r="K153" t="n">
        <v>0</v>
      </c>
      <c r="L153" t="inlineStr">
        <is>
          <t>No clean technical setup detected. Price in middle of value area or poor risk/reward.</t>
        </is>
      </c>
      <c r="M153" t="inlineStr">
        <is>
          <t>SKIP</t>
        </is>
      </c>
      <c r="N153" t="inlineStr">
        <is>
          <t>SKIP: No Trade result. Market regime NEUTRAL; sector STRONG; net R/R 0.00.</t>
        </is>
      </c>
      <c r="O153" t="inlineStr">
        <is>
          <t>AVGO
No Trade
0.00
score
Price
385.73
R/R
0.00x
Grade
No Trade
Quality
0%
Buy Zone
-
Stop
0.00
Targets
-
Skip
Mixed
Relative Strength
Leadership
100%
Trend Quality
Messy
28%
Liquidity
Institutional liquidity
100%
Volume
Confirmed
85%
No actionable setup detected.
No clean technical setup detected. Price in middle of value area or poor risk/reward.
Fib 61.8
343.19
Fib Zone
337.54 - 348.85
Swing Low
289.96
Swing High
429.31
Click chart to open full size</t>
        </is>
      </c>
      <c r="P153" t="inlineStr">
        <is>
          <t>agent_results\charts\market_lens_agent_20260608_091643_avgo.png</t>
        </is>
      </c>
      <c r="Q153" t="inlineStr">
        <is>
          <t>Smart Universe: broad liquid US universe, diversified by sector | Sector: Technology - Strong (76/100); XLK sector regime is strong: 29.2% 3m return, 20.1% vs SPY | Setup: No Trade; score 0.00; R/R 0.00x; price 385.73 | Market: NEUTRAL; Sector regime: STRONG; Net R/R: 0.00; Factors: AI / Semiconductors, Mega Cap Tech, Rates-sensitive Growth, Technology | Agent action: SKIP - SKIP: No Trade result. Market regime NEUTRAL; sector STRONG; net R/R 0.00.</t>
        </is>
      </c>
      <c r="R153" t="inlineStr">
        <is>
          <t>{"adjusted_cash_out": 0.0, "adjusted_position_size": 0, "adjusted_risk_amount": 0.0, "ask": 0.0, "bid": 0.0, "buy_zone_high": null, "buy_zone_low": null, "cash_available": 94003.2, "company_name": "Broadcom Inc.", "correlation_warning": false, "days_to_earnings": 63, "earnings_blackout": false, "earnings_date": "2026-09-03T00:00:00", "estimated_fees": 0.0, "estimated_slippage": 0.54, "estimated_spread": 0.1157, "executable_entry": 385.73, "execution_liquidity_bucket": "large_liquid", "factor_exposure_after": {"Energy": 5996.8}, "factor_exposure_before": {"Energy": 5996.8}, "factor_exposure_cap": 7000.0, "factor_exposure_limit_exceeded": false, "factor_tags": ["AI / Semiconductors", "Mega Cap Tech", "Rates-sensitive Growth", "Technology"], "final_action": "SKIP", "gross_reward_1_per_share": 0.0, "gross_reward_2_per_share": 0.0, "gross_risk_per_share": 385.73, "gross_rr": 0.0, "gross_rr_1": 0.0, "gross_rr_2": 0.0, "gross_rr_decision": 0.0, "highest_correlation_ticker": "XOM", "highest_correlation_value": -0.1609, "initial_action": "SKIP", "market_cap": 1826303610630.94,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386.0579, "net_reward_1_per_share": 0.0, "net_reward_2_per_share": 0.0, "net_risk_per_share": 386.3857, "net_rr": 0.0, "net_rr_1": 0.0, "net_rr_2": 0.0, "net_stop_assumption": -0.3279, "net_target_1_assumption": -0.1929, "net_target_2_assumption": -0.1929, "normalized_atr_score": 88.92, "normalized_liquidity_score": 100, "normalized_momentum_score": 82.06, "normalized_quality_score": 89.16,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385.73,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385.73, "ticker": "AVGO", "timestamp": "2026-06-08T09:24:54", "warnings": ["Target ATR feasibility unavailable."]}</t>
        </is>
      </c>
    </row>
    <row r="154">
      <c r="A154" t="inlineStr">
        <is>
          <t>2026-06-08T09:24:54</t>
        </is>
      </c>
      <c r="B154" t="inlineStr">
        <is>
          <t>NOW</t>
        </is>
      </c>
      <c r="C154" t="inlineStr">
        <is>
          <t>No Trade</t>
        </is>
      </c>
      <c r="D154" t="n">
        <v>0</v>
      </c>
      <c r="E154" t="n">
        <v>112.45</v>
      </c>
      <c r="H154" t="n">
        <v>0</v>
      </c>
      <c r="K154" t="n">
        <v>0</v>
      </c>
      <c r="L154" t="inlineStr">
        <is>
          <t>No clean technical setup detected. Price in middle of value area or poor risk/reward.</t>
        </is>
      </c>
      <c r="M154" t="inlineStr">
        <is>
          <t>SKIP</t>
        </is>
      </c>
      <c r="N154" t="inlineStr">
        <is>
          <t>SKIP: No Trade result. Market regime NEUTRAL; sector STRONG; net R/R 0.00.</t>
        </is>
      </c>
      <c r="O154" t="inlineStr">
        <is>
          <t>NOW
No Trade
0.00
score
Price
112.45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95.14
Fib Zone
93.19 - 97.09
Swing Low
85.44
Swing High
110.83
Click chart to open full size</t>
        </is>
      </c>
      <c r="P154" t="inlineStr">
        <is>
          <t>agent_results\charts\market_lens_agent_20260608_091643_now.png</t>
        </is>
      </c>
      <c r="Q154" t="inlineStr">
        <is>
          <t>Smart Universe: broad liquid US universe, diversified by sector | Sector: Technology - Strong (76/100); XLK sector regime is strong: 29.2% 3m return, 20.1% vs SPY | Setup: No Trade; score 0.00; R/R 0.00x; price 112.45 | Market: NEUTRAL; Sector regime: STRONG; Net R/R: 0.00; Factors: High Beta Growth, Technology | Agent action: SKIP - SKIP: No Trade result. Market regime NEUTRAL; sector STRONG; net R/R 0.00.</t>
        </is>
      </c>
      <c r="R154" t="inlineStr">
        <is>
          <t>{"adjusted_cash_out": 0.0, "adjusted_position_size": 0, "adjusted_risk_amount": 0.0, "ask": 0.0, "bid": 0.0, "buy_zone_high": null, "buy_zone_low": null, "cash_available": 94003.2, "company_name": "ServiceNow, Inc.", "correlation_warning": false, "days_to_earnings": 32, "earnings_blackout": false, "earnings_date": "2026-07-22T00:00:00", "estimated_fees": 0.0, "estimated_slippage": 0.181, "estimated_spread": 0.0337, "executable_entry": 112.45, "execution_liquidity_bucket": "large_liquid", "factor_exposure_after": {"Energy": 5996.8}, "factor_exposure_before": {"Energy": 5996.8}, "factor_exposure_cap": 7000.0, "factor_exposure_limit_exceeded": false, "factor_tags": ["High Beta Growth", "Technology"], "final_action": "SKIP", "gross_reward_1_per_share": 0.0, "gross_reward_2_per_share": 0.0, "gross_risk_per_share": 112.45, "gross_rr": 0.0, "gross_rr_1": 0.0, "gross_rr_2": 0.0, "gross_rr_decision": 0.0, "highest_correlation_ticker": "XOM", "highest_correlation_value": -0.0267, "initial_action": "SKIP", "market_cap": 115970581452.7, "market_cap_bucket": "Large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112.5574, "net_reward_1_per_share": 0.0, "net_reward_2_per_share": 0.0, "net_risk_per_share": 112.6648, "net_rr": 0.0, "net_rr_1": 0.0, "net_rr_2": 0.0, "net_stop_assumption": -0.1074, "net_target_1_assumption": -0.0621, "net_target_2_assumption": -0.0621, "normalized_atr_score": 86.89, "normalized_liquidity_score": 100, "normalized_momentum_score": 57.36, "normalized_quality_score": 77.53, "original_cash_out": 0.0, "original_position_size": 0, "original_risk_amount": 0.0, "portfolio_exposure_after": 5996.8, "portfolio_exposure_before": 5996.8, "position_size": 0, "position_size_adjusted": false, "position_sizing_explanation": "No new position size was calculated because the base decision did not open a simulated buy.", "previous_resistance": 0.0, "price": 112.45,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112.45, "ticker": "NOW", "timestamp": "2026-06-08T09:24:54", "warnings": ["Target ATR feasibility unavailable."]}</t>
        </is>
      </c>
    </row>
    <row r="155">
      <c r="A155" t="inlineStr">
        <is>
          <t>2026-06-08T09:33:45</t>
        </is>
      </c>
      <c r="B155" t="inlineStr">
        <is>
          <t>HIG</t>
        </is>
      </c>
      <c r="C155" t="inlineStr">
        <is>
          <t>Fib 61.8 Confluence Buy Zone</t>
        </is>
      </c>
      <c r="D155" t="n">
        <v>0.51</v>
      </c>
      <c r="E155" t="n">
        <v>132.14</v>
      </c>
      <c r="F155" t="n">
        <v>132.07</v>
      </c>
      <c r="G155" t="n">
        <v>133.48</v>
      </c>
      <c r="H155" t="n">
        <v>131.48</v>
      </c>
      <c r="I155" t="n">
        <v>133.49</v>
      </c>
      <c r="J155" t="n">
        <v>139.89</v>
      </c>
      <c r="K155" t="n">
        <v>5.41</v>
      </c>
      <c r="L155" t="inlineStr">
        <is>
          <t>Price at 61.8% fib retracement (132.78) with confluence at VAL. Planned entry at zone low 132.07; executable entry 132.14, stop below fib 78.6% at 131.48.</t>
        </is>
      </c>
      <c r="M155" t="inlineStr">
        <is>
          <t>BUY_SIMULATED</t>
        </is>
      </c>
      <c r="N155" t="inlineStr">
        <is>
          <t>BUY_SIMULATED: NEUTRAL market regime, STRONG sector, valid setup, net R/R 2.74, no earnings blackout, correlation acceptable, and risk limits allow entry. Position size reduced to 45 shares to fit exposure caps.</t>
        </is>
      </c>
      <c r="O155" t="inlineStr">
        <is>
          <t>HIG
Fib 61.8 Confluence Buy Zone
0.51
score
Price
132.14
R/R
5.41x
Grade
C
Quality
63%
Buy Zone
132.07 - 133.48
Stop
131.48
Targets
133.49 / 139.89
Watch only; needs confirmation
Mixed
Relative Strength
Leadership
100%
Trend Quality
Messy
18%
Liquidity
Institutional liquidity
100%
Volume
Distribution risk
30%
Trigger
Break above prior-day high at 132.14 after holding buy zone.
Invalidation
Exit if price closes below 131.48 or setup support fails.
Trend quality is not clean.
Recent volume shows distribution risk.
Market regime: Mixed.
Relative strength: Leadership.
Price at 61.8% fib retracement (132.78) with confluence at VAL. Planned entry at zone low 132.07; executable entry 132.14, stop below fib 78.6% at 131.48.
Fib 61.8
132.78
Fib Zone
132.07 - 133.48
Swing Low
130.46
Swing High
136.52
Save setup
Click chart to open full size</t>
        </is>
      </c>
      <c r="P155" t="inlineStr">
        <is>
          <t>agent_results\charts\market_lens_agent_20260608_092643_hig.png</t>
        </is>
      </c>
      <c r="Q15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R15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156">
      <c r="A156" t="inlineStr">
        <is>
          <t>2026-06-08T09:33:45</t>
        </is>
      </c>
      <c r="B156" t="inlineStr">
        <is>
          <t>OKE</t>
        </is>
      </c>
      <c r="C156" t="inlineStr">
        <is>
          <t>Fib 61.8 Confluence Buy Zone</t>
        </is>
      </c>
      <c r="D156" t="n">
        <v>0.49</v>
      </c>
      <c r="E156" t="n">
        <v>88.25</v>
      </c>
      <c r="F156" t="n">
        <v>87.78</v>
      </c>
      <c r="G156" t="n">
        <v>89.02</v>
      </c>
      <c r="H156" t="n">
        <v>86.06999999999999</v>
      </c>
      <c r="I156" t="n">
        <v>88.7</v>
      </c>
      <c r="J156" t="n">
        <v>96.06999999999999</v>
      </c>
      <c r="K156" t="n">
        <v>1.39</v>
      </c>
      <c r="L156" t="inlineStr">
        <is>
          <t>Price at 61.8% fib retracement (88.40) with confluence at VWAP. Planned entry at zone low 87.78; executable entry 88.25, stop below fib 78.6% at 86.07. Structural confluence: swing low at 83.66 aligns with VAL (83.81).</t>
        </is>
      </c>
      <c r="M156" t="inlineStr">
        <is>
          <t>WATCH</t>
        </is>
      </c>
      <c r="N156" t="inlineStr">
        <is>
          <t>WATCH: Technical setup detected, but weighted risk/reward 1.39 is below minimum 2.00. Market regime NEUTRAL; sector NEUTRAL; net R/R 1.10.</t>
        </is>
      </c>
      <c r="O156" t="inlineStr">
        <is>
          <t>OKE
Fib 61.8 Confluence Buy Zone
0.49
score
Price
88.25
R/R
1.39x
Grade
B
Quality
73%
Buy Zone
87.78 - 89.02
Stop
86.07
Targets
88.70 / 96.07
Tradable if trigger confirms
Mixed
Relative Strength
Leadership
100%
Trend Quality
Constructive
58%
Liquidity
Institutional liquidity
100%
Volume
Neutral
65%
Trigger
Break above prior-day high at 89.52 after holding buy zone.
Invalidation
Exit if price closes below 86.07 or setup support fails.
Market regime: Mixed.
Relative strength: Leadership.
Price at 61.8% fib retracement (88.40) with confluence at VWAP. Planned entry at zone low 87.78; executable entry 88.25, stop below fib 78.6% at 86.07. Structural confluence: swing low at 83.66 aligns with VAL (83.81).
Fib 61.8
88.40
Fib Zone
87.78 - 89.02
Swing Low
83.66
Swing High
96.07
Save setup
Click chart to open full size</t>
        </is>
      </c>
      <c r="P156" t="inlineStr">
        <is>
          <t>agent_results\charts\market_lens_agent_20260608_092643_oke.png</t>
        </is>
      </c>
      <c r="Q156" t="inlineStr">
        <is>
          <t>Smart Universe: broad liquid US universe, diversified by sector | Sector: Energy - Neutral (48/100); XLE sector regime is neutral: 3.1% 3m return, -6.0% vs SPY | Setup: Fib 61.8 Confluence Buy Zone; score 0.49; R/R 1.39x; price 88.25 | Market: NEUTRAL; Sector regime: NEUTRAL; Net R/R: 1.10; Factors: Energy | Agent action: WATCH - WATCH: Technical setup detected, but weighted risk/reward 1.39 is below minimum 2.00. Market regime NEUTRAL; sector NEUTRAL; net R/R 1.10.</t>
        </is>
      </c>
      <c r="R156" t="inlineStr">
        <is>
          <t>{"adjusted_cash_out": 0.0, "adjusted_position_size": 0, "adjusted_risk_amount": 0.0, "ask": 0.0, "bid": 0.0, "buy_zone_high": 89.02, "buy_zone_low": 87.78, "cash_available": 88056.9, "company_name": "ONEOK, Inc.", "correlation_warning": false, "days_to_earnings": -29, "earnings_blackout": false, "earnings_date": "2026-04-28T00:00:00", "estimated_fees": 0.0, "estimated_slippage": 0.2647, "estimated_spread": 0.0706, "executable_entry": 88.25, "execution_liquidity_bucket": "mid_liquid", "factor_exposure_after": {"Energy": 5996.8, "Financials": 5946.3}, "factor_exposure_before": {"Energy": 5996.8, "Financials": 5946.3}, "factor_exposure_cap": 7000.0, "factor_exposure_limit_exceeded": false, "factor_tags": ["Energy"], "final_action": "WATCH", "gross_reward_1_per_share": 0.45, "gross_reward_2_per_share": 7.82, "gross_risk_per_share": 2.18, "gross_rr": 1.3897, "gross_rr_1": 0.2064, "gross_rr_2": 3.5872, "gross_rr_decision": 1.3897, "highest_correlation_ticker": "XOM", "highest_correlation_value": 0.6317, "initial_action": "WATCH", "market_cap": 55600399189.0,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88.4177, "net_reward_1_per_share": 0.1808, "net_reward_2_per_share": 7.5508, "net_risk_per_share": 2.5154, "net_rr": 1.0974, "net_rr_1": 0.0719, "net_rr_2": 3.0019, "net_stop_assumption": 85.9023, "net_target_1_assumption": 88.5985, "net_target_2_assumption": 95.9685, "normalized_atr_score": 100.0, "normalized_liquidity_score": 38.57, "normalized_momentum_score": 66.9, "normalized_quality_score": 66.68,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96.07, "price": 88.25, "prior_high_20": 96.07, "prior_high_63": 96.07, "reason": "WATCH: Technical setup detected, but weighted risk/reward 1.39 is below minimum 2.00. Market regime NEUTRAL; sector NEUTRAL; net R/R 1.10.",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0.49, "setup_type": "Fib 61.8 Confluence Buy Zone", "sizing_adjustment_reason": "", "spread_source": "liquidity_fallback", "stock_score": 0.49, "stop_loss": 86.07, "target_1": 88.7, "target_1_atr_distance": 0.1827, "target_2": 96.07, "target_2_atr_distance": 3.1745, "target_feasibility_status": "LOW_REWARD_DISTANCE", "theoretical_entry": 87.78, "ticker": "OKE", "timestamp": "2026-06-08T09:33:45", "warnings": ["Target 1 is close versus daily ATR."]}</t>
        </is>
      </c>
    </row>
    <row r="157">
      <c r="A157" t="inlineStr">
        <is>
          <t>2026-06-08T09:33:45</t>
        </is>
      </c>
      <c r="B157" t="inlineStr">
        <is>
          <t>XOM</t>
        </is>
      </c>
      <c r="C157" t="inlineStr">
        <is>
          <t>Fib 61.8 Confluence Buy Zone</t>
        </is>
      </c>
      <c r="D157" t="n">
        <v>0.49</v>
      </c>
      <c r="E157" t="n">
        <v>149.92</v>
      </c>
      <c r="F157" t="n">
        <v>149.87</v>
      </c>
      <c r="G157" t="n">
        <v>151.87</v>
      </c>
      <c r="H157" t="n">
        <v>146.99</v>
      </c>
      <c r="I157" t="n">
        <v>150.49</v>
      </c>
      <c r="J157" t="n">
        <v>173.86</v>
      </c>
      <c r="K157" t="n">
        <v>2.98</v>
      </c>
      <c r="L157" t="inlineStr">
        <is>
          <t>Price at 61.8% fib retracement (150.87) with confluence at VWAP. Planned entry at zone low 149.87; executable entry 149.92, stop below fib 78.6% at 146.99.</t>
        </is>
      </c>
      <c r="M157" t="inlineStr">
        <is>
          <t>HOLD</t>
        </is>
      </c>
      <c r="N157" t="inlineStr">
        <is>
          <t>HOLD: Existing simulated position remains open. NEUTRAL regime recorded.</t>
        </is>
      </c>
      <c r="O157" t="inlineStr">
        <is>
          <t>XOM
Fib 61.8 Confluence Buy Zone
0.49
score
Price
149.92
R/R
2.98x
Grade
C
Quality
64%
Buy Zone
149.87 - 151.87
Stop
146.99
Targets
150.49 / 173.86
Watch only; needs confirmation
Mixed
Relative Strength
Leadership
100%
Trend Quality
Messy
0%
Liquidity
Institutional liquidity
100%
Volume
Neutral
65%
Trigger
Break above prior-day high at 153.43 after holding buy zone.
Invalidation
Exit if price closes below 146.99 or setup support fails.
Trend quality is not clean.
Market regime: Mixed.
Relative strength: Leadership.
Price at 61.8% fib retracement (150.87) with confluence at VWAP. Planned entry at zone low 149.87; executable entry 149.92, stop below fib 78.6% at 146.99.
Fib 61.8
150.87
Fib Zone
149.87 - 151.87
Swing Low
142.95
Swing High
163.68
Save setup
Click chart to open full size</t>
        </is>
      </c>
      <c r="P157" t="inlineStr">
        <is>
          <t>agent_results\charts\market_lens_agent_20260608_092643_xom.png</t>
        </is>
      </c>
      <c r="Q157"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R157"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158">
      <c r="A158" t="inlineStr">
        <is>
          <t>2026-06-08T09:33:45</t>
        </is>
      </c>
      <c r="B158" t="inlineStr">
        <is>
          <t>V</t>
        </is>
      </c>
      <c r="C158" t="inlineStr">
        <is>
          <t>Fib 61.8 Confluence Buy Zone</t>
        </is>
      </c>
      <c r="D158" t="n">
        <v>0.45</v>
      </c>
      <c r="E158" t="n">
        <v>323.57</v>
      </c>
      <c r="F158" t="n">
        <v>321.22</v>
      </c>
      <c r="G158" t="n">
        <v>324.81</v>
      </c>
      <c r="H158" t="n">
        <v>319</v>
      </c>
      <c r="I158" t="n">
        <v>325.34</v>
      </c>
      <c r="J158" t="n">
        <v>338.49</v>
      </c>
      <c r="K158" t="n">
        <v>1.39</v>
      </c>
      <c r="L158" t="inlineStr">
        <is>
          <t>Price at 61.8% fib retracement (323.02) with confluence at VWAP. Planned entry at zone low 321.22; executable entry 323.57, stop below fib 78.6% at 319.00.</t>
        </is>
      </c>
      <c r="M158" t="inlineStr">
        <is>
          <t>WATCH</t>
        </is>
      </c>
      <c r="N158" t="inlineStr">
        <is>
          <t>WATCH: Technical setup detected, but weighted risk/reward 1.39 is below minimum 2.00. Market regime NEUTRAL; sector STRONG; net R/R 1.16.</t>
        </is>
      </c>
      <c r="O158" t="inlineStr">
        <is>
          <t>V
Fib 61.8 Confluence Buy Zone
0.45
score
Price
323.57
R/R
1.39x
Grade
B
Quality
70%
Buy Zone
321.22 - 324.81
Stop
319.00
Targets
325.34 / 338.49
Tradable if trigger confirms
Mixed
Relative Strength
Leadership
100%
Trend Quality
Constructive
68%
Liquidity
Institutional liquidity
100%
Volume
Distribution risk
30%
Trigger
Break above prior-day high at 324.76 after holding buy zone.
Invalidation
Exit if price closes below 319.00 or setup support fails.
Recent volume shows distribution risk.
Market regime: Mixed.
Relative strength: Leadership.
Price at 61.8% fib retracement (323.02) with confluence at VWAP. Planned entry at zone low 321.22; executable entry 323.57, stop below fib 78.6% at 319.00.
Fib 61.8
323.02
Fib Zone
321.22 - 324.81
Swing Low
315.51
Swing High
335.17
Save setup
Click chart to open full size</t>
        </is>
      </c>
      <c r="P158" t="inlineStr">
        <is>
          <t>agent_results\charts\market_lens_agent_20260608_092643_v.png</t>
        </is>
      </c>
      <c r="Q158" t="inlineStr">
        <is>
          <t>Smart Universe: broad liquid US universe, diversified by sector | Sector: Financials - Strong (70/100); XLF sector regime is strong: 4.4% 3m return, -4.6% vs SPY | Setup: Fib 61.8 Confluence Buy Zone; score 0.45; R/R 1.39x; price 323.57 | Market: NEUTRAL; Sector regime: STRONG; Net R/R: 1.16; Factors: Financials | Agent action: WATCH - WATCH: Technical setup detected, but weighted risk/reward 1.39 is below minimum 2.00. Market regime NEUTRAL; sector STRONG; net R/R 1.16.</t>
        </is>
      </c>
      <c r="R158" t="inlineStr">
        <is>
          <t>{"adjusted_cash_out": 0.0, "adjusted_position_size": 0, "adjusted_risk_amount": 0.0, "ask": 0.0, "bid": 0.0, "buy_zone_high": 324.81, "buy_zone_low": 321.22, "cash_available": 88056.9, "company_name": "Visa Inc.", "correlation_warning": false, "days_to_earnings": 36, "earnings_blackout": false, "earnings_date": "2026-07-28T00:00:00", "estimated_fees": 0.0, "estimated_slippage": 0.453, "estimated_spread": 0.0971, "executable_entry": 323.57, "execution_liquidity_bucket": "large_liquid", "factor_exposure_after": {"Energy": 5996.8, "Financials": 5946.3}, "factor_exposure_before": {"Energy": 5996.8, "Financials": 5946.3}, "factor_exposure_cap": 7000.0, "factor_exposure_limit_exceeded": false, "factor_tags": ["Financials"], "final_action": "WATCH", "gross_reward_1_per_share": 1.77, "gross_reward_2_per_share": 14.92, "gross_risk_per_share": 4.57, "gross_rr": 1.3944, "gross_rr_1": 0.3873, "gross_rr_2": 3.2648, "gross_rr_decision": 1.3944, "highest_correlation_ticker": "HIG", "highest_correlation_value": 0.296, "initial_action": "WATCH", "market_cap": 615347255294.79,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323.845, "net_reward_1_per_share": 1.3332, "net_reward_2_per_share": 14.4832, "net_risk_per_share": 5.1201, "net_rr": 1.1593, "net_rr_1": 0.2604, "net_rr_2": 2.8287, "net_stop_assumption": 318.725, "net_target_1_assumption": 325.1782, "net_target_2_assumption": 338.3282, "normalized_atr_score": 100.0, "normalized_liquidity_score": 59.95, "normalized_momentum_score": 60.9, "normalized_quality_score": 70.39,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335.17, "price": 323.57, "prior_high_20": 335.17, "prior_high_63": 341.2725, "reason": "WATCH: Technical setup detected, but weighted risk/reward 1.39 is below minimum 2.00. Market regime NEUTRAL; sector STRONG; net R/R 1.16.",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0.45, "setup_type": "Fib 61.8 Confluence Buy Zone", "sizing_adjustment_reason": "", "spread_source": "liquidity_fallback", "stock_score": 0.45, "stop_loss": 319.0, "target_1": 325.34, "target_1_atr_distance": 0.2466, "target_2": 338.49, "target_2_atr_distance": 2.0787, "target_feasibility_status": "LOW_REWARD_DISTANCE", "theoretical_entry": 321.22, "ticker": "V", "timestamp": "2026-06-08T09:33:45", "warnings": ["Target 1 is close versus daily ATR."]}</t>
        </is>
      </c>
    </row>
    <row r="159">
      <c r="A159" t="inlineStr">
        <is>
          <t>2026-06-08T09:33:45</t>
        </is>
      </c>
      <c r="B159" t="inlineStr">
        <is>
          <t>CVX</t>
        </is>
      </c>
      <c r="C159" t="inlineStr">
        <is>
          <t>VWAP Reclaim Setup</t>
        </is>
      </c>
      <c r="D159" t="n">
        <v>0.45</v>
      </c>
      <c r="E159" t="n">
        <v>187.31</v>
      </c>
      <c r="F159" t="n">
        <v>186.04</v>
      </c>
      <c r="G159" t="n">
        <v>188.58</v>
      </c>
      <c r="H159" t="n">
        <v>182.39</v>
      </c>
      <c r="I159" t="n">
        <v>189.98</v>
      </c>
      <c r="J159" t="n">
        <v>204.51</v>
      </c>
      <c r="K159" t="n">
        <v>1.58</v>
      </c>
      <c r="L159" t="inlineStr">
        <is>
          <t>Price (187.31) reclaiming VWAP (187.85) after trading below it. Volume confirming. Anchored VWAP context 186.37 is supportive. Entry at 187.31, stop at 182.39.</t>
        </is>
      </c>
      <c r="M159" t="inlineStr">
        <is>
          <t>WATCH</t>
        </is>
      </c>
      <c r="N159" t="inlineStr">
        <is>
          <t>WATCH: Technical setup detected, but weighted risk/reward 1.58 is below minimum 2.00. Market regime NEUTRAL; sector NEUTRAL; net R/R 1.43.</t>
        </is>
      </c>
      <c r="O159" t="inlineStr">
        <is>
          <t>CVX
VWAP Reclaim Setup
0.45
score
Price
187.31
R/R
1.58x
Grade
C
Quality
64%
Buy Zone
186.04 - 188.58
Stop
182.39
Targets
189.98 / 204.51
Watch only; needs confirmation
Mixed
Relative Strength
Leadership
100%
Trend Quality
Messy
18%
Liquidity
Institutional liquidity
100%
Volume
Neutral
65%
Trigger
Hold VWAP and break above 190.10.
Invalidation
Exit if price closes below 182.39 or setup support fails.
Trend quality is not clean.
Market regime: Mixed.
Relative strength: Leadership.
Price (187.31) reclaiming VWAP (187.85) after trading below it. Volume confirming. Anchored VWAP context 186.37 is supportive. Entry at 187.31, stop at 182.39.
Fib 61.8
185.91
Fib Zone
184.85 - 186.97
Swing Low
177.90
Swing High
198.87
Save setup
Click chart to open full size</t>
        </is>
      </c>
      <c r="P159" t="inlineStr">
        <is>
          <t>agent_results\charts\market_lens_agent_20260608_092643_cvx.png</t>
        </is>
      </c>
      <c r="Q159" t="inlineStr">
        <is>
          <t>Smart Universe: broad liquid US universe, diversified by sector | Sector: Energy - Neutral (48/100); XLE sector regime is neutral: 3.1% 3m return, -6.0% vs SPY | Setup: VWAP Reclaim Setup; score 0.45; R/R 1.58x; price 187.31 | Market: NEUTRAL; Sector regime: NEUTRAL; Net R/R: 1.43; Factors: Energy | Agent action: WATCH - WATCH: Technical setup detected, but weighted risk/reward 1.58 is below minimum 2.00. Market regime NEUTRAL; sector NEUTRAL; net R/R 1.43.</t>
        </is>
      </c>
      <c r="R159" t="inlineStr">
        <is>
          <t>{"adjusted_cash_out": 0.0, "adjusted_position_size": 0, "adjusted_risk_amount": 0.0, "ask": 0.0, "bid": 0.0, "buy_zone_high": 188.58, "buy_zone_low": 186.04, "cash_available": 88056.9, "company_name": "Chevron Corporation", "correlation_warning": true, "days_to_earnings": 39, "earnings_blackout": false, "earnings_date": "2026-07-31T00:00:00", "estimated_fees": 0.0, "estimated_slippage": 0.2622, "estimated_spread": 0.0562, "executable_entry": 187.31, "execution_liquidity_bucket": "large_liquid", "factor_exposure_after": {"Energy": 5996.8, "Financials": 5946.3}, "factor_exposure_before": {"Energy": 5996.8, "Financials": 5946.3}, "factor_exposure_cap": 7000.0, "factor_exposure_limit_exceeded": false, "factor_tags": ["Energy"], "final_action": "WATCH", "gross_reward_1_per_share": 2.67, "gross_reward_2_per_share": 17.2, "gross_risk_per_share": 4.92, "gross_rr": 1.5763, "gross_rr_1": 0.5427, "gross_rr_2": 3.4959, "gross_rr_decision": 1.5763, "highest_correlation_ticker": "XOM", "highest_correlation_value": 0.86, "initial_action": "WATCH", "market_cap": 373046166318.62,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187.4692, "net_reward_1_per_share": 2.4171, "net_reward_2_per_share": 16.9471, "net_risk_per_share": 5.2384, "net_rr": 1.4322, "net_rr_1": 0.4614, "net_rr_2": 3.2352, "net_stop_assumption": 182.2308, "net_target_1_assumption": 189.8863, "net_target_2_assumption": 204.4163, "normalized_atr_score": 100.0, "normalized_liquidity_score": 49.74, "normalized_momentum_score": 54.93, "normalized_quality_score": 64.64,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198.87, "price": 187.31, "prior_high_20": 198.87, "prior_high_63": 212.7613, "reason": "WATCH: Technical setup detected, but weighted risk/reward 1.58 is below minimum 2.00. Market regime NEUTRAL; sector NEUTRAL; net R/R 1.43.",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0.45, "setup_type": "VWAP Reclaim Setup", "sizing_adjustment_reason": "", "spread_source": "liquidity_fallback", "stock_score": 0.45, "stop_loss": 182.39, "target_1": 189.98, "target_1_atr_distance": 0.6284, "target_2": 204.51, "target_2_atr_distance": 4.0483, "target_feasibility_status": "LOW_REWARD_DISTANCE", "theoretical_entry": 186.04, "ticker": "CVX", "timestamp": "2026-06-08T09:33:45", "warnings": ["Target 1 is close versus daily ATR."]}</t>
        </is>
      </c>
    </row>
    <row r="160">
      <c r="A160" t="inlineStr">
        <is>
          <t>2026-06-08T09:33:45</t>
        </is>
      </c>
      <c r="B160" t="inlineStr">
        <is>
          <t>ELAN</t>
        </is>
      </c>
      <c r="C160" t="inlineStr">
        <is>
          <t>Fib 61.8 Confluence Buy Zone</t>
        </is>
      </c>
      <c r="D160" t="n">
        <v>0.44</v>
      </c>
      <c r="E160" t="n">
        <v>23.63</v>
      </c>
      <c r="F160" t="n">
        <v>23.11</v>
      </c>
      <c r="G160" t="n">
        <v>23.69</v>
      </c>
      <c r="H160" t="n">
        <v>22.5</v>
      </c>
      <c r="I160" t="n">
        <v>23.94</v>
      </c>
      <c r="J160" t="n">
        <v>26.29</v>
      </c>
      <c r="K160" t="n">
        <v>1.01</v>
      </c>
      <c r="L160" t="inlineStr">
        <is>
          <t>Price at 61.8% fib retracement (23.40) with confluence at POC, VWAP. Planned entry at zone low 23.11; executable entry 23.63, stop below fib 78.6% at 22.50.</t>
        </is>
      </c>
      <c r="M160" t="inlineStr">
        <is>
          <t>WATCH</t>
        </is>
      </c>
      <c r="N160" t="inlineStr">
        <is>
          <t>WATCH: Technical setup detected, but weighted risk/reward 1.01 is below minimum 2.00. Market regime NEUTRAL; sector NEUTRAL; net R/R 0.87.</t>
        </is>
      </c>
      <c r="O160" t="inlineStr">
        <is>
          <t>ELAN
Fib 61.8 Confluence Buy Zone
0.44
score
Price
23.63
R/R
1.01x
Grade
C
Quality
65%
Buy Zone
23.11 - 23.69
Stop
22.50
Targets
23.94 / 26.29
Watch only; needs confirmation
Mixed
Relative Strength
In line
50%
Trend Quality
Constructive
68%
Liquidity
Institutional liquidity
100%
Volume
Confirmed
80%
Trigger
Break above prior-day high at 26.23 after holding buy zone.
Invalidation
Exit if price closes below 22.50 or setup support fails.
Market regime: Mixed.
Relative strength: In line.
Price at 61.8% fib retracement (23.40) with confluence at POC, VWAP. Planned entry at zone low 23.11; executable entry 23.63, stop below fib 78.6% at 22.50.
Fib 61.8
23.40
Fib Zone
23.11 - 23.69
Swing Low
21.62
Swing High
26.29
Save setup
Click chart to open full size</t>
        </is>
      </c>
      <c r="P160" t="inlineStr">
        <is>
          <t>agent_results\charts\market_lens_agent_20260608_092643_elan.png</t>
        </is>
      </c>
      <c r="Q160" t="inlineStr">
        <is>
          <t>Smart Universe: broad liquid US universe, diversified by sector | Sector: Healthcare - Neutral (66/100); XLV sector regime is neutral: -0.4% 3m return, -9.4% vs SPY | Setup: Fib 61.8 Confluence Buy Zone; score 0.44; R/R 1.01x; price 23.63 | Market: NEUTRAL; Sector regime: NEUTRAL; Net R/R: 0.87; Factors: Defensive, Healthcare | Agent action: WATCH - WATCH: Technical setup detected, but weighted risk/reward 1.01 is below minimum 2.00. Market regime NEUTRAL; sector NEUTRAL; net R/R 0.87.</t>
        </is>
      </c>
      <c r="R160" t="inlineStr">
        <is>
          <t>{"adjusted_cash_out": 0.0, "adjusted_position_size": 0, "adjusted_risk_amount": 0.0, "ask": 0.0, "bid": 0.0, "buy_zone_high": 23.69, "buy_zone_low": 23.11, "cash_available": 88056.9, "company_name": "Elanco Animal Health Incorporated", "correlation_warning": false, "days_to_earnings": 43, "earnings_blackout": false, "earnings_date": "2026-08-06T00:00:00", "estimated_fees": 0.0, "estimated_slippage": 0.0709, "estimated_spread": 0.0189, "executable_entry": 23.63,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0.31, "gross_reward_2_per_share": 2.66, "gross_risk_per_share": 1.13, "gross_rr": 1.0022, "gross_rr_1": 0.2743, "gross_rr_2": 2.354, "gross_rr_decision": 1.0022, "highest_correlation_ticker": "HIG", "highest_correlation_value": 0.0298, "initial_action": "WATCH", "market_cap": 11801993227.14,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23.6749, "net_reward_1_per_share": 0.2379, "net_reward_2_per_share": 2.5879, "net_risk_per_share": 1.2198, "net_rr": 0.8694, "net_rr_1": 0.1951, "net_rr_2": 2.1216, "net_stop_assumption": 22.4551, "net_target_1_assumption": 23.9128, "net_target_2_assumption": 26.2628, "normalized_atr_score": 100.0, "normalized_liquidity_score": 23.93, "normalized_momentum_score": 43.32, "normalized_quality_score": 51.67,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26.23, "price": 23.63, "prior_high_20": 26.23, "prior_high_63": 26.29, "reason": "WATCH: Technical setup detected, but weighted risk/reward 1.01 is below minimum 2.00. Market regime NEUTRAL; sector NEUTRAL; net R/R 0.87.",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0.44, "setup_type": "Fib 61.8 Confluence Buy Zone", "sizing_adjustment_reason": "", "spread_source": "liquidity_fallback", "stock_score": 0.44, "stop_loss": 22.5, "target_1": 23.94, "target_1_atr_distance": 0.268, "target_2": 26.29, "target_2_atr_distance": 2.2992, "target_feasibility_status": "LOW_REWARD_DISTANCE", "theoretical_entry": 23.11, "ticker": "ELAN", "timestamp": "2026-06-08T09:33:45", "warnings": ["Target 1 is close versus daily ATR."]}</t>
        </is>
      </c>
    </row>
    <row r="161">
      <c r="A161" t="inlineStr">
        <is>
          <t>2026-06-08T09:33:45</t>
        </is>
      </c>
      <c r="B161" t="inlineStr">
        <is>
          <t>MSFT</t>
        </is>
      </c>
      <c r="C161" t="inlineStr">
        <is>
          <t>Breakout + Retest</t>
        </is>
      </c>
      <c r="D161" t="n">
        <v>0.43</v>
      </c>
      <c r="E161" t="n">
        <v>416.67</v>
      </c>
      <c r="F161" t="n">
        <v>414.17</v>
      </c>
      <c r="G161" t="n">
        <v>427.06</v>
      </c>
      <c r="H161" t="n">
        <v>407.73</v>
      </c>
      <c r="I161" t="n">
        <v>426.34</v>
      </c>
      <c r="J161" t="n">
        <v>444.49</v>
      </c>
      <c r="K161" t="n">
        <v>1.79</v>
      </c>
      <c r="L161" t="inlineStr">
        <is>
          <t>Price (416.67) retesting broken resistance (427.06) as support. Breakout on 2026-05-29 with 2.3× avg volume. Volume confirmed breakout. Entry at 416.67, stop at 407.73.</t>
        </is>
      </c>
      <c r="M161" t="inlineStr">
        <is>
          <t>WATCH</t>
        </is>
      </c>
      <c r="N161" t="inlineStr">
        <is>
          <t>WATCH: Technical setup detected, but weighted risk/reward 1.79 is below minimum 2.00. Market regime NEUTRAL; sector STRONG; net R/R 1.42.</t>
        </is>
      </c>
      <c r="O161" t="inlineStr">
        <is>
          <t>MSFT
Breakout + Retest
0.43
score
Price
416.67
R/R
1.79x
Grade
B
Quality
76%
Buy Zone
414.17 - 427.06
Stop
407.73
Targets
426.34 / 444.49
Tradable if trigger confirms
Mixed
Relative Strength
Leadership
100%
Trend Quality
Constructive
68%
Liquidity
Institutional liquidity
100%
Volume
Neutral
65%
Trigger
Close above 436.15 or reclaim of broken resistance.
Invalidation
Exit if price closes below 407.73 or setup support fails.
Market regime: Mixed.
Relative strength: Leadership.
Price (416.67) retesting broken resistance (427.06) as support. Breakout on 2026-05-29 with 2.3× avg volume. Volume confirmed breakout. Entry at 416.67, stop at 407.73.
Fib 61.8
412.14
Fib Zone
408.92 - 415.36
Swing Low
400.01
Swing High
431.76
Save setup
Click chart to open full size</t>
        </is>
      </c>
      <c r="P161" t="inlineStr">
        <is>
          <t>agent_results\charts\market_lens_agent_20260608_092643_msft.png</t>
        </is>
      </c>
      <c r="Q161" t="inlineStr">
        <is>
          <t>Smart Universe: broad liquid US universe, diversified by sector | Sector: Technology - Strong (76/100); XLK sector regime is strong: 29.2% 3m return, 20.1% vs SPY | Setup: Breakout + Retest; score 0.43; R/R 1.79x; price 416.67 | Market: NEUTRAL; Sector regime: STRONG; Net R/R: 1.42; Factors: Mega Cap Tech, Rates-sensitive Growth, Technology | Agent action: WATCH - WATCH: Technical setup detected, but weighted risk/reward 1.79 is below minimum 2.00. Market regime NEUTRAL; sector STRONG; net R/R 1.42.</t>
        </is>
      </c>
      <c r="R161" t="inlineStr">
        <is>
          <t>{"adjusted_cash_out": 0.0, "adjusted_position_size": 0, "adjusted_risk_amount": 0.0, "ask": 0.0, "bid": 0.0, "buy_zone_high": 427.06, "buy_zone_low": 414.17, "cash_available": 88056.9, "company_name": "Microsoft Corporation", "correlation_warning": false, "days_to_earnings": 37, "earnings_blackout": false, "earnings_date": "2026-07-29T00:00:00", "estimated_fees": 0.0, "estimated_slippage": 1.4167, "estimated_spread": 0.125, "executable_entry": 416.67, "execution_liquidity_bucket": "large_liquid", "factor_exposure_after": {"Energy": 5996.8, "Financials": 5946.3}, "factor_exposure_before": {"Energy": 5996.8, "Financials": 5946.3}, "factor_exposure_cap": 7000.0, "factor_exposure_limit_exceeded": false, "factor_tags": ["Mega Cap Tech", "Rates-sensitive Growth", "Technology"], "final_action": "WATCH", "gross_reward_1_per_share": 9.67, "gross_reward_2_per_share": 27.82, "gross_risk_per_share": 8.94, "gross_rr": 1.7922, "gross_rr_1": 1.0817, "gross_rr_2": 3.1119, "gross_rr_decision": 1.7922, "highest_correlation_ticker": "HIG", "highest_correlation_value": -0.1458, "initial_action": "WATCH", "market_cap": 3095205987862.73,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417.4408, "net_reward_1_per_share": 8.4825, "net_reward_2_per_share": 26.6325, "net_risk_per_share": 10.4817, "net_rr": 1.4153, "net_rr_1": 0.8093, "net_rr_2": 2.5409, "net_stop_assumption": 406.9592, "net_target_1_assumption": 425.9233, "net_target_2_assumption": 444.0733, "normalized_atr_score": 100.0, "normalized_liquidity_score": 100, "normalized_momentum_score": 55.96, "normalized_quality_score": 80.18,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466.32, "price": 416.67, "prior_high_20": 466.32, "prior_high_63": 466.32, "reason": "WATCH: Technical setup detected, but weighted risk/reward 1.79 is below minimum 2.00. Market regime NEUTRAL; sector STRONG; net R/R 1.42.",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0.43, "setup_type": "Breakout + Retest", "sizing_adjustment_reason": "", "spread_source": "liquidity_fallback", "stock_score": 0.43, "stop_loss": 407.73, "target_1": 426.34, "target_1_atr_distance": 0.7507, "target_2": 444.49, "target_2_atr_distance": 2.1598, "target_feasibility_status": "OK", "theoretical_entry": 414.17, "ticker": "MSFT", "timestamp": "2026-06-08T09:33:45", "warnings": []}</t>
        </is>
      </c>
    </row>
    <row r="162">
      <c r="A162" t="inlineStr">
        <is>
          <t>2026-06-08T09:33:45</t>
        </is>
      </c>
      <c r="B162" t="inlineStr">
        <is>
          <t>AIG</t>
        </is>
      </c>
      <c r="C162" t="inlineStr">
        <is>
          <t>Fib 61.8 Confluence Buy Zone</t>
        </is>
      </c>
      <c r="D162" t="n">
        <v>0.43</v>
      </c>
      <c r="E162" t="n">
        <v>75.48999999999999</v>
      </c>
      <c r="F162" t="n">
        <v>75.13</v>
      </c>
      <c r="G162" t="n">
        <v>76.02</v>
      </c>
      <c r="H162" t="n">
        <v>74.26000000000001</v>
      </c>
      <c r="I162" t="n">
        <v>76.38</v>
      </c>
      <c r="J162" t="n">
        <v>79.77</v>
      </c>
      <c r="K162" t="n">
        <v>1.68</v>
      </c>
      <c r="L162" t="inlineStr">
        <is>
          <t>Price at 61.8% fib retracement (75.57) with confluence at VWAP. Planned entry at zone low 75.13; executable entry 75.49, stop below fib 78.6% at 74.26.</t>
        </is>
      </c>
      <c r="M162" t="inlineStr">
        <is>
          <t>WATCH</t>
        </is>
      </c>
      <c r="N162" t="inlineStr">
        <is>
          <t>WATCH: Technical setup detected, but weighted risk/reward 1.68 is below minimum 2.00. Market regime NEUTRAL; sector STRONG; net R/R 1.22.</t>
        </is>
      </c>
      <c r="O162" t="inlineStr">
        <is>
          <t>AIG
Fib 61.8 Confluence Buy Zone
0.43
score
Price
75.49
R/R
1.68x
Grade
C
Quality
59%
Buy Zone
75.13 - 76.02
Stop
74.26
Targets
76.38 / 79.77
Watch only; needs confirmation
Mixed
Relative Strength
Leadership
94%
Trend Quality
Messy
0%
Liquidity
Institutional liquidity
100%
Volume
Neutral
65%
Trigger
Break above prior-day high at 75.49 after holding buy zone.
Invalidation
Exit if price closes below 74.26 or setup support fails.
Trend quality is not clean.
Market regime: Mixed.
Relative strength: Leadership.
Price at 61.8% fib retracement (75.57) with confluence at VWAP. Planned entry at zone low 75.13; executable entry 75.49, stop below fib 78.6% at 74.26.
Fib 61.8
75.57
Fib Zone
75.13 - 76.02
Swing Low
72.98
Swing High
79.77
Save setup
Click chart to open full size</t>
        </is>
      </c>
      <c r="P162" t="inlineStr">
        <is>
          <t>agent_results\charts\market_lens_agent_20260608_092643_aig.png</t>
        </is>
      </c>
      <c r="Q162" t="inlineStr">
        <is>
          <t>Smart Universe: broad liquid US universe, diversified by sector | Sector: Financials - Strong (70/100); XLF sector regime is strong: 4.4% 3m return, -4.6% vs SPY | Setup: Fib 61.8 Confluence Buy Zone; score 0.43; R/R 1.68x; price 75.49 | Market: NEUTRAL; Sector regime: STRONG; Net R/R: 1.22; Factors: Financials | Agent action: WATCH - WATCH: Technical setup detected, but weighted risk/reward 1.68 is below minimum 2.00. Market regime NEUTRAL; sector STRONG; net R/R 1.22.</t>
        </is>
      </c>
      <c r="R162" t="inlineStr">
        <is>
          <t>{"adjusted_cash_out": 0.0, "adjusted_position_size": 0, "adjusted_risk_amount": 0.0, "ask": 0.0, "bid": 0.0, "buy_zone_high": 76.02, "buy_zone_low": 75.13, "cash_available": 88056.9, "company_name": "American International Group, Inc.", "correlation_warning": false, "days_to_earnings": -27, "earnings_blackout": false, "earnings_date": "2026-04-30T00:00:00", "estimated_fees": 0.0, "estimated_slippage": 0.2265, "estimated_spread": 0.0604, "executable_entry": 75.49, "execution_liquidity_bucket": "mid_liquid", "factor_exposure_after": {"Energy": 5996.8, "Financials": 5946.3}, "factor_exposure_before": {"Energy": 5996.8, "Financials": 5946.3}, "factor_exposure_cap": 7000.0, "factor_exposure_limit_exceeded": false, "factor_tags": ["Financials"], "final_action": "WATCH", "gross_reward_1_per_share": 0.89, "gross_reward_2_per_share": 4.28, "gross_risk_per_share": 1.23, "gross_rr": 1.6882, "gross_rr_1": 0.7236, "gross_rr_2": 3.4797, "gross_rr_decision": 1.6882, "highest_correlation_ticker": "HIG", "highest_correlation_value": 0.4674, "initial_action": "WATCH", "market_cap": 40025266490.65,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75.6334, "net_reward_1_per_share": 0.6598, "net_reward_2_per_share": 4.0498, "net_risk_per_share": 1.5169, "net_rr": 1.2172, "net_rr_1": 0.4349, "net_rr_2": 2.6698, "net_stop_assumption": 74.1166, "net_target_1_assumption": 76.2932, "net_target_2_assumption": 79.6832, "normalized_atr_score": 100.0, "normalized_liquidity_score": 33.59, "normalized_momentum_score": 41.09, "normalized_quality_score": 53.57,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78.92, "price": 75.49, "prior_high_20": 78.92, "prior_high_63": 79.77, "reason": "WATCH: Technical setup detected, but weighted risk/reward 1.68 is below minimum 2.00. Market regime NEUTRAL; sector STRONG; net R/R 1.22.",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0.43, "setup_type": "Fib 61.8 Confluence Buy Zone", "sizing_adjustment_reason": "", "spread_source": "liquidity_fallback", "stock_score": 0.43, "stop_loss": 74.26, "target_1": 76.38, "target_1_atr_distance": 0.5033, "target_2": 79.77, "target_2_atr_distance": 2.4203, "target_feasibility_status": "LOW_REWARD_DISTANCE", "theoretical_entry": 75.13, "ticker": "AIG", "timestamp": "2026-06-08T09:33:45", "warnings": ["Target 1 is close versus daily ATR."]}</t>
        </is>
      </c>
    </row>
    <row r="163">
      <c r="A163" t="inlineStr">
        <is>
          <t>2026-06-08T09:33:45</t>
        </is>
      </c>
      <c r="B163" t="inlineStr">
        <is>
          <t>NOC</t>
        </is>
      </c>
      <c r="C163" t="inlineStr">
        <is>
          <t>Liquidity Trap Buy Zone</t>
        </is>
      </c>
      <c r="D163" t="n">
        <v>0.42</v>
      </c>
      <c r="E163" t="n">
        <v>544.4</v>
      </c>
      <c r="F163" t="n">
        <v>543.12</v>
      </c>
      <c r="G163" t="n">
        <v>545.6799999999999</v>
      </c>
      <c r="H163" t="n">
        <v>525.22</v>
      </c>
      <c r="I163" t="n">
        <v>696.0599999999999</v>
      </c>
      <c r="J163" t="n">
        <v>696.0599999999999</v>
      </c>
      <c r="K163" t="n">
        <v>7.91</v>
      </c>
      <c r="L163" t="inlineStr">
        <is>
          <t>Price (544.40) swept below VAL (535.20) and reclaimed it — liquidity trap confirmed. POC at 550.41 provides structural support. Entry at 544.40, stop at 525.22.</t>
        </is>
      </c>
      <c r="M163" t="inlineStr">
        <is>
          <t>WATCH</t>
        </is>
      </c>
      <c r="N163" t="inlineStr">
        <is>
          <t>WATCH: Neutral market requires stronger setup score (0.42 &lt; 0.45).</t>
        </is>
      </c>
      <c r="O163" t="inlineStr">
        <is>
          <t>NOC
Liquidity Trap Buy Zone
0.42
score
Price
544.40
R/R
7.91x
Grade
C
Quality
60%
Buy Zone
543.12 - 545.68
Stop
525.22
Targets
696.06 / 696.06
Watch only; needs confirmation
Mixed
Relative Strength
In line
67%
Trend Quality
Messy
0%
Liquidity
Institutional liquidity
100%
Volume
Confirmed
85%
Trigger
Break above prior-day high at 545.43 after holding buy zone.
Invalidation
Exit if price closes below 525.22 or setup support fails.
Trend quality is not clean.
Market regime: Mixed.
Relative strength: In line.
Price (544.40) swept below VAL (535.20) and reclaimed it — liquidity trap confirmed. POC at 550.41 provides structural support. Entry at 544.40, stop at 525.22.
Fib 61.8
617.52
Fib Zone
614.32 - 620.72
Swing Low
560.23
Swing High
710.20
Save setup
Click chart to open full size</t>
        </is>
      </c>
      <c r="P163" t="inlineStr">
        <is>
          <t>agent_results\charts\market_lens_agent_20260608_092643_noc.png</t>
        </is>
      </c>
      <c r="Q163" t="inlineStr">
        <is>
          <t>Smart Universe: broad liquid US universe, diversified by sector | Sector: Industrials - Neutral (67/100); XLI sector regime is neutral: 2.2% 3m return, -6.9% vs SPY | Setup: Liquidity Trap Buy Zone; score 0.42; R/R 7.91x; price 544.40 | Market: NEUTRAL; Sector regime: NEUTRAL; Net R/R: 7.51; Factors: Industrials | Agent action: WATCH - WATCH: Neutral market requires stronger setup score (0.42 &lt; 0.45).</t>
        </is>
      </c>
      <c r="R163" t="inlineStr">
        <is>
          <t>{"adjusted_cash_out": 5988.4, "adjusted_position_size": 11, "adjusted_risk_amount": 210.98, "ask": 0.0, "bid": 0.0, "buy_zone_high": 545.68, "buy_zone_low": 543.12, "cash_available": 88056.9, "company_name": "Northrop Grumman Corporation", "correlation_warning": false, "days_to_earnings": 31, "earnings_blackout": false, "earnings_date": "2026-07-21T00:00:00", "estimated_fees": 0.0, "estimated_slippage": 0.7622, "estimated_spread": 0.1633, "executable_entry": 544.4, "execution_liquidity_bucket": "large_liquid", "factor_exposure_after": {"Energy": 5996.8, "Financials": 5946.3, "Industrials": 5988.4}, "factor_exposure_before": {"Energy": 5996.8, "Financials": 5946.3}, "factor_exposure_cap": 7000.0, "factor_exposure_limit_exceeded": false, "factor_tags": ["Industrials"], "final_action": "WATCH", "gross_reward_1_per_share": 151.66, "gross_reward_2_per_share": 151.66, "gross_risk_per_share": 19.18, "gross_rr": 7.9072, "gross_rr_1": 7.9072, "gross_rr_2": 7.9072, "gross_rr_decision": 7.9072, "highest_correlation_ticker": "HIG", "highest_correlation_value": 0.0995, "initial_action": "BUY_SIMULATED", "market_cap": 77323027802.01,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"SUPPORTED_BY_63D_RESISTANCE", "minimum_net_rr_required": 2.5, "net_entry": 544.8627, "net_reward_1_per_share": 150.9251, "net_reward_2_per_share": 150.9251, "net_risk_per_share": 20.1055, "net_rr": 7.5067, "net_rr_1": 7.5067, "net_rr_2": 7.5067, "net_stop_assumption": 524.7573, "net_target_1_assumption": 695.7878, "net_target_2_assumption": 695.7878, "normalized_atr_score": 100.0, "normalized_liquidity_score": 48.06, "normalized_momentum_score": 0, "normalized_quality_score": 39.42, "original_cash_out": 9799.2, "original_position_size": 18, "original_risk_amount": 345.24, "portfolio_exposure_after": 11943.1, "portfolio_exposure_before": 11943.1, "position_size": 0, "position_size_adjusted": true, "position_sizing_explanation": "Base position sizing produced a candidate trade, but the risk transparency layer blocked the new buy. Candidate size: 11 shares, cash 5988.40, risk 210.98.", "previous_resistance": 561.4589, "price": 544.4, "prior_high_20": 561.4589, "prior_high_63": 762.2253, "reason": "WATCH: Neutral market requires stronger setup score (0.42 &lt; 0.45).", "risk_amount": 0.0, "scan_source": "Smart Universe: broad liquid US universe filtered and diversified by the Market Lens UI.", "sector": "Industrials", "sector_etf": "XLI", "sector_exposure_after": 5988.4, "sector_exposure_before": 0.0, "sector_exposure_cap": 6000.0, "sector_exposure_limit_exceeded": false, "sector_regime": "NEUTRAL", "sector_score": 66.69, "setup_score": 0.42, "setup_type": "Liquidity Trap Buy Zone", "sizing_adjustment_reason": "Position size reduced by Industrials sector exposure cap (18 -&gt; 11 shares).", "spread_source": "liquidity_fallback", "stock_score": 0.42, "stop_loss": 525.22, "target_1": 696.06, "target_1_atr_distance": 11.8625, "target_2": 696.06, "target_2_atr_distance": 11.8625, "target_feasibility_status": "EXTENDED", "theoretical_entry": 543.12, "ticker": "NOC", "timestamp": "2026-06-08T09:33:45", "warnings": ["Target distance is extended versus daily ATR.", "Position size reduced by Industrials sector exposure cap (18 -&gt; 11 shares).", "WATCH: Neutral market requires stronger normalized quality (39.42/100).", "WATCH: Target distance is extended versus daily ATR or market structure."]}</t>
        </is>
      </c>
    </row>
    <row r="164">
      <c r="A164" t="inlineStr">
        <is>
          <t>2026-06-08T09:33:45</t>
        </is>
      </c>
      <c r="B164" t="inlineStr">
        <is>
          <t>PH</t>
        </is>
      </c>
      <c r="C164" t="inlineStr">
        <is>
          <t>Breakout + Retest</t>
        </is>
      </c>
      <c r="D164" t="n">
        <v>0.42</v>
      </c>
      <c r="E164" t="n">
        <v>882.34</v>
      </c>
      <c r="F164" t="n">
        <v>856.9299999999999</v>
      </c>
      <c r="G164" t="n">
        <v>880</v>
      </c>
      <c r="H164" t="n">
        <v>845.39</v>
      </c>
      <c r="I164" t="n">
        <v>902.3099999999999</v>
      </c>
      <c r="J164" t="n">
        <v>1026.68</v>
      </c>
      <c r="K164" t="n">
        <v>1.72</v>
      </c>
      <c r="L164" t="inlineStr">
        <is>
          <t>Price (882.34) retesting broken resistance (880.00) as support. Breakout on 2026-06-05 with 1.2× avg volume. Entry at 882.34, stop at 845.39.</t>
        </is>
      </c>
      <c r="M164" t="inlineStr">
        <is>
          <t>WATCH</t>
        </is>
      </c>
      <c r="N164" t="inlineStr">
        <is>
          <t>WATCH: Technical setup detected, but weighted risk/reward 1.72 is below minimum 2.00. Market regime NEUTRAL; sector NEUTRAL; net R/R 1.52.</t>
        </is>
      </c>
      <c r="O164" t="inlineStr">
        <is>
          <t>PH
Breakout + Retest
0.42
score
Price
882.34
R/R
1.72x
Grade
B
Quality
67%
Buy Zone
856.93 - 880.00
Stop
845.39
Targets
902.31 / 1026.68
Tradable if trigger confirms
Mixed
Relative Strength
Leadership
100%
Trend Quality
Messy
18%
Liquidity
Institutional liquidity
100%
Volume
Confirmed
85%
Trigger
Close above 882.34 or reclaim of broken resistance.
Invalidation
Exit if price closes below 845.39 or setup support fails.
Trend quality is not clean.
Market regime: Mixed.
Relative strength: Leadership.
Price (882.34) retesting broken resistance (880.00) as support. Breakout on 2026-06-05 with 1.2× avg volume. Entry at 882.34, stop at 845.39.
Fib 61.8
921.68
Fib Zone
915.92 - 927.45
Swing Low
856.78
Swing High
1026.68
Save setup
Click chart to open full size</t>
        </is>
      </c>
      <c r="P164" t="inlineStr">
        <is>
          <t>agent_results\charts\market_lens_agent_20260608_092643_ph.png</t>
        </is>
      </c>
      <c r="Q164" t="inlineStr">
        <is>
          <t>Smart Universe: broad liquid US universe, diversified by sector | Sector: Industrials - Neutral (67/100); XLI sector regime is neutral: 2.2% 3m return, -6.9% vs SPY | Setup: Breakout + Retest; score 0.42; R/R 1.72x; price 882.34 | Market: NEUTRAL; Sector regime: NEUTRAL; Net R/R: 1.52; Factors: Industrials | Agent action: WATCH - WATCH: Technical setup detected, but weighted risk/reward 1.72 is below minimum 2.00. Market regime NEUTRAL; sector NEUTRAL; net R/R 1.52.</t>
        </is>
      </c>
      <c r="R164" t="inlineStr">
        <is>
          <t>{"adjusted_cash_out": 0.0, "adjusted_position_size": 0, "adjusted_risk_amount": 0.0, "ask": 0.0, "bid": 0.0, "buy_zone_high": 880.0, "buy_zone_low": 856.93, "cash_available": 88056.9, "company_name": "Parker Hannifin Corporation", "correlation_warning": false, "days_to_earnings": 43, "earnings_blackout": false, "earnings_date": "2026-08-06T00:00:00", "estimated_fees": 0.0, "estimated_slippage": 3.0, "estimated_spread": 0.2647, "executable_entry": 882.34, "execution_liquidity_bucket": "large_liquid", "factor_exposure_after": {"Energy": 5996.8, "Financials": 5946.3}, "factor_exposure_before": {"Energy": 5996.8, "Financials": 5946.3}, "factor_exposure_cap": 7000.0, "factor_exposure_limit_exceeded": false, "factor_tags": ["Industrials"], "final_action": "WATCH", "gross_reward_1_per_share": 19.97, "gross_reward_2_per_share": 144.34, "gross_risk_per_share": 36.95, "gross_rr": 1.7185, "gross_rr_1": 0.5405, "gross_rr_2": 3.9064, "gross_rr_decision": 1.7185, "highest_correlation_ticker": "HIG", "highest_correlation_value": 0.2848, "initial_action": "WATCH", "market_cap": 111251067856.37,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883.9723, "net_reward_1_per_share": 17.4553, "net_reward_2_per_share": 141.8253, "net_risk_per_share": 40.2147, "net_rr": 1.5165, "net_rr_1": 0.4341, "net_rr_2": 3.5267, "net_stop_assumption": 843.7577, "net_target_1_assumption": 901.4277, "net_target_2_assumption": 1025.7977, "normalized_atr_score": 100.0, "normalized_liquidity_score": 57.12, "normalized_momentum_score": 33.12, "normalized_quality_score": 57.04,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904.4058, "price": 882.34, "prior_high_20": 904.4058, "prior_high_63": 1026.6794, "reason": "WATCH: Technical setup detected, but weighted risk/reward 1.72 is below minimum 2.00. Market regime NEUTRAL; sector NEUTRAL; net R/R 1.52.",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0.42, "setup_type": "Breakout + Retest", "sizing_adjustment_reason": "", "spread_source": "liquidity_fallback", "stock_score": 0.42, "stop_loss": 845.39, "target_1": 902.31, "target_1_atr_distance": 0.8655, "target_2": 1026.68, "target_2_atr_distance": 6.2556, "target_feasibility_status": "OK", "theoretical_entry": 856.93, "ticker": "PH", "timestamp": "2026-06-08T09:33:45", "warnings": []}</t>
        </is>
      </c>
    </row>
    <row r="165">
      <c r="A165" t="inlineStr">
        <is>
          <t>2026-06-08T09:33:45</t>
        </is>
      </c>
      <c r="B165" t="inlineStr">
        <is>
          <t>BKR</t>
        </is>
      </c>
      <c r="C165" t="inlineStr">
        <is>
          <t>Breakout + Retest</t>
        </is>
      </c>
      <c r="D165" t="n">
        <v>0.41</v>
      </c>
      <c r="E165" t="n">
        <v>62.59</v>
      </c>
      <c r="F165" t="n">
        <v>62.05</v>
      </c>
      <c r="G165" t="n">
        <v>64.13</v>
      </c>
      <c r="H165" t="n">
        <v>61.01</v>
      </c>
      <c r="I165" t="n">
        <v>64.56999999999999</v>
      </c>
      <c r="J165" t="n">
        <v>69.36</v>
      </c>
      <c r="K165" t="n">
        <v>2.31</v>
      </c>
      <c r="L165" t="inlineStr">
        <is>
          <t>Price (62.59) retesting broken resistance (64.13) as support. Breakout on 2026-04-23 with 1.5× avg volume. Volume confirmed breakout. Entry at 62.59, stop at 61.01.</t>
        </is>
      </c>
      <c r="M165" t="inlineStr">
        <is>
          <t>WATCH</t>
        </is>
      </c>
      <c r="N165" t="inlineStr">
        <is>
          <t>WATCH: Position cannot be opened because Energy sector exposure cap leaves no executable size.</t>
        </is>
      </c>
      <c r="O165" t="inlineStr">
        <is>
          <t>BKR
Breakout + Retest
0.41
score
Price
62.59
R/R
2.31x
Grade
C
Quality
63%
Buy Zone
62.05 - 64.13
Stop
61.01
Targets
64.57 / 69.36
Watch only; needs confirmation
Mixed
Relative Strength
Leadership
100%
Trend Quality
Messy
18%
Liquidity
Institutional liquidity
100%
Volume
Distribution risk
45%
Trigger
Close above 66.24 or reclaim of broken resistance.
Invalidation
Exit if price closes below 61.01 or setup support fails.
Trend quality is not clean.
Recent volume shows distribution risk.
Market regime: Mixed.
Relative strength: Leadership.
Price (62.59) retesting broken resistance (64.13) as support. Breakout on 2026-04-23 with 1.5× avg volume. Volume confirmed breakout. Entry at 62.59, stop at 61.01.
Fib 61.8
64.55
Fib Zone
64.03 - 65.07
Swing Low
62.46
Swing High
67.92
Save setup
Click chart to open full size</t>
        </is>
      </c>
      <c r="P165" t="inlineStr">
        <is>
          <t>agent_results\charts\market_lens_agent_20260608_092643_bkr.png</t>
        </is>
      </c>
      <c r="Q165" t="inlineStr">
        <is>
          <t>Smart Universe: broad liquid US universe, diversified by sector | Sector: Energy - Neutral (48/100); XLE sector regime is neutral: 3.1% 3m return, -6.0% vs SPY | Setup: Breakout + Retest; score 0.41; R/R 2.31x; price 62.59 | Market: NEUTRAL; Sector regime: NEUTRAL; Net R/R: 1.74; Factors: Energy | Agent action: WATCH - WATCH: Position cannot be opened because Energy sector exposure cap leaves no executable size.</t>
        </is>
      </c>
      <c r="R165" t="inlineStr">
        <is>
          <t>{"adjusted_cash_out": 0.0, "adjusted_position_size": 0, "adjusted_risk_amount": 0.0, "ask": 0.0, "bid": 0.0, "buy_zone_high": 64.13, "buy_zone_low": 62.05, "cash_available": 88056.9, "company_name": "Baker Hughes Company", "correlation_warning": false, "days_to_earnings": 31, "earnings_blackout": false, "earnings_date": "2026-07-21T00:00:00", "estimated_fees": 0.0, "estimated_slippage": 0.313, "estimated_spread": 0.0501, "executable_entry": 62.59, "execution_liquidity_bucket": "mid_liquid", "factor_exposure_after": {"Energy": 5996.8, "Financials": 5946.3}, "factor_exposure_before": {"Energy": 5996.8, "Financials": 5946.3}, "factor_exposure_cap": 7000.0, "factor_exposure_limit_exceeded": false, "factor_tags": ["Energy"], "final_action": "WATCH", "gross_reward_1_per_share": 1.98, "gross_reward_2_per_share": 6.77, "gross_risk_per_share": 1.58, "gross_rr": 2.3142, "gross_rr_1": 1.2532, "gross_rr_2": 4.2848, "gross_rr_decision": 2.3142, "highest_correlation_ticker": "XOM", "highest_correlation_value": 0.2181, "initial_action": "BUY_SIMULATED", "market_cap": 62093579896.61,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62.7715, "net_reward_1_per_share": 1.6952, "net_reward_2_per_share": 6.4852, "net_risk_per_share": 1.943, "net_rr": 1.7353, "net_rr_1": 0.8725, "net_rr_2": 3.3377, "net_stop_assumption": 60.8285, "net_target_1_assumption": 64.4667, "net_target_2_assumption": 69.2567, "normalized_atr_score": 100.0, "normalized_liquidity_score": 47.52, "normalized_momentum_score": 62.0, "normalized_quality_score": 67.16, "original_cash_out": 9951.81, "original_position_size": 159, "original_risk_amount": 251.22,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67.92, "price": 62.59, "prior_high_20": 67.92, "prior_high_63": 70.1753,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0.41, "setup_type": "Breakout + Retest", "sizing_adjustment_reason": "Position cannot be opened because Energy sector exposure cap leaves no executable size.", "spread_source": "liquidity_fallback", "stock_score": 0.41, "stop_loss": 61.01, "target_1": 64.57, "target_1_atr_distance": 0.953, "target_2": 69.36, "target_2_atr_distance": 3.2586, "target_feasibility_status": "OK", "theoretical_entry": 62.05, "ticker": "BKR", "timestamp": "2026-06-08T09:33:45", "warnings": ["Position cannot be opened because Energy sector exposure cap leaves no executable size.", "WATCH: Neutral market requires stronger setup score (0.41 &lt; 0.45).", "Gross R/R is valid, but Net R/R 1.74 failed minimum 2.50 after slippage/spread adjustment."]}</t>
        </is>
      </c>
    </row>
    <row r="166">
      <c r="A166" t="inlineStr">
        <is>
          <t>2026-06-08T09:33:45</t>
        </is>
      </c>
      <c r="B166" t="inlineStr">
        <is>
          <t>TMO</t>
        </is>
      </c>
      <c r="C166" t="inlineStr">
        <is>
          <t>Breakout + Retest</t>
        </is>
      </c>
      <c r="D166" t="n">
        <v>0.39</v>
      </c>
      <c r="E166" t="n">
        <v>472.8</v>
      </c>
      <c r="F166" t="n">
        <v>466.86</v>
      </c>
      <c r="G166" t="n">
        <v>481.83</v>
      </c>
      <c r="H166" t="n">
        <v>459.37</v>
      </c>
      <c r="I166" t="n">
        <v>487.93</v>
      </c>
      <c r="J166" t="n">
        <v>528.33</v>
      </c>
      <c r="K166" t="n">
        <v>2.18</v>
      </c>
      <c r="L166" t="inlineStr">
        <is>
          <t>Price (472.80) retesting broken resistance (481.83) as support. Breakout on 2026-05-28 with 1.8× avg volume. Volume confirmed breakout. Entry at 472.80, stop at 459.37.</t>
        </is>
      </c>
      <c r="M166" t="inlineStr">
        <is>
          <t>WATCH</t>
        </is>
      </c>
      <c r="N166" t="inlineStr">
        <is>
          <t>WATCH: Neutral market requires stronger setup score (0.39 &lt; 0.45).</t>
        </is>
      </c>
      <c r="O166" t="inlineStr">
        <is>
          <t>TMO
Breakout + Retest
0.39
score
Price
472.80
R/R
2.18x
Grade
B
Quality
70%
Buy Zone
466.86 - 481.83
Stop
459.37
Targets
487.93 / 528.33
Tradable if trigger confirms
Mixed
Relative Strength
Leadership
100%
Trend Quality
Messy
28%
Liquidity
Institutional liquidity
100%
Volume
Confirmed
80%
Trigger
Close above 488.65 or reclaim of broken resistance.
Invalidation
Exit if price closes below 459.37 or setup support fails.
Trend quality is not clean.
Market regime: Mixed.
Relative strength: Leadership.
Price (472.80) retesting broken resistance (481.83) as support. Breakout on 2026-05-28 with 1.8× avg volume. Volume confirmed breakout. Entry at 472.80, stop at 459.37.
Fib 61.8
459.61
Fib Zone
455.87 - 463.36
Swing Low
435.27
Swing High
499.00
Save setup
Click chart to open full size</t>
        </is>
      </c>
      <c r="P166" t="inlineStr">
        <is>
          <t>agent_results\charts\market_lens_agent_20260608_092643_tmo.png</t>
        </is>
      </c>
      <c r="Q166" t="inlineStr">
        <is>
          <t>Smart Universe: broad liquid US universe, diversified by sector | Sector: Healthcare - Neutral (66/100); XLV sector regime is neutral: -0.4% 3m return, -9.4% vs SPY | Setup: Breakout + Retest; score 0.39; R/R 2.18x; price 472.80 | Market: NEUTRAL; Sector regime: NEUTRAL; Net R/R: 1.84; Factors: Defensive, Healthcare | Agent action: WATCH - WATCH: Neutral market requires stronger setup score (0.39 &lt; 0.45).</t>
        </is>
      </c>
      <c r="R166" t="inlineStr">
        <is>
          <t>{"adjusted_cash_out": 5673.6, "adjusted_position_size": 12, "adjusted_risk_amount": 161.16, "ask": 0.0, "bid": 0.0, "buy_zone_high": 481.83, "buy_zone_low": 466.86, "cash_available": 88056.9, "company_name": "Thermo Fisher Scientific Inc.", "correlation_warning": false, "days_to_earnings": 32, "earnings_blackout": false, "earnings_date": "2026-07-22T00:00:00", "estimated_fees": 0.0, "estimated_slippage": 1.6075, "estimated_spread": 0.1418, "executable_entry": 472.8, "execution_liquidity_bucket": "large_liquid", "factor_exposure_after": {"Defensive": 5673.6, "Energy": 5996.8, "Financials": 5946.3, "Healthcare": 5673.6}, "factor_exposure_before": {"Energy": 5996.8, "Financials": 5946.3}, "factor_exposure_cap": 7000.0, "factor_exposure_limit_exceeded": false, "factor_tags": ["Defensive", "Healthcare"], "final_action": "WATCH", "gross_reward_1_per_share": 15.13, "gross_reward_2_per_share": 55.53, "gross_risk_per_share": 13.43, "gross_rr": 2.1794, "gross_rr_1": 1.1266, "gross_rr_2": 4.1348, "gross_rr_decision": 2.1794, "highest_correlation_ticker": "HIG", "highest_correlation_value": -0.0812, "initial_action": "BUY_SIMULATED", "market_cap": 175702624115.61,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473.6747, "net_reward_1_per_share": 13.7825, "net_reward_2_per_share": 54.1825, "net_risk_per_share": 15.1794, "net_rr": 1.8395, "net_rr_1": 0.908, "net_rr_2": 3.5695, "net_stop_assumption": 458.4953, "net_target_1_assumption": 487.4572, "net_target_2_assumption": 527.8572, "normalized_atr_score": 100.0, "normalized_liquidity_score": 72.84, "normalized_momentum_score": 26.41, "normalized_quality_score": 58.74, "original_cash_out": 9928.8, "original_position_size": 21, "original_risk_amount": 282.03, "portfolio_exposure_after": 11943.1, "portfolio_exposure_before": 11943.1, "position_size": 0, "position_size_adjusted": true, "position_sizing_explanation": "Base position sizing produced a candidate trade, but the risk transparency layer blocked the new buy. Candidate size: 12 shares, cash 5673.60, risk 161.16.", "previous_resistance": 499.0, "price": 472.8, "prior_high_20": 499.0, "prior_high_63": 538.41, "reason": "WATCH: Neutral market requires stronger setup score (0.39 &lt; 0.45).", "risk_amount": 0.0, "scan_source": "Smart Universe: broad liquid US universe filtered and diversified by the Market Lens UI.", "sector": "Healthcare", "sector_etf": "XLV", "sector_exposure_after": 5673.6, "sector_exposure_before": 0.0, "sector_exposure_cap": 6000.0, "sector_exposure_limit_exceeded": false, "sector_regime": "NEUTRAL", "sector_score": 65.79, "setup_score": 0.39, "setup_type": "Breakout + Retest", "sizing_adjustment_reason": "Position size reduced by Healthcare sector exposure cap (21 -&gt; 12 shares).", "spread_source": "liquidity_fallback", "stock_score": 0.39, "stop_loss": 459.37, "target_1": 487.93, "target_1_atr_distance": 1.0107, "target_2": 528.33, "target_2_atr_distance": 3.7093, "target_feasibility_status": "OK", "theoretical_entry": 466.86, "ticker": "TMO", "timestamp": "2026-06-08T09:33:45", "warnings": ["Position size reduced by Healthcare sector exposure cap (21 -&gt; 12 shares).", "WATCH: Neutral sector requires a cleaner setup score.", "Gross R/R is valid, but Net R/R 1.84 failed minimum 2.50 after slippage/spread adjustment."]}</t>
        </is>
      </c>
    </row>
    <row r="167">
      <c r="A167" t="inlineStr">
        <is>
          <t>2026-06-08T09:33:45</t>
        </is>
      </c>
      <c r="B167" t="inlineStr">
        <is>
          <t>COP</t>
        </is>
      </c>
      <c r="C167" t="inlineStr">
        <is>
          <t>Fib 61.8 Confluence Buy Zone</t>
        </is>
      </c>
      <c r="D167" t="n">
        <v>0.39</v>
      </c>
      <c r="E167" t="n">
        <v>117.14</v>
      </c>
      <c r="F167" t="n">
        <v>116.7</v>
      </c>
      <c r="G167" t="n">
        <v>118.25</v>
      </c>
      <c r="H167" t="n">
        <v>114.49</v>
      </c>
      <c r="I167" t="n">
        <v>117.87</v>
      </c>
      <c r="J167" t="n">
        <v>134.17</v>
      </c>
      <c r="K167" t="n">
        <v>2.43</v>
      </c>
      <c r="L167" t="inlineStr">
        <is>
          <t>Price at 61.8% fib retracement (117.48) with confluence at VWAP. Planned entry at zone low 116.70; executable entry 117.14, stop below fib 78.6% at 114.49.</t>
        </is>
      </c>
      <c r="M167" t="inlineStr">
        <is>
          <t>WATCH</t>
        </is>
      </c>
      <c r="N167" t="inlineStr">
        <is>
          <t>WATCH: Position cannot be opened because Energy sector exposure cap leaves no executable size.</t>
        </is>
      </c>
      <c r="O167" t="inlineStr">
        <is>
          <t>COP
Fib 61.8 Confluence Buy Zone
0.39
score
Price
117.14
R/R
2.43x
Grade
C
Quality
63%
Buy Zone
116.70 - 118.25
Stop
114.49
Targets
117.87 / 134.17
Watch only; needs confirmation
Mixed
Relative Strength
Leadership
100%
Trend Quality
Messy
0%
Liquidity
Institutional liquidity
100%
Volume
Neutral
65%
Trigger
Break above prior-day high at 119.58 after holding buy zone.
Invalidation
Exit if price closes below 114.49 or setup support fails.
Trend quality is not clean.
Market regime: Mixed.
Relative strength: Leadership.
Price at 61.8% fib retracement (117.48) with confluence at VWAP. Planned entry at zone low 116.70; executable entry 117.14, stop below fib 78.6% at 114.49.
Fib 61.8
117.48
Fib Zone
116.70 - 118.25
Swing Low
111.38
Swing High
127.33
Save setup
Click chart to open full size</t>
        </is>
      </c>
      <c r="P167" t="inlineStr">
        <is>
          <t>agent_results\charts\market_lens_agent_20260608_092643_cop.png</t>
        </is>
      </c>
      <c r="Q167" t="inlineStr">
        <is>
          <t>Smart Universe: broad liquid US universe, diversified by sector | Sector: Energy - Neutral (48/100); XLE sector regime is neutral: 3.1% 3m return, -6.0% vs SPY | Setup: Fib 61.8 Confluence Buy Zone; score 0.39; R/R 2.43x; price 117.14 | Market: NEUTRAL; Sector regime: NEUTRAL; Net R/R: 2.20; Factors: Energy | Agent action: WATCH - WATCH: Position cannot be opened because Energy sector exposure cap leaves no executable size.</t>
        </is>
      </c>
      <c r="R167" t="inlineStr">
        <is>
          <t>{"adjusted_cash_out": 0.0, "adjusted_position_size": 0, "adjusted_risk_amount": 0.0, "ask": 0.0, "bid": 0.0, "buy_zone_high": 118.25, "buy_zone_low": 116.7, "cash_available": 88056.9, "company_name": "ConocoPhillips", "correlation_warning": false, "days_to_earnings": 43, "earnings_blackout": false, "earnings_date": "2026-08-06T00:00:00", "estimated_fees": 0.0, "estimated_slippage": 0.164, "estimated_spread": 0.0351, "executable_entry": 117.14, "execution_liquidity_bucket": "large_liquid", "factor_exposure_after": {"Energy": 5996.8, "Financials": 5946.3}, "factor_exposure_before": {"Energy": 5996.8, "Financials": 5946.3}, "factor_exposure_cap": 7000.0, "factor_exposure_limit_exceeded": false, "factor_tags": ["Energy"], "final_action": "WATCH", "gross_reward_1_per_share": 0.73, "gross_reward_2_per_share": 17.03, "gross_risk_per_share": 2.65, "gross_rr": 2.4283, "gross_rr_1": 0.2755, "gross_rr_2": 6.4264, "gross_rr_decision": 2.4283, "highest_correlation_ticker": "XOM", "highest_correlation_value": 0.8096, "initial_action": "BUY_SIMULATED", "market_cap": 142710959236.39,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117.2396, "net_reward_1_per_share": 0.5719, "net_reward_2_per_share": 16.8719, "net_risk_per_share": 2.8491, "net_rr": 2.2031, "net_rr_1": 0.2007, "net_rr_2": 5.9217, "net_stop_assumption": 114.3904, "net_target_1_assumption": 117.8114, "net_target_2_assumption": 134.1114, "normalized_atr_score": 100.0, "normalized_liquidity_score": 59.07, "normalized_momentum_score": 57.04, "normalized_quality_score": 68.39, "original_cash_out": 9956.9, "original_position_size": 85, "original_risk_amount": 225.25,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126.0, "price": 117.14, "prior_high_20": 126.0, "prior_high_63": 134.8677,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"Fib 61.8 Confluence Buy Zone", "sizing_adjustment_reason": "Position cannot be opened because Energy sector exposure cap leaves no executable size.", "spread_source": "liquidity_fallback", "stock_score": 0.39, "stop_loss": 114.49, "target_1": 117.87, "target_1_atr_distance": 0.2365, "target_2": 134.17, "target_2_atr_distance": 5.5183, "target_feasibility_status": "LOW_REWARD_DISTANCE", "theoretical_entry": 116.7, "ticker": "COP", "timestamp": "2026-06-08T09:33:45", "warnings": ["Target 1 is close versus daily ATR.", "Position cannot be opened because Energy sector exposure cap leaves no executable size.", "WATCH: Neutral market requires stronger setup score (0.39 &lt; 0.45).", "WATCH: Neutral sector requires a cleaner setup score.", "Gross R/R is valid, but Net R/R 2.20 failed minimum 2.50 after slippage/spread adjustment.", "Target 1 is too close versus daily ATR."]}</t>
        </is>
      </c>
    </row>
    <row r="168">
      <c r="A168" t="inlineStr">
        <is>
          <t>2026-06-08T09:33:45</t>
        </is>
      </c>
      <c r="B168" t="inlineStr">
        <is>
          <t>WMB</t>
        </is>
      </c>
      <c r="C168" t="inlineStr">
        <is>
          <t>Swing Low + Volume Support Buy Zone</t>
        </is>
      </c>
      <c r="D168" t="n">
        <v>0.39</v>
      </c>
      <c r="E168" t="n">
        <v>71.95999999999999</v>
      </c>
      <c r="F168" t="n">
        <v>71.29000000000001</v>
      </c>
      <c r="G168" t="n">
        <v>72.62</v>
      </c>
      <c r="H168" t="n">
        <v>69.31</v>
      </c>
      <c r="I168" t="n">
        <v>72.28</v>
      </c>
      <c r="J168" t="n">
        <v>77.75</v>
      </c>
      <c r="K168" t="n">
        <v>0.84</v>
      </c>
      <c r="L168" t="inlineStr">
        <is>
          <t>Price is pulling into a recent swing-low support (71.79) that overlaps with a high-volume area (HVN at 71.67), creating structural + volume confluence. Liquidity sweep below swing low detected — wick and reclaim. Stop below 69.31.</t>
        </is>
      </c>
      <c r="M168" t="inlineStr">
        <is>
          <t>WATCH</t>
        </is>
      </c>
      <c r="N168" t="inlineStr">
        <is>
          <t>WATCH: Technical setup detected, but weighted risk/reward 0.84 is below minimum 2.00. Market regime NEUTRAL; sector NEUTRAL; net R/R 0.69.</t>
        </is>
      </c>
      <c r="O168" t="inlineStr">
        <is>
          <t>WMB
Swing Low + Volume Support Buy Zone
0.39
score
Price
71.96
R/R
0.84x
Grade
C
Quality
57%
Buy Zone
71.29 - 72.62
Stop
69.31
Targets
72.28 / 77.75
Watch only; needs confirmation
Mixed
Relative Strength
Leadership
100%
Trend Quality
Messy
18%
Liquidity
Institutional liquidity
100%
Volume
Distribution risk
30%
Trigger
Break above prior-day high at 72.44 after holding buy zone.
Invalidation
Exit if price closes below 69.31 or setup support fails.
Trend quality is not clean.
Recent volume shows distribution risk.
Market regime: Mixed.
Relative strength: Leadership.
Price is pulling into a recent swing-low support (71.79) that overlaps with a high-volume area (HVN at 71.67), creating structural + volume confluence. Liquidity sweep below swing low detected — wick and reclaim. Stop below 69.31.
Fib 61.8
74.96
Fib Zone
74.54 - 75.37
Swing Low
71.79
Swing High
80.08
Save setup
Click chart to open full size</t>
        </is>
      </c>
      <c r="P168" t="inlineStr">
        <is>
          <t>agent_results\charts\market_lens_agent_20260608_092643_wmb.png</t>
        </is>
      </c>
      <c r="Q168" t="inlineStr">
        <is>
          <t>Smart Universe: broad liquid US universe, diversified by sector | Sector: Energy - Neutral (48/100); XLE sector regime is neutral: 3.1% 3m return, -6.0% vs SPY | Setup: Swing Low + Volume Support Buy Zone; score 0.39; R/R 0.84x; price 71.96 | Market: NEUTRAL; Sector regime: NEUTRAL; Net R/R: 0.69; Factors: Energy | Agent action: WATCH - WATCH: Technical setup detected, but weighted risk/reward 0.84 is below minimum 2.00. Market regime NEUTRAL; sector NEUTRAL; net R/R 0.69.</t>
        </is>
      </c>
      <c r="R168" t="inlineStr">
        <is>
          <t>{"adjusted_cash_out": 0.0, "adjusted_position_size": 0, "adjusted_risk_amount": 0.0, "ask": 0.0, "bid": 0.0, "buy_zone_high": 72.62, "buy_zone_low": 71.29, "cash_available": 88056.9, "company_name": "Williams Companies, Inc.", "correlation_warning": false, "days_to_earnings": 40, "earnings_blackout": false, "earnings_date": "2026-08-03T00:00:00", "estimated_fees": 0.0, "estimated_slippage": 0.2159, "estimated_spread": 0.0576, "executable_entry": 71.96, "execution_liquidity_bucket": "mid_liquid", "factor_exposure_after": {"Energy": 5996.8, "Financials": 5946.3}, "factor_exposure_before": {"Energy": 5996.8, "Financials": 5946.3}, "factor_exposure_cap": 7000.0, "factor_exposure_limit_exceeded": false, "factor_tags": ["Energy"], "final_action": "WATCH", "gross_reward_1_per_share": 0.32, "gross_reward_2_per_share": 5.79, "gross_risk_per_share": 2.65, "gross_rr": 0.8432, "gross_rr_1": 0.1208, "gross_rr_2": 2.1849, "gross_rr_decision": 0.8432, "highest_correlation_ticker": "XOM", "highest_correlation_value": 0.3654, "initial_action": "WATCH", "market_cap": 88006954029.71,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72.0967, "net_reward_1_per_share": 0.1005, "net_reward_2_per_share": 5.5705, "net_risk_per_share": 2.9234, "net_rr": 0.6893, "net_rr_1": 0.0344, "net_rr_2": 1.9055, "net_stop_assumption": 69.1733, "net_target_1_assumption": 72.1972, "net_target_2_assumption": 77.6672, "normalized_atr_score": 100.0, "normalized_liquidity_score": 47.69, "normalized_momentum_score": 44.76, "normalized_quality_score": 59.45,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80.08, "price": 71.96, "prior_high_20": 80.08, "prior_high_63": 80.08, "reason": "WATCH: Technical setup detected, but weighted risk/reward 0.84 is below minimum 2.00. Market regime NEUTRAL; sector NEUTRAL; net R/R 0.69.",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0.39, "setup_type": "Swing Low + Volume Support Buy Zone", "sizing_adjustment_reason": "", "spread_source": "liquidity_fallback", "stock_score": 0.39, "stop_loss": 69.31, "target_1": 72.28, "target_1_atr_distance": 0.1938, "target_2": 77.75, "target_2_atr_distance": 3.5065, "target_feasibility_status": "LOW_REWARD_DISTANCE", "theoretical_entry": 71.29, "ticker": "WMB", "timestamp": "2026-06-08T09:33:45", "warnings": ["Target 1 is close versus daily ATR."]}</t>
        </is>
      </c>
    </row>
    <row r="169">
      <c r="A169" t="inlineStr">
        <is>
          <t>2026-06-08T09:33:45</t>
        </is>
      </c>
      <c r="B169" t="inlineStr">
        <is>
          <t>OHI</t>
        </is>
      </c>
      <c r="C169" t="inlineStr">
        <is>
          <t>Fib 61.8 Confluence Buy Zone</t>
        </is>
      </c>
      <c r="D169" t="n">
        <v>0.37</v>
      </c>
      <c r="E169" t="n">
        <v>44.47</v>
      </c>
      <c r="F169" t="n">
        <v>44.43</v>
      </c>
      <c r="G169" t="n">
        <v>44.96</v>
      </c>
      <c r="H169" t="n">
        <v>43.79</v>
      </c>
      <c r="I169" t="n">
        <v>44.61</v>
      </c>
      <c r="J169" t="n">
        <v>48.12</v>
      </c>
      <c r="K169" t="n">
        <v>2.01</v>
      </c>
      <c r="L169" t="inlineStr">
        <is>
          <t>Price at 61.8% fib retracement (44.70) with confluence at VAL, VWAP. Planned entry at zone low 44.43; executable entry 44.47, stop below fib 78.6% at 43.79. Structural confluence: swing low at 45.34 aligns with HVN (45.42).</t>
        </is>
      </c>
      <c r="M169" t="inlineStr">
        <is>
          <t>WATCH</t>
        </is>
      </c>
      <c r="N169" t="inlineStr">
        <is>
          <t>WATCH: Neutral market requires stronger setup score (0.37 &lt; 0.45).</t>
        </is>
      </c>
      <c r="O169" t="inlineStr">
        <is>
          <t>OHI
Fib 61.8 Confluence Buy Zone
0.37
score
Price
44.47
R/R
2.01x
Grade
C
Quality
63%
Buy Zone
44.43 - 44.96
Stop
43.79
Targets
44.61 / 48.12
Watch only; needs confirmation
Mixed
Relative Strength
Leadership
100%
Trend Quality
Messy
18%
Liquidity
Institutional liquidity
100%
Volume
Neutral
50%
Trigger
Break above prior-day high at 44.92 after holding buy zone.
Invalidation
Exit if price closes below 43.79 or setup support fails.
Trend quality is not clean.
Market regime: Mixed.
Relative strength: Leadership.
Price at 61.8% fib retracement (44.70) with confluence at VAL, VWAP. Planned entry at zone low 44.43; executable entry 44.47, stop below fib 78.6% at 43.79. Structural confluence: swing low at 45.34 aligns with HVN (45.42).
Fib 61.8
44.70
Fib Zone
44.43 - 44.96
Swing Low
42.87
Swing High
47.65
Save setup
Click chart to open full size</t>
        </is>
      </c>
      <c r="P169" t="inlineStr">
        <is>
          <t>agent_results\charts\market_lens_agent_20260608_092643_ohi.png</t>
        </is>
      </c>
      <c r="Q169" t="inlineStr">
        <is>
          <t>Smart Universe: broad liquid US universe, diversified by sector | Sector: Real Estate - Strong (70/100); XLRE sector regime is strong: 4.7% 3m return, -4.3% vs SPY | Setup: Fib 61.8 Confluence Buy Zone; score 0.37; R/R 2.01x; price 44.47 | Market: NEUTRAL; Sector regime: STRONG; Net R/R: 1.45; Factors: Real Estate | Agent action: WATCH - WATCH: Neutral market requires stronger setup score (0.37 &lt; 0.45).</t>
        </is>
      </c>
      <c r="R169" t="inlineStr">
        <is>
          <t>{"adjusted_cash_out": 5958.98, "adjusted_position_size": 134, "adjusted_risk_amount": 91.12, "ask": 0.0, "bid": 0.0, "buy_zone_high": 44.96, "buy_zone_low": 44.43, "cash_available": 88056.9, "company_name": "Omega Healthcare Investors Inc.", "correlation_warning": false, "days_to_earnings": -29, "earnings_blackout": false, "earnings_date": "2026-04-28T00:00:00", "estimated_fees": 0.0, "estimated_slippage": 0.1334, "estimated_spread": 0.0356, "executable_entry": 44.47, "execution_liquidity_bucket": "mid_liquid", "factor_exposure_after": {"Energy": 5996.8, "Financials": 5946.3, "Real Estate": 5958.98}, "factor_exposure_before": {"Energy": 5996.8, "Financials": 5946.3}, "factor_exposure_cap": 7000.0, "factor_exposure_limit_exceeded": false, "factor_tags": ["Real Estate"], "final_action": "WATCH", "gross_reward_1_per_share": 0.14, "gross_reward_2_per_share": 3.65, "gross_risk_per_share": 0.68, "gross_rr": 2.0125, "gross_rr_1": 0.2059, "gross_rr_2": 5.3676, "gross_rr_decision": 2.0125, "highest_correlation_ticker": "HIG", "highest_correlation_value": 0.2399, "initial_action": "BUY_SIMULATED", "market_cap": 13243255303.53,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44.5545, "net_reward_1_per_share": 0.0044, "net_reward_2_per_share": 3.5144, "net_risk_per_share": 0.849, "net_rr": 1.4522, "net_rr_1": 0.0051, "net_rr_2": 4.1395, "net_stop_assumption": 43.7055, "net_target_1_assumption": 44.5589, "net_target_2_assumption": 48.0689, "normalized_atr_score": 100.0, "normalized_liquidity_score": 17.93, "normalized_momentum_score": 26.57, "normalized_quality_score": 42.34, "original_cash_out": 9961.28, "original_position_size": 224, "original_risk_amount": 152.32, "portfolio_exposure_after": 11943.1, "portfolio_exposure_before": 11943.1, "position_size": 0, "position_size_adjusted": true, "position_sizing_explanation": "Base position sizing produced a candidate trade, but the risk transparency layer blocked the new buy. Candidate size: 134 shares, cash 5958.98, risk 91.12.", "previous_resistance": 49.33, "price": 44.47, "prior_high_20": 49.33, "prior_high_63": 49.33, "reason": "WATCH: Neutral market requires stronger setup score (0.37 &lt; 0.45).", "risk_amount": 0.0, "scan_source": "Smart Universe: broad liquid US universe filtered and diversified by the Market Lens UI.", "sector": "Real Estate", "sector_etf": "XLRE", "sector_exposure_after": 5958.98, "sector_exposure_before": 0.0, "sector_exposure_cap": 6000.0, "sector_exposure_limit_exceeded": false, "sector_regime": "STRONG", "sector_score": 69.63, "setup_score": 0.37, "setup_type": "Fib 61.8 Confluence Buy Zone", "sizing_adjustment_reason": "Position size reduced by Real Estate sector exposure cap (224 -&gt; 134 shares).", "spread_source": "liquidity_fallback", "stock_score": 0.37, "stop_loss": 43.79, "target_1": 44.61, "target_1_atr_distance": 0.1339, "target_2": 48.12, "target_2_atr_distance": 3.4918, "target_feasibility_status": "LOW_REWARD_DISTANCE", "theoretical_entry": 44.43, "ticker": "OHI", "timestamp": "2026-06-08T09:33:45", "warnings": ["Target 1 is close versus daily ATR.", "Position size reduced by Real Estate sector exposure cap (224 -&gt; 134 shares).", "WATCH: Neutral market requires stronger normalized quality (42.34/100).", "Gross R/R is valid, but Net R/R 1.45 failed minimum 2.20 after slippage/spread adjustment.", "Target 1 is too close versus daily ATR."]}</t>
        </is>
      </c>
    </row>
    <row r="170">
      <c r="A170" t="inlineStr">
        <is>
          <t>2026-06-08T09:33:45</t>
        </is>
      </c>
      <c r="B170" t="inlineStr">
        <is>
          <t>INSM</t>
        </is>
      </c>
      <c r="C170" t="inlineStr">
        <is>
          <t>VWAP Reclaim Setup</t>
        </is>
      </c>
      <c r="D170" t="n">
        <v>0.36</v>
      </c>
      <c r="E170" t="n">
        <v>94.22</v>
      </c>
      <c r="F170" t="n">
        <v>92.43000000000001</v>
      </c>
      <c r="G170" t="n">
        <v>96.01000000000001</v>
      </c>
      <c r="H170" t="n">
        <v>88.26000000000001</v>
      </c>
      <c r="I170" t="n">
        <v>98.70999999999999</v>
      </c>
      <c r="J170" t="n">
        <v>160.2</v>
      </c>
      <c r="K170" t="n">
        <v>4.37</v>
      </c>
      <c r="L170" t="inlineStr">
        <is>
          <t>Price (94.22) reclaiming VWAP (95.73) after trading below it. Volume confirming. Anchored VWAP context 94.22 is supportive. Entry at 94.22, stop at 88.26.</t>
        </is>
      </c>
      <c r="M170" t="inlineStr">
        <is>
          <t>WATCH</t>
        </is>
      </c>
      <c r="N170" t="inlineStr">
        <is>
          <t>WATCH: Neutral market requires stronger setup score (0.36 &lt; 0.45).</t>
        </is>
      </c>
      <c r="O170" t="inlineStr">
        <is>
          <t>INSM
VWAP Reclaim Setup
0.36
score
Price
94.22
R/R
4.37x
Grade
B
Quality
69%
Buy Zone
92.43 - 96.01
Stop
88.26
Targets
98.71 / 160.20
Tradable if trigger confirms
Mixed
Relative Strength
Leadership
100%
Trend Quality
Messy
0%
Liquidity
Institutional liquidity
100%
Volume
Confirmed
100%
Trigger
Hold VWAP and break above 105.29.
Invalidation
Exit if price closes below 88.26 or setup support fails.
Trend quality is not clean.
Market regime: Mixed.
Relative strength: Leadership.
Price (94.22) reclaiming VWAP (95.73) after trading below it. Volume confirming. Anchored VWAP context 94.22 is supportive. Entry at 94.22, stop at 88.26.
Fib 61.8
147.37
Fib Zone
145.88 - 148.85
Swing Low
135.73
Swing High
166.19
Save setup
Click chart to open full size</t>
        </is>
      </c>
      <c r="P170" t="inlineStr">
        <is>
          <t>agent_results\charts\market_lens_agent_20260608_092643_insm.png</t>
        </is>
      </c>
      <c r="Q170" t="inlineStr">
        <is>
          <t>Smart Universe: broad liquid US universe, diversified by sector | Sector: Healthcare - Neutral (66/100); XLV sector regime is neutral: -0.4% 3m return, -9.4% vs SPY | Setup: VWAP Reclaim Setup; score 0.36; R/R 4.37x; price 94.22 | Market: NEUTRAL; Sector regime: NEUTRAL; Net R/R: 4.04; Factors: Defensive, Healthcare | Agent action: WATCH - WATCH: Neutral market requires stronger setup score (0.36 &lt; 0.45).</t>
        </is>
      </c>
      <c r="R170" t="inlineStr">
        <is>
          <t>{"adjusted_cash_out": 5935.86, "adjusted_position_size": 63, "adjusted_risk_amount": 375.48, "ask": 0.0, "bid": 0.0, "buy_zone_high": 96.01, "buy_zone_low": 92.43, "cash_available": 88056.9, "company_name": "Insmed Incorporated", "correlation_warning": false, "days_to_earnings": 43, "earnings_blackout": false, "earnings_date": "2026-08-06T00:00:00", "estimated_fees": 0.0, "estimated_slippage": 0.3251, "estimated_spread": 0.0754, "executable_entry": 94.22, "execution_liquidity_bucket": "mid_liquid", "factor_exposure_after": {"Defensive": 5935.86, "Energy": 5996.8, "Financials": 5946.3, "Healthcare": 5935.86}, "factor_exposure_before": {"Energy": 5996.8, "Financials": 5946.3}, "factor_exposure_cap": 7000.0, "factor_exposure_limit_exceeded": false, "factor_tags": ["Defensive", "Healthcare"], "final_action": "WATCH", "gross_reward_1_per_share": 4.49, "gross_reward_2_per_share": 65.98, "gross_risk_per_share": 5.96, "gross_rr": 4.3643, "gross_rr_1": 0.7534, "gross_rr_2": 11.0705, "gross_rr_decision": 4.3643, "highest_correlation_ticker": "HIG", "highest_correlation_value": 0.054, "initial_action": "BUY_SIMULATED", "market_cap": 20422416197.81,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94.4202, "net_reward_1_per_share": 4.1708, "net_reward_2_per_share": 65.6608, "net_risk_per_share": 6.3604, "net_rr": 4.0394, "net_rr_1": 0.6557, "net_rr_2": 10.3233, "net_stop_assumption": 88.0598, "net_target_1_assumption": 98.591, "net_target_2_assumption": 160.081, "normalized_atr_score": 92.54, "normalized_liquidity_score": 45.47, "normalized_momentum_score": 0, "normalized_quality_score": 36.78, "original_cash_out": 9987.32, "original_position_size": 106, "original_risk_amount": 631.76, "portfolio_exposure_after": 11943.1, "portfolio_exposure_before": 11943.1, "position_size": 0, "position_size_adjusted": true, "position_sizing_explanation": "Base position sizing produced a candidate trade, but the risk transparency layer blocked the new buy. Candidate size: 63 shares, cash 5935.86, risk 375.48.", "previous_resistance": 125.36, "price": 94.22, "prior_high_20": 125.36, "prior_high_63": 166.19, "reason": "WATCH: Neutral market requires stronger setup score (0.36 &lt; 0.45).", "risk_amount": 0.0, "scan_source": "Smart Universe: broad liquid US universe filtered and diversified by the Market Lens UI.", "sector": "Healthcare", "sector_etf": "XLV", "sector_exposure_after": 5935.86, "sector_exposure_before": 0.0, "sector_exposure_cap": 6000.0, "sector_exposure_limit_exceeded": false, "sector_regime": "NEUTRAL", "sector_score": 65.79, "setup_score": 0.36, "setup_type": "VWAP Reclaim Setup", "sizing_adjustment_reason": "Position size reduced by Healthcare sector exposure cap (106 -&gt; 63 shares).", "spread_source": "liquidity_fallback", "stock_score": 0.36, "stop_loss": 88.26, "target_1": 98.71, "target_1_atr_distance": 0.7539, "target_2": 160.2, "target_2_atr_distance": 11.0786, "target_feasibility_status": "AGGRESSIVE", "theoretical_entry": 92.43, "ticker": "INSM", "timestamp": "2026-06-08T09:33:45", "warnings": ["Target distance is aggressive versus daily ATR.", "Position size reduced by Healthcare sector exposure cap (106 -&gt; 63 shares).", "WATCH: Neutral market requires stronger normalized quality (36.78/100).", "WATCH: Neutral sector requires a cleaner setup score."]}</t>
        </is>
      </c>
    </row>
    <row r="171">
      <c r="A171" t="inlineStr">
        <is>
          <t>2026-06-08T09:33:45</t>
        </is>
      </c>
      <c r="B171" t="inlineStr">
        <is>
          <t>RTX</t>
        </is>
      </c>
      <c r="C171" t="inlineStr">
        <is>
          <t>VWAP Reclaim Setup</t>
        </is>
      </c>
      <c r="D171" t="n">
        <v>0.35</v>
      </c>
      <c r="E171" t="n">
        <v>180.99</v>
      </c>
      <c r="F171" t="n">
        <v>179.69</v>
      </c>
      <c r="G171" t="n">
        <v>182.29</v>
      </c>
      <c r="H171" t="n">
        <v>172.53</v>
      </c>
      <c r="I171" t="n">
        <v>183.21</v>
      </c>
      <c r="J171" t="n">
        <v>203.85</v>
      </c>
      <c r="K171" t="n">
        <v>1.12</v>
      </c>
      <c r="L171" t="inlineStr">
        <is>
          <t>Price (180.99) reclaiming VWAP (181.04) after trading below it. Volume confirming. Anchored VWAP context 176.17 is supportive. Entry at 180.99, stop at 172.53.</t>
        </is>
      </c>
      <c r="M171" t="inlineStr">
        <is>
          <t>WATCH</t>
        </is>
      </c>
      <c r="N171" t="inlineStr">
        <is>
          <t>WATCH: Technical setup detected, but weighted risk/reward 1.12 is below minimum 2.00. Market regime NEUTRAL; sector NEUTRAL; net R/R 1.05.</t>
        </is>
      </c>
      <c r="O171" t="inlineStr">
        <is>
          <t>RTX
VWAP Reclaim Setup
0.35
score
Price
180.99
R/R
1.12x
Grade
B
Quality
65%
Buy Zone
179.69 - 182.29
Stop
172.53
Targets
183.21 / 203.85
Tradable if trigger confirms
Mixed
Relative Strength
Leadership
100%
Trend Quality
Messy
28%
Liquidity
Institutional liquidity
100%
Volume
Neutral
65%
Trigger
Hold VWAP and break above 180.99.
Invalidation
Exit if price closes below 172.53 or setup support fails.
Trend quality is not clean.
Market regime: Mixed.
Relative strength: Leadership.
Price (180.99) reclaiming VWAP (181.04) after trading below it. Volume confirming. Anchored VWAP context 176.17 is supportive. Entry at 180.99, stop at 172.53.
Fib 61.8
174.46
Fib Zone
173.37 - 175.54
Swing Low
170.07
Swing High
181.55
Save setup
Click chart to open full size</t>
        </is>
      </c>
      <c r="P171" t="inlineStr">
        <is>
          <t>agent_results\charts\market_lens_agent_20260608_092643_rtx.png</t>
        </is>
      </c>
      <c r="Q171" t="inlineStr">
        <is>
          <t>Smart Universe: broad liquid US universe, diversified by sector | Sector: Industrials - Neutral (67/100); XLI sector regime is neutral: 2.2% 3m return, -6.9% vs SPY | Setup: VWAP Reclaim Setup; score 0.35; R/R 1.12x; price 180.99 | Market: NEUTRAL; Sector regime: NEUTRAL; Net R/R: 1.05; Factors: Industrials | Agent action: WATCH - WATCH: Technical setup detected, but weighted risk/reward 1.12 is below minimum 2.00. Market regime NEUTRAL; sector NEUTRAL; net R/R 1.05.</t>
        </is>
      </c>
      <c r="R171" t="inlineStr">
        <is>
          <t>{"adjusted_cash_out": 0.0, "adjusted_position_size": 0, "adjusted_risk_amount": 0.0, "ask": 0.0, "bid": 0.0, "buy_zone_high": 182.29, "buy_zone_low": 179.69, "cash_available": 88056.9, "company_name": "RTX Corporation", "correlation_warning": false, "days_to_earnings": 31, "earnings_blackout": false, "earnings_date": "2026-07-21T00:00:00", "estimated_fees": 0.0, "estimated_slippage": 0.2534, "estimated_spread": 0.0543, "executable_entry": 180.99, "execution_liquidity_bucket": "large_liquid", "factor_exposure_after": {"Energy": 5996.8, "Financials": 5946.3}, "factor_exposure_before": {"Energy": 5996.8, "Financials": 5946.3}, "factor_exposure_cap": 7000.0, "factor_exposure_limit_exceeded": false, "factor_tags": ["Industrials"], "final_action": "WATCH", "gross_reward_1_per_share": 2.22, "gross_reward_2_per_share": 22.86, "gross_risk_per_share": 8.46, "gross_rr": 1.1163, "gross_rr_1": 0.2624, "gross_rr_2": 2.7021, "gross_rr_decision": 1.1163, "highest_correlation_ticker": "HIG", "highest_correlation_value": 0.2733, "initial_action": "WATCH", "market_cap": 243736241031.27,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181.1438, "net_reward_1_per_share": 1.9757, "net_reward_2_per_share": 22.6157, "net_risk_per_share": 8.7677, "net_rr": 1.0493, "net_rr_1": 0.2253, "net_rr_2": 2.5794, "net_stop_assumption": 172.3762, "net_target_1_assumption": 183.1195, "net_target_2_assumption": 203.7595, "normalized_atr_score": 100.0, "normalized_liquidity_score": 36.05, "normalized_momentum_score": 8.7, "normalized_quality_score": 39.73,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181.55, "price": 180.99, "prior_high_20": 181.55, "prior_high_63": 212.1164, "reason": "WATCH: Technical setup detected, but weighted risk/reward 1.12 is below minimum 2.00. Market regime NEUTRAL; sector NEUTRAL; net R/R 1.05.",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0.35, "setup_type": "VWAP Reclaim Setup", "sizing_adjustment_reason": "", "spread_source": "liquidity_fallback", "stock_score": 0.35, "stop_loss": 172.53, "target_1": 183.21, "target_1_atr_distance": 0.5125, "target_2": 203.85, "target_2_atr_distance": 5.2774, "target_feasibility_status": "LOW_REWARD_DISTANCE", "theoretical_entry": 179.69, "ticker": "RTX", "timestamp": "2026-06-08T09:33:45", "warnings": ["Target 1 is close versus daily ATR."]}</t>
        </is>
      </c>
    </row>
    <row r="172">
      <c r="A172" t="inlineStr">
        <is>
          <t>2026-06-08T09:33:45</t>
        </is>
      </c>
      <c r="B172" t="inlineStr">
        <is>
          <t>LNG</t>
        </is>
      </c>
      <c r="C172" t="inlineStr">
        <is>
          <t>VWAP Reclaim Setup</t>
        </is>
      </c>
      <c r="D172" t="n">
        <v>0.34</v>
      </c>
      <c r="E172" t="n">
        <v>238.82</v>
      </c>
      <c r="F172" t="n">
        <v>236.6</v>
      </c>
      <c r="G172" t="n">
        <v>241.04</v>
      </c>
      <c r="H172" t="n">
        <v>231.42</v>
      </c>
      <c r="I172" t="n">
        <v>243.08</v>
      </c>
      <c r="J172" t="n">
        <v>296.84</v>
      </c>
      <c r="K172" t="n">
        <v>3.12</v>
      </c>
      <c r="L172" t="inlineStr">
        <is>
          <t>Price (238.82) reclaiming VWAP (239.38) after trading below it. Volume confirming. Anchored VWAP context 232.70 is supportive. Entry at 238.82, stop at 231.42.</t>
        </is>
      </c>
      <c r="M172" t="inlineStr">
        <is>
          <t>WATCH</t>
        </is>
      </c>
      <c r="N172" t="inlineStr">
        <is>
          <t>WATCH: Position cannot be opened because Energy sector exposure cap leaves no executable size.</t>
        </is>
      </c>
      <c r="O172" t="inlineStr">
        <is>
          <t>LNG
VWAP Reclaim Setup
0.34
score
Price
238.82
R/R
3.12x
Grade
C
Quality
59%
Buy Zone
236.60 - 241.04
Stop
231.42
Targets
243.08 / 296.84
Watch only; needs confirmation
Mixed
Relative Strength
In line
59%
Trend Quality
Messy
18%
Liquidity
Institutional liquidity
100%
Volume
Neutral
65%
Trigger
Hold VWAP and break above 241.42.
Invalidation
Exit if price closes below 231.42 or setup support fails.
Trend quality is not clean.
Market regime: Mixed.
Relative strength: In line.
Price (238.82) reclaiming VWAP (239.38) after trading below it. Volume confirming. Anchored VWAP context 232.70 is supportive. Entry at 238.82, stop at 231.42.
Fib 61.8
241.67
Fib Zone
239.82 - 243.52
Swing Low
235.45
Swing High
251.73
Save setup
Click chart to open full size</t>
        </is>
      </c>
      <c r="P172" t="inlineStr">
        <is>
          <t>agent_results\charts\market_lens_agent_20260608_092643_lng.png</t>
        </is>
      </c>
      <c r="Q172" t="inlineStr">
        <is>
          <t>Smart Universe: broad liquid US universe, diversified by sector | Sector: Energy - Neutral (48/100); XLE sector regime is neutral: 3.1% 3m return, -6.0% vs SPY | Setup: VWAP Reclaim Setup; score 0.34; R/R 3.12x; price 238.82 | Market: NEUTRAL; Sector regime: NEUTRAL; Net R/R: 2.91; Factors: Energy | Agent action: WATCH - WATCH: Position cannot be opened because Energy sector exposure cap leaves no executable size.</t>
        </is>
      </c>
      <c r="R172" t="inlineStr">
        <is>
          <t>{"adjusted_cash_out": 0.0, "adjusted_position_size": 0, "adjusted_risk_amount": 0.0, "ask": 0.0, "bid": 0.0, "buy_zone_high": 241.04, "buy_zone_low": 236.6, "cash_available": 88056.9, "company_name": "Cheniere Energy, Inc.", "correlation_warning": false, "days_to_earnings": 43, "earnings_blackout": false, "earnings_date": "2026-08-06T00:00:00", "estimated_fees": 0.0, "estimated_slippage": 0.3343, "estimated_spread": 0.0716, "executable_entry": 238.82, "execution_liquidity_bucket": "large_liquid", "factor_exposure_after": {"Energy": 5996.8, "Financials": 5946.3}, "factor_exposure_before": {"Energy": 5996.8, "Financials": 5946.3}, "factor_exposure_cap": 7000.0, "factor_exposure_limit_exceeded": false, "factor_tags": ["Energy"], "final_action": "WATCH", "gross_reward_1_per_share": 4.26, "gross_reward_2_per_share": 58.02, "gross_risk_per_share": 7.4, "gross_rr": 3.1184, "gross_rr_1": 0.5757, "gross_rr_2": 7.8405, "gross_rr_decision": 3.1184, "highest_correlation_ticker": "XOM", "highest_correlation_value": 0.5334, "initial_action": "BUY_SIMULATED", "market_cap": 50045178650.56,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239.023, "net_reward_1_per_share": 3.9376, "net_reward_2_per_share": 57.6976, "net_risk_per_share": 7.806, "net_rr": 2.9149, "net_rr_1": 0.5044, "net_rr_2": 7.3914, "net_stop_assumption": 231.217, "net_target_1_assumption": 242.9606, "net_target_2_assumption": 296.7206, "normalized_atr_score": 100.0, "normalized_liquidity_score": 48.99, "normalized_momentum_score": 30.62, "normalized_quality_score": 53.48, "original_cash_out": 9791.62, "original_position_size": 41, "original_risk_amount": 303.4,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251.73, "price": 238.82, "prior_high_20": 251.73, "prior_high_63": 300.1945, "reason": "WATCH: Position cannot be opened because Energy sector exposure cap leaves no executable size.",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0.34, "setup_type": "VWAP Reclaim Setup", "sizing_adjustment_reason": "Position cannot be opened because Energy sector exposure cap leaves no executable size.", "spread_source": "liquidity_fallback", "stock_score": 0.34, "stop_loss": 231.42, "target_1": 243.08, "target_1_atr_distance": 0.5754, "target_2": 296.84, "target_2_atr_distance": 7.8366, "target_feasibility_status": "LOW_REWARD_DISTANCE", "theoretical_entry": 236.6, "ticker": "LNG", "timestamp": "2026-06-08T09:33:45", "warnings": ["Target 1 is close versus daily ATR.", "Position cannot be opened because Energy sector exposure cap leaves no executable size.", "WATCH: Neutral market requires stronger setup score (0.34 &lt; 0.45).", "WATCH: Neutral sector requires a cleaner setup score."]}</t>
        </is>
      </c>
    </row>
    <row r="173">
      <c r="A173" t="inlineStr">
        <is>
          <t>2026-06-08T09:33:45</t>
        </is>
      </c>
      <c r="B173" t="inlineStr">
        <is>
          <t>SCHW</t>
        </is>
      </c>
      <c r="C173" t="inlineStr">
        <is>
          <t>VWAP Reclaim Setup</t>
        </is>
      </c>
      <c r="D173" t="n">
        <v>0.34</v>
      </c>
      <c r="E173" t="n">
        <v>88.84</v>
      </c>
      <c r="F173" t="n">
        <v>88.17</v>
      </c>
      <c r="G173" t="n">
        <v>89.51000000000001</v>
      </c>
      <c r="H173" t="n">
        <v>86.59</v>
      </c>
      <c r="I173" t="n">
        <v>89.42</v>
      </c>
      <c r="J173" t="n">
        <v>95.12</v>
      </c>
      <c r="K173" t="n">
        <v>1.15</v>
      </c>
      <c r="L173" t="inlineStr">
        <is>
          <t>Price (88.84) reclaiming VWAP (88.30) after trading below it. Volume confirming. Anchored VWAP context 87.37 is supportive. Entry at 88.84, stop at 86.59.</t>
        </is>
      </c>
      <c r="M173" t="inlineStr">
        <is>
          <t>WATCH</t>
        </is>
      </c>
      <c r="N173" t="inlineStr">
        <is>
          <t>WATCH: Technical setup detected, but weighted risk/reward 1.15 is below minimum 2.00. Market regime NEUTRAL; sector STRONG; net R/R 1.02.</t>
        </is>
      </c>
      <c r="O173" t="inlineStr">
        <is>
          <t>SCHW
VWAP Reclaim Setup
0.34
score
Price
88.84
R/R
1.15x
Grade
C
Quality
59%
Buy Zone
88.17 - 89.51
Stop
86.59
Targets
89.42 / 95.12
Watch only; needs confirmation
Mixed
Relative Strength
Leadership
100%
Trend Quality
Messy
0%
Liquidity
Institutional liquidity
100%
Volume
Neutral
65%
Trigger
Hold VWAP and break above 88.84.
Invalidation
Exit if price closes below 86.59 or setup support fails.
Trend quality is not clean.
Market regime: Mixed.
Relative strength: Leadership.
Price (88.84) reclaiming VWAP (88.30) after trading below it. Volume confirming. Anchored VWAP context 87.37 is supportive. Entry at 88.84, stop at 86.59.
Fib 61.8
89.83
Fib Zone
89.27 - 90.40
Swing Low
87.61
Swing High
93.43
Save setup
Click chart to open full size</t>
        </is>
      </c>
      <c r="P173" t="inlineStr">
        <is>
          <t>agent_results\charts\market_lens_agent_20260608_092643_schw.png</t>
        </is>
      </c>
      <c r="Q173" t="inlineStr">
        <is>
          <t>Smart Universe: broad liquid US universe, diversified by sector | Sector: Financials - Strong (70/100); XLF sector regime is strong: 4.4% 3m return, -4.6% vs SPY | Setup: VWAP Reclaim Setup; score 0.34; R/R 1.15x; price 88.84 | Market: NEUTRAL; Sector regime: STRONG; Net R/R: 1.02; Factors: Financials | Agent action: WATCH - WATCH: Technical setup detected, but weighted risk/reward 1.15 is below minimum 2.00. Market regime NEUTRAL; sector STRONG; net R/R 1.02.</t>
        </is>
      </c>
      <c r="R173" t="inlineStr">
        <is>
          <t>{"adjusted_cash_out": 0.0, "adjusted_position_size": 0, "adjusted_risk_amount": 0.0, "ask": 0.0, "bid": 0.0, "buy_zone_high": 89.51, "buy_zone_low": 88.17, "cash_available": 88056.9, "company_name": "Charles Schwab Corporation", "correlation_warning": false, "days_to_earnings": 28, "earnings_blackout": false, "earnings_date": "2026-07-16T00:00:00", "estimated_fees": 0.0, "estimated_slippage": 0.1244, "estimated_spread": 0.0267, "executable_entry": 88.84, "execution_liquidity_bucket": "large_liquid", "factor_exposure_after": {"Energy": 5996.8, "Financials": 5946.3}, "factor_exposure_before": {"Energy": 5996.8, "Financials": 5946.3}, "factor_exposure_cap": 7000.0, "factor_exposure_limit_exceeded": false, "factor_tags": ["Financials"], "final_action": "WATCH", "gross_reward_1_per_share": 0.58, "gross_reward_2_per_share": 6.28, "gross_risk_per_share": 2.25, "gross_rr": 1.1444, "gross_rr_1": 0.2578, "gross_rr_2": 2.7911, "gross_rr_decision": 1.1444, "highest_correlation_ticker": "HIG", "highest_correlation_value": 0.176, "initial_action": "WATCH", "market_cap": 154504792072.98,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88.9155, "net_reward_1_per_share": 0.4601, "net_reward_2_per_share": 6.1601, "net_risk_per_share": 2.401, "net_rr": 1.0225, "net_rr_1": 0.1916, "net_rr_2": 2.5656, "net_stop_assumption": 86.5145, "net_target_1_assumption": 89.3756, "net_target_2_assumption": 95.0756, "normalized_atr_score": 100.0, "normalized_liquidity_score": 67.73, "normalized_momentum_score": 31.69, "normalized_quality_score": 59.58,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93.43, "price": 88.84, "prior_high_20": 93.43, "prior_high_63": 100.3997, "reason": "WATCH: Technical setup detected, but weighted risk/reward 1.15 is below minimum 2.00. Market regime NEUTRAL; sector STRONG; net R/R 1.02.",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"VWAP Reclaim Setup", "sizing_adjustment_reason": "", "spread_source": "liquidity_fallback", "stock_score": 0.34, "stop_loss": 86.59, "target_1": 89.42, "target_1_atr_distance": 0.258, "target_2": 95.12, "target_2_atr_distance": 2.7933, "target_feasibility_status": "LOW_REWARD_DISTANCE", "theoretical_entry": 88.17, "ticker": "SCHW", "timestamp": "2026-06-08T09:33:45", "warnings": ["Target 1 is close versus daily ATR."]}</t>
        </is>
      </c>
    </row>
    <row r="174">
      <c r="A174" t="inlineStr">
        <is>
          <t>2026-06-08T09:33:45</t>
        </is>
      </c>
      <c r="B174" t="inlineStr">
        <is>
          <t>AXP</t>
        </is>
      </c>
      <c r="C174" t="inlineStr">
        <is>
          <t>Fib 61.8 Confluence Buy Zone</t>
        </is>
      </c>
      <c r="D174" t="n">
        <v>0.34</v>
      </c>
      <c r="E174" t="n">
        <v>310.66</v>
      </c>
      <c r="F174" t="n">
        <v>307.44</v>
      </c>
      <c r="G174" t="n">
        <v>311.01</v>
      </c>
      <c r="H174" t="n">
        <v>305.79</v>
      </c>
      <c r="I174" t="n">
        <v>311.14</v>
      </c>
      <c r="J174" t="n">
        <v>333.13</v>
      </c>
      <c r="K174" t="n">
        <v>1.68</v>
      </c>
      <c r="L174" t="inlineStr">
        <is>
          <t>Price at 61.8% fib retracement (309.23) with confluence at POC, VWAP. Planned entry at zone low 307.44; executable entry 310.66, stop below fib 78.6% at 305.79. Structural confluence: swing low at 303.04 aligns with HVN (302.06).</t>
        </is>
      </c>
      <c r="M174" t="inlineStr">
        <is>
          <t>WATCH</t>
        </is>
      </c>
      <c r="N174" t="inlineStr">
        <is>
          <t>WATCH: Technical setup detected, but weighted risk/reward 1.68 is below minimum 2.00. Market regime NEUTRAL; sector STRONG; net R/R 1.44.</t>
        </is>
      </c>
      <c r="O174" t="inlineStr">
        <is>
          <t>AXP
Fib 61.8 Confluence Buy Zone
0.34
score
Price
310.66
R/R
1.68x
Grade
C
Quality
63%
Buy Zone
307.44 - 311.01
Stop
305.79
Targets
311.14 / 333.13
Watch only; needs confirmation
Mixed
Relative Strength
Leadership
100%
Trend Quality
Messy
0%
Liquidity
Institutional liquidity
100%
Volume
Confirmed
80%
Trigger
Break above prior-day high at 314.96 after holding buy zone.
Invalidation
Exit if price closes below 305.79 or setup support fails.
Trend quality is not clean.
Market regime: Mixed.
Relative strength: Leadership.
Price at 61.8% fib retracement (309.23) with confluence at POC, VWAP. Planned entry at zone low 307.44; executable entry 310.66, stop below fib 78.6% at 305.79. Structural confluence: swing low at 303.04 aligns with HVN (302.06).
Fib 61.8
309.23
Fib Zone
307.44 - 311.01
Swing Low
303.04
Swing High
319.24
Save setup
Click chart to open full size</t>
        </is>
      </c>
      <c r="P174" t="inlineStr">
        <is>
          <t>agent_results\charts\market_lens_agent_20260608_092643_axp.png</t>
        </is>
      </c>
      <c r="Q174" t="inlineStr">
        <is>
          <t>Smart Universe: broad liquid US universe, diversified by sector | Sector: Financials - Strong (70/100); XLF sector regime is strong: 4.4% 3m return, -4.6% vs SPY | Setup: Fib 61.8 Confluence Buy Zone; score 0.34; R/R 1.68x; price 310.66 | Market: NEUTRAL; Sector regime: STRONG; Net R/R: 1.44; Factors: Financials | Agent action: WATCH - WATCH: Technical setup detected, but weighted risk/reward 1.68 is below minimum 2.00. Market regime NEUTRAL; sector STRONG; net R/R 1.44.</t>
        </is>
      </c>
      <c r="R174" t="inlineStr">
        <is>
          <t>{"adjusted_cash_out": 0.0, "adjusted_position_size": 0, "adjusted_risk_amount": 0.0, "ask": 0.0, "bid": 0.0, "buy_zone_high": 311.01, "buy_zone_low": 307.44, "cash_available": 88056.9, "company_name": "American Express Company", "correlation_warning": false, "days_to_earnings": 34, "earnings_blackout": false, "earnings_date": "2026-07-24T00:00:00", "estimated_fees": 0.0, "estimated_slippage": 0.4349, "estimated_spread": 0.0932, "executable_entry": 310.66, "execution_liquidity_bucket": "large_liquid", "factor_exposure_after": {"Energy": 5996.8, "Financials": 5946.3}, "factor_exposure_before": {"Energy": 5996.8, "Financials": 5946.3}, "factor_exposure_cap": 7000.0, "factor_exposure_limit_exceeded": false, "factor_tags": ["Financials"], "final_action": "WATCH", "gross_reward_1_per_share": 0.48, "gross_reward_2_per_share": 22.47, "gross_risk_per_share": 4.87, "gross_rr": 1.679, "gross_rr_1": 0.0986, "gross_rr_2": 4.614, "gross_rr_decision": 1.679, "highest_correlation_ticker": "HIG", "highest_correlation_value": 0.2798, "initial_action": "WATCH", "market_cap": 211971535281.13,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310.9241, "net_reward_1_per_share": 0.0606, "net_reward_2_per_share": 22.0506, "net_risk_per_share": 5.3981, "net_rr": 1.437, "net_rr_1": 0.0112, "net_rr_2": 4.0849, "net_stop_assumption": 305.5259, "net_target_1_assumption": 310.9847, "net_target_2_assumption": 332.9747, "normalized_atr_score": 100.0, "normalized_liquidity_score": 35.29, "normalized_momentum_score": 53.35, "normalized_quality_score": 59.59,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324.54, "price": 310.66, "prior_high_20": 324.54, "prior_high_63": 339.98, "reason": "WATCH: Technical setup detected, but weighted risk/reward 1.68 is below minimum 2.00. Market regime NEUTRAL; sector STRONG; net R/R 1.44.",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0.34, "setup_type": "Fib 61.8 Confluence Buy Zone", "sizing_adjustment_reason": "", "spread_source": "liquidity_fallback", "stock_score": 0.34, "stop_loss": 305.79, "target_1": 311.14, "target_1_atr_distance": 0.0672, "target_2": 333.13, "target_2_atr_distance": 3.1456, "target_feasibility_status": "LOW_REWARD_DISTANCE", "theoretical_entry": 307.44, "ticker": "AXP", "timestamp": "2026-06-08T09:33:45", "warnings": ["Target 1 is close versus daily ATR."]}</t>
        </is>
      </c>
    </row>
    <row r="175">
      <c r="A175" t="inlineStr">
        <is>
          <t>2026-06-08T09:33:45</t>
        </is>
      </c>
      <c r="B175" t="inlineStr">
        <is>
          <t>DHR</t>
        </is>
      </c>
      <c r="C175" t="inlineStr">
        <is>
          <t>VWAP Reclaim Setup</t>
        </is>
      </c>
      <c r="D175" t="n">
        <v>0.33</v>
      </c>
      <c r="E175" t="n">
        <v>184.3</v>
      </c>
      <c r="F175" t="n">
        <v>182.7</v>
      </c>
      <c r="G175" t="n">
        <v>185.9</v>
      </c>
      <c r="H175" t="n">
        <v>178.98</v>
      </c>
      <c r="I175" t="n">
        <v>187.66</v>
      </c>
      <c r="J175" t="n">
        <v>196.09</v>
      </c>
      <c r="K175" t="n">
        <v>1.19</v>
      </c>
      <c r="L175" t="inlineStr">
        <is>
          <t>Price (184.30) reclaiming VWAP (185.00) after trading below it. Volume confirming. Anchored VWAP context 175.57 is supportive. Entry at 184.30, stop at 178.98.</t>
        </is>
      </c>
      <c r="M175" t="inlineStr">
        <is>
          <t>WATCH</t>
        </is>
      </c>
      <c r="N175" t="inlineStr">
        <is>
          <t>WATCH: Technical setup detected, but weighted risk/reward 1.19 is below minimum 2.00. Market regime NEUTRAL; sector NEUTRAL; net R/R 1.08.</t>
        </is>
      </c>
      <c r="O175" t="inlineStr">
        <is>
          <t>DHR
VWAP Reclaim Setup
0.33
score
Price
184.30
R/R
1.19x
Grade
B
Quality
74%
Buy Zone
182.70 - 185.90
Stop
178.98
Targets
187.66 / 196.09
Tradable if trigger confirms
Mixed
Relative Strength
Leadership
100%
Trend Quality
Constructive
68%
Liquidity
Institutional liquidity
100%
Volume
Neutral
65%
Trigger
Hold VWAP and break above 187.79.
Invalidation
Exit if price closes below 178.98 or setup support fails.
Market regime: Mixed.
Relative strength: Leadership.
Price (184.30) reclaiming VWAP (185.00) after trading below it. Volume confirming. Anchored VWAP context 175.57 is supportive. Entry at 184.30, stop at 178.98.
Fib 61.8
188.46
Fib Zone
187.12 - 189.79
Swing Low
181.01
Swing High
200.50
Save setup
Click chart to open full size</t>
        </is>
      </c>
      <c r="P175" t="inlineStr">
        <is>
          <t>agent_results\charts\market_lens_agent_20260608_092643_dhr.png</t>
        </is>
      </c>
      <c r="Q175" t="inlineStr">
        <is>
          <t>Smart Universe: broad liquid US universe, diversified by sector | Sector: Healthcare - Neutral (66/100); XLV sector regime is neutral: -0.4% 3m return, -9.4% vs SPY | Setup: VWAP Reclaim Setup; score 0.33; R/R 1.19x; price 184.30 | Market: NEUTRAL; Sector regime: NEUTRAL; Net R/R: 1.08; Factors: Defensive, Healthcare | Agent action: WATCH - WATCH: Technical setup detected, but weighted risk/reward 1.19 is below minimum 2.00. Market regime NEUTRAL; sector NEUTRAL; net R/R 1.08.</t>
        </is>
      </c>
      <c r="R175" t="inlineStr">
        <is>
          <t>{"adjusted_cash_out": 0.0, "adjusted_position_size": 0, "adjusted_risk_amount": 0.0, "ask": 0.0, "bid": 0.0, "buy_zone_high": 185.9, "buy_zone_low": 182.7, "cash_available": 88056.9, "company_name": "Danaher Corporation", "correlation_warning": false, "days_to_earnings": 31, "earnings_blackout": false, "earnings_date": "2026-07-21T00:00:00", "estimated_fees": 0.0, "estimated_slippage": 0.258, "estimated_spread": 0.0553, "executable_entry": 184.3,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3.36, "gross_reward_2_per_share": 11.79, "gross_risk_per_share": 5.32, "gross_rr": 1.1862, "gross_rr_1": 0.6316, "gross_rr_2": 2.2162, "gross_rr_decision": 1.1862, "highest_correlation_ticker": "HIG", "highest_correlation_value": 0.1195, "initial_action": "WATCH", "market_cap": 130442128716.04,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184.4567, "net_reward_1_per_share": 3.1112, "net_reward_2_per_share": 11.5412, "net_risk_per_share": 5.6333, "net_rr": 1.076, "net_rr_1": 0.5523, "net_rr_2": 2.0487, "net_stop_assumption": 178.8233, "net_target_1_assumption": 187.5678, "net_target_2_assumption": 195.9978, "normalized_atr_score": 100.0, "normalized_liquidity_score": 60.96, "normalized_momentum_score": 35.16, "normalized_quality_score": 59.11,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187.79, "price": 184.3, "prior_high_20": 187.79, "prior_high_63": 200.5, "reason": "WATCH: Technical setup detected, but weighted risk/reward 1.19 is below minimum 2.00. Market regime NEUTRAL; sector NEUTRAL; net R/R 1.08.",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0.33, "setup_type": "VWAP Reclaim Setup", "sizing_adjustment_reason": "", "spread_source": "liquidity_fallback", "stock_score": 0.33, "stop_loss": 178.98, "target_1": 187.66, "target_1_atr_distance": 0.631, "target_2": 196.09, "target_2_atr_distance": 2.2142, "target_feasibility_status": "LOW_REWARD_DISTANCE", "theoretical_entry": 182.7, "ticker": "DHR", "timestamp": "2026-06-08T09:33:45", "warnings": ["Target 1 is close versus daily ATR."]}</t>
        </is>
      </c>
    </row>
    <row r="176">
      <c r="A176" t="inlineStr">
        <is>
          <t>2026-06-08T09:33:45</t>
        </is>
      </c>
      <c r="B176" t="inlineStr">
        <is>
          <t>HON</t>
        </is>
      </c>
      <c r="C176" t="inlineStr">
        <is>
          <t>Breakout + Retest</t>
        </is>
      </c>
      <c r="D176" t="n">
        <v>0.33</v>
      </c>
      <c r="E176" t="n">
        <v>213.97</v>
      </c>
      <c r="F176" t="n">
        <v>213.35</v>
      </c>
      <c r="G176" t="n">
        <v>219.83</v>
      </c>
      <c r="H176" t="n">
        <v>210.11</v>
      </c>
      <c r="I176" t="n">
        <v>218.85</v>
      </c>
      <c r="J176" t="n">
        <v>239.94</v>
      </c>
      <c r="K176" t="n">
        <v>3.18</v>
      </c>
      <c r="L176" t="inlineStr">
        <is>
          <t>Price (213.97) retesting broken resistance (219.83) as support. Breakout on 2026-05-21 with 1.1× avg volume. Entry at 213.97, stop at 210.11.</t>
        </is>
      </c>
      <c r="M176" t="inlineStr">
        <is>
          <t>WATCH</t>
        </is>
      </c>
      <c r="N176" t="inlineStr">
        <is>
          <t>WATCH: Neutral market requires stronger setup score (0.33 &lt; 0.45).</t>
        </is>
      </c>
      <c r="O176" t="inlineStr">
        <is>
          <t>HON
Breakout + Retest
0.33
score
Price
213.97
R/R
3.18x
Grade
B
Quality
70%
Buy Zone
213.35 - 219.83
Stop
210.11
Targets
218.85 / 239.94
Tradable if trigger confirms
Mixed
Relative Strength
Leadership
100%
Trend Quality
Messy
28%
Liquidity
Institutional liquidity
100%
Volume
Neutral
65%
Trigger
Close above 226.76 or reclaim of broken resistance.
Invalidation
Exit if price closes below 210.11 or setup support fails.
Trend quality is not clean.
Market regime: Mixed.
Relative strength: Leadership.
Price (213.97) retesting broken resistance (219.83) as support. Breakout on 2026-05-21 with 1.1× avg volume. Entry at 213.97, stop at 210.11.
Fib 61.8
222.36
Fib Zone
220.74 - 223.98
Swing Low
211.50
Swing High
239.94
Save setup
Click chart to open full size</t>
        </is>
      </c>
      <c r="P176" t="inlineStr">
        <is>
          <t>agent_results\charts\market_lens_agent_20260608_092643_hon.png</t>
        </is>
      </c>
      <c r="Q176" t="inlineStr">
        <is>
          <t>Smart Universe: broad liquid US universe, diversified by sector | Sector: Industrials - Neutral (67/100); XLI sector regime is neutral: 2.2% 3m return, -6.9% vs SPY | Setup: Breakout + Retest; score 0.33; R/R 3.18x; price 213.97 | Market: NEUTRAL; Sector regime: NEUTRAL; Net R/R: 2.50; Factors: Industrials | Agent action: WATCH - WATCH: Neutral market requires stronger setup score (0.33 &lt; 0.45).</t>
        </is>
      </c>
      <c r="R176" t="inlineStr">
        <is>
          <t>{"adjusted_cash_out": 5991.16, "adjusted_position_size": 28, "adjusted_risk_amount": 108.08, "ask": 0.0, "bid": 0.0, "buy_zone_high": 219.83, "buy_zone_low": 213.35, "cash_available": 88056.9, "company_name": "Honeywell International Inc.", "correlation_warning": false, "days_to_earnings": 33, "earnings_blackout": false, "earnings_date": "2026-07-23T00:00:00", "estimated_fees": 0.0, "estimated_slippage": 0.7275, "estimated_spread": 0.0642, "executable_entry": 213.97, "execution_liquidity_bucket": "large_liquid", "factor_exposure_after": {"Energy": 5996.8, "Financials": 5946.3, "Industrials": 5991.16}, "factor_exposure_before": {"Energy": 5996.8, "Financials": 5946.3}, "factor_exposure_cap": 7000.0, "factor_exposure_limit_exceeded": false, "factor_tags": ["Industrials"], "final_action": "WATCH", "gross_reward_1_per_share": 4.88, "gross_reward_2_per_share": 25.97, "gross_risk_per_share": 3.86, "gross_rr": 3.1766, "gross_rr_1": 1.2642, "gross_rr_2": 6.728, "gross_rr_decision": 3.1766, "highest_correlation_ticker": "HIG", "highest_correlation_value": 0.1943, "initial_action": "BUY_SIMULATED", "market_cap": 135582758645.93,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214.3658, "net_reward_1_per_share": 4.2702, "net_reward_2_per_share": 25.3602, "net_risk_per_share": 4.6517, "net_rr": 2.5048, "net_rr_1": 0.918, "net_rr_2": 5.4518, "net_stop_assumption": 209.7142, "net_target_1_assumption": 218.636, "net_target_2_assumption": 239.726, "normalized_atr_score": 100.0, "normalized_liquidity_score": 68.43, "normalized_momentum_score": 19.09, "normalized_quality_score": 54.12, "original_cash_out": 9842.62, "original_position_size": 46, "original_risk_amount": 177.56, "portfolio_exposure_after": 11943.1, "portfolio_exposure_before": 11943.1, "position_size": 0, "position_size_adjusted": true, "position_sizing_explanation": "Base position sizing produced a candidate trade, but the risk transparency layer blocked the new buy. Candidate size: 28 shares, cash 5991.16, risk 108.08.", "previous_resistance": 239.94, "price": 213.97, "prior_high_20": 239.94, "prior_high_63": 243.9195, "reason": "WATCH: Neutral market requires stronger setup score (0.33 &lt; 0.45).", "risk_amount": 0.0, "scan_source": "Smart Universe: broad liquid US universe filtered and diversified by the Market Lens UI.", "sector": "Industrials", "sector_etf": "XLI", "sector_exposure_after": 5991.16, "sector_exposure_before": 0.0, "sector_exposure_cap": 6000.0, "sector_exposure_limit_exceeded": false, "sector_regime": "NEUTRAL", "sector_score": 66.69, "setup_score": 0.33, "setup_type": "Breakout + Retest", "sizing_adjustment_reason": "Position size reduced by Industrials sector exposure cap (46 -&gt; 28 shares).", "spread_source": "liquidity_fallback", "stock_score": 0.33, "stop_loss": 210.11, "target_1": 218.85, "target_1_atr_distance": 0.7528, "target_2": 239.94, "target_2_atr_distance": 4.0062, "target_feasibility_status": "OK", "theoretical_entry": 213.35, "ticker": "HON", "timestamp": "2026-06-08T09:33:45", "warnings": ["Position size reduced by Industrials sector exposure cap (46 -&gt; 28 shares).", "WATCH: Neutral sector requires a cleaner setup score."]}</t>
        </is>
      </c>
    </row>
    <row r="177">
      <c r="A177" t="inlineStr">
        <is>
          <t>2026-06-08T09:33:45</t>
        </is>
      </c>
      <c r="B177" t="inlineStr">
        <is>
          <t>LMT</t>
        </is>
      </c>
      <c r="C177" t="inlineStr">
        <is>
          <t>VWAP Reclaim Setup</t>
        </is>
      </c>
      <c r="D177" t="n">
        <v>0.33</v>
      </c>
      <c r="E177" t="n">
        <v>523.76</v>
      </c>
      <c r="F177" t="n">
        <v>520.41</v>
      </c>
      <c r="G177" t="n">
        <v>527.11</v>
      </c>
      <c r="H177" t="n">
        <v>505.75</v>
      </c>
      <c r="I177" t="n">
        <v>529.34</v>
      </c>
      <c r="J177" t="n">
        <v>637.34</v>
      </c>
      <c r="K177" t="n">
        <v>2.41</v>
      </c>
      <c r="L177" t="inlineStr">
        <is>
          <t>Price (523.76) reclaiming VWAP (523.75) after trading below it. Volume confirming. Anchored VWAP context 518.62 is supportive. Entry at 523.76, stop at 505.75.</t>
        </is>
      </c>
      <c r="M177" t="inlineStr">
        <is>
          <t>WATCH</t>
        </is>
      </c>
      <c r="N177" t="inlineStr">
        <is>
          <t>WATCH: Neutral market requires stronger setup score (0.33 &lt; 0.45).</t>
        </is>
      </c>
      <c r="O177" t="inlineStr">
        <is>
          <t>LMT
VWAP Reclaim Setup
0.33
score
Price
523.76
R/R
2.41x
Grade
C
Quality
64%
Buy Zone
520.41 - 527.11
Stop
505.75
Targets
529.34 / 637.34
Watch only; needs confirmation
Mixed
Relative Strength
Leadership
100%
Trend Quality
Messy
28%
Liquidity
Institutional liquidity
100%
Volume
Distribution risk
30%
Trigger
Hold VWAP and break above 523.76.
Invalidation
Exit if price closes below 505.75 or setup support fails.
Trend quality is not clean.
Recent volume shows distribution risk.
Market regime: Mixed.
Relative strength: Leadership.
Price (523.76) reclaiming VWAP (523.75) after trading below it. Volume confirming. Anchored VWAP context 518.62 is supportive. Entry at 523.76, stop at 505.75.
Fib 61.8
512.58
Fib Zone
509.78 - 515.37
Swing Low
497.06
Swing High
537.69
Save setup
Click chart to open full size</t>
        </is>
      </c>
      <c r="P177" t="inlineStr">
        <is>
          <t>agent_results\charts\market_lens_agent_20260608_092643_lmt.png</t>
        </is>
      </c>
      <c r="Q177" t="inlineStr">
        <is>
          <t>Smart Universe: broad liquid US universe, diversified by sector | Sector: Industrials - Neutral (67/100); XLI sector regime is neutral: 2.2% 3m return, -6.9% vs SPY | Setup: VWAP Reclaim Setup; score 0.33; R/R 2.41x; price 523.76 | Market: NEUTRAL; Sector regime: NEUTRAL; Net R/R: 2.26; Factors: Industrials | Agent action: WATCH - WATCH: Neutral market requires stronger setup score (0.33 &lt; 0.45).</t>
        </is>
      </c>
      <c r="R177" t="inlineStr">
        <is>
          <t>{"adjusted_cash_out": 5761.36, "adjusted_position_size": 11, "adjusted_risk_amount": 198.11, "ask": 0.0, "bid": 0.0, "buy_zone_high": 527.11, "buy_zone_low": 520.41, "cash_available": 88056.9, "company_name": "Lockheed Martin Corporation", "correlation_warning": false, "days_to_earnings": 31, "earnings_blackout": false, "earnings_date": "2026-07-21T00:00:00", "estimated_fees": 0.0, "estimated_slippage": 0.7333, "estimated_spread": 0.1571, "executable_entry": 523.76, "execution_liquidity_bucket": "large_liquid", "factor_exposure_after": {"Energy": 5996.8, "Financials": 5946.3, "Industrials": 5761.36}, "factor_exposure_before": {"Energy": 5996.8, "Financials": 5946.3}, "factor_exposure_cap": 7000.0, "factor_exposure_limit_exceeded": false, "factor_tags": ["Industrials"], "final_action": "WATCH", "gross_reward_1_per_share": 5.58, "gross_reward_2_per_share": 113.58, "gross_risk_per_share": 18.01, "gross_rr": 2.4087, "gross_rr_1": 0.3098, "gross_rr_2": 6.3065, "gross_rr_decision": 2.4087, "highest_correlation_ticker": "HIG", "highest_correlation_value": 0.065, "initial_action": "BUY_SIMULATED", "market_cap": 120759997577.68,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524.2052, "net_reward_1_per_share": 4.8729, "net_reward_2_per_share": 112.8729, "net_risk_per_share": 18.9004, "net_rr": 2.2578, "net_rr_1": 0.2578, "net_rr_2": 5.972, "net_stop_assumption": 505.3048, "net_target_1_assumption": 529.0781, "net_target_2_assumption": 637.0781, "normalized_atr_score": 100.0, "normalized_liquidity_score": 53.48, "normalized_momentum_score": 0, "normalized_quality_score": 41.04, "original_cash_out": 9951.44, "original_position_size": 19, "original_risk_amount": 342.19, "portfolio_exposure_after": 11943.1, "portfolio_exposure_before": 11943.1, "position_size": 0, "position_size_adjusted": true, "position_sizing_explanation": "Base position sizing produced a candidate trade, but the risk transparency layer blocked the new buy. Candidate size: 11 shares, cash 5761.36, risk 198.11.", "previous_resistance": 537.69, "price": 523.76, "prior_high_20": 537.69, "prior_high_63": 671.6828, "reason": "WATCH: Neutral market requires stronger setup score (0.33 &lt; 0.45).", "risk_amount": 0.0, "scan_source": "Smart Universe: broad liquid US universe filtered and diversified by the Market Lens UI.", "sector": "Industrials", "sector_etf": "XLI", "sector_exposure_after": 5761.36, "sector_exposure_before": 0.0, "sector_exposure_cap": 6000.0, "sector_exposure_limit_exceeded": false, "sector_regime": "NEUTRAL", "sector_score": 66.69, "setup_score": 0.33, "setup_type": "VWAP Reclaim Setup", "sizing_adjustment_reason": "Position size reduced by Industrials sector exposure cap (19 -&gt; 11 shares).", "spread_source": "liquidity_fallback", "stock_score": 0.33, "stop_loss": 505.75, "target_1": 529.34, "target_1_atr_distance": 0.4993, "target_2": 637.34, "target_2_atr_distance": 10.163, "target_feasibility_status": "AGGRESSIVE", "theoretical_entry": 520.41, "ticker": "LMT", "timestamp": "2026-06-08T09:33:45", "warnings": ["Target distance is aggressive versus daily ATR.", "Position size reduced by Industrials sector exposure cap (19 -&gt; 11 shares).", "WATCH: Neutral market requires stronger normalized quality (41.04/100).", "WATCH: Neutral sector requires a cleaner setup score.", "Gross R/R is valid, but Net R/R 2.26 failed minimum 2.50 after slippage/spread adjustment."]}</t>
        </is>
      </c>
    </row>
    <row r="178">
      <c r="A178" t="inlineStr">
        <is>
          <t>2026-06-08T09:33:45</t>
        </is>
      </c>
      <c r="B178" t="inlineStr">
        <is>
          <t>PFE</t>
        </is>
      </c>
      <c r="C178" t="inlineStr">
        <is>
          <t>VWAP Reclaim Setup</t>
        </is>
      </c>
      <c r="D178" t="n">
        <v>0.32</v>
      </c>
      <c r="E178" t="n">
        <v>26.04</v>
      </c>
      <c r="F178" t="n">
        <v>25.89</v>
      </c>
      <c r="G178" t="n">
        <v>26.19</v>
      </c>
      <c r="H178" t="n">
        <v>25.48</v>
      </c>
      <c r="I178" t="n">
        <v>26.28</v>
      </c>
      <c r="J178" t="n">
        <v>27.57</v>
      </c>
      <c r="K178" t="n">
        <v>1.24</v>
      </c>
      <c r="L178" t="inlineStr">
        <is>
          <t>Price (26.04) reclaiming VWAP (26.04) after trading below it. Volume confirming. Anchored VWAP context 25.81 is supportive. Entry at 26.04, stop at 25.48.</t>
        </is>
      </c>
      <c r="M178" t="inlineStr">
        <is>
          <t>WATCH</t>
        </is>
      </c>
      <c r="N178" t="inlineStr">
        <is>
          <t>WATCH: Technical setup detected, but weighted risk/reward 1.24 is below minimum 2.00. Market regime NEUTRAL; sector NEUTRAL; net R/R 1.09.</t>
        </is>
      </c>
      <c r="O178" t="inlineStr">
        <is>
          <t>PFE
VWAP Reclaim Setup
0.32
score
Price
26.04
R/R
1.24x
Grade
C
Quality
63%
Buy Zone
25.89 - 26.19
Stop
25.48
Targets
26.28 / 27.57
Watch only; needs confirmation
Mixed
Relative Strength
Leadership
100%
Trend Quality
Messy
18%
Liquidity
Institutional liquidity
100%
Volume
Neutral
65%
Trigger
Hold VWAP and break above 26.04.
Invalidation
Exit if price closes below 25.48 or setup support fails.
Trend quality is not clean.
Market regime: Mixed.
Relative strength: Leadership.
Price (26.04) reclaiming VWAP (26.04) after trading below it. Volume confirming. Anchored VWAP context 25.81 is supportive. Entry at 26.04, stop at 25.48.
Fib 61.8
25.71
Fib Zone
25.58 - 25.83
Swing Low
25.19
Swing High
26.54
Save setup
Click chart to open full size</t>
        </is>
      </c>
      <c r="P178" t="inlineStr">
        <is>
          <t>agent_results\charts\market_lens_agent_20260608_092643_pfe.png</t>
        </is>
      </c>
      <c r="Q178" t="inlineStr">
        <is>
          <t>Smart Universe: broad liquid US universe, diversified by sector | Sector: Healthcare - Neutral (66/100); XLV sector regime is neutral: -0.4% 3m return, -9.4% vs SPY | Setup: VWAP Reclaim Setup; score 0.32; R/R 1.24x; price 26.04 | Market: NEUTRAL; Sector regime: NEUTRAL; Net R/R: 1.09; Factors: Defensive, Healthcare | Agent action: WATCH - WATCH: Technical setup detected, but weighted risk/reward 1.24 is below minimum 2.00. Market regime NEUTRAL; sector NEUTRAL; net R/R 1.09.</t>
        </is>
      </c>
      <c r="R178" t="inlineStr">
        <is>
          <t>{"adjusted_cash_out": 0.0, "adjusted_position_size": 0, "adjusted_risk_amount": 0.0, "ask": 0.0, "bid": 0.0, "buy_zone_high": 26.19, "buy_zone_low": 25.89, "cash_available": 88056.9, "company_name": "Pfizer Inc.", "correlation_warning": false, "days_to_earnings": 37, "earnings_blackout": false, "earnings_date": "2026-07-29T00:00:00", "estimated_fees": 0.0, "estimated_slippage": 0.0365, "estimated_spread": 0.0078, "executable_entry": 26.04,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0.24, "gross_reward_2_per_share": 1.53, "gross_risk_per_share": 0.56, "gross_rr": 1.2348, "gross_rr_1": 0.4286, "gross_rr_2": 2.7321, "gross_rr_decision": 1.2348, "highest_correlation_ticker": "HIG", "highest_correlation_value": 0.1525, "initial_action": "WATCH", "market_cap": 148413531378.76,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26.0621, "net_reward_1_per_share": 0.2048, "net_reward_2_per_share": 1.4948, "net_risk_per_share": 0.6043, "net_rr": 1.0862, "net_rr_1": 0.339, "net_rr_2": 2.4738, "net_stop_assumption": 25.4579, "net_target_1_assumption": 26.267, "net_target_2_assumption": 27.557, "normalized_atr_score": 100.0, "normalized_liquidity_score": 62.09, "normalized_momentum_score": 45.88, "normalized_quality_score": 64.27,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26.54, "price": 26.04, "prior_high_20": 26.54, "prior_high_63": 28.2831, "reason": "WATCH: Technical setup detected, but weighted risk/reward 1.24 is below minimum 2.00. Market regime NEUTRAL; sector NEUTRAL; net R/R 1.09.",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0.32, "setup_type": "VWAP Reclaim Setup", "sizing_adjustment_reason": "", "spread_source": "liquidity_fallback", "stock_score": 0.32, "stop_loss": 25.48, "target_1": 26.28, "target_1_atr_distance": 0.496, "target_2": 27.57, "target_2_atr_distance": 3.1618, "target_feasibility_status": "LOW_REWARD_DISTANCE", "theoretical_entry": 25.89, "ticker": "PFE", "timestamp": "2026-06-08T09:33:45", "warnings": ["Target 1 is close versus daily ATR."]}</t>
        </is>
      </c>
    </row>
    <row r="179">
      <c r="A179" t="inlineStr">
        <is>
          <t>2026-06-08T09:33:45</t>
        </is>
      </c>
      <c r="B179" t="inlineStr">
        <is>
          <t>MTD</t>
        </is>
      </c>
      <c r="C179" t="inlineStr">
        <is>
          <t>VWAP Reclaim Setup</t>
        </is>
      </c>
      <c r="D179" t="n">
        <v>0.3</v>
      </c>
      <c r="E179" t="n">
        <v>1154.33</v>
      </c>
      <c r="F179" t="n">
        <v>1142.31</v>
      </c>
      <c r="G179" t="n">
        <v>1166.35</v>
      </c>
      <c r="H179" t="n">
        <v>1114.27</v>
      </c>
      <c r="I179" t="n">
        <v>1175.55</v>
      </c>
      <c r="J179" t="n">
        <v>1338.94</v>
      </c>
      <c r="K179" t="n">
        <v>1.96</v>
      </c>
      <c r="L179" t="inlineStr">
        <is>
          <t>Price (1154.33) reclaiming VWAP (1155.51) after trading below it. Volume confirming. Anchored VWAP context 1112.22 is supportive. Entry at 1154.33, stop at 1114.27.</t>
        </is>
      </c>
      <c r="M179" t="inlineStr">
        <is>
          <t>WATCH</t>
        </is>
      </c>
      <c r="N179" t="inlineStr">
        <is>
          <t>WATCH: Technical setup detected, but weighted risk/reward 1.96 is below minimum 2.00. Market regime NEUTRAL; sector NEUTRAL; net R/R 1.68.</t>
        </is>
      </c>
      <c r="O179" t="inlineStr">
        <is>
          <t>MTD
VWAP Reclaim Setup
0.30
score
Price
1154.33
R/R
1.96x
Grade
B
Quality
67%
Buy Zone
1142.31 - 1166.35
Stop
1114.27
Targets
1175.55 / 1338.94
Tradable if trigger confirms
Mixed
Relative Strength
Leadership
100%
Trend Quality
Messy
18%
Liquidity
Institutional liquidity
100%
Volume
Confirmed
80%
Trigger
Hold VWAP and break above 1198.02.
Invalidation
Exit if price closes below 1114.27 or setup support fails.
Trend quality is not clean.
Market regime: Mixed.
Relative strength: Leadership.
Price (1154.33) reclaiming VWAP (1155.51) after trading below it. Volume confirming. Anchored VWAP context 1112.22 is supportive. Entry at 1154.33, stop at 1114.27.
Fib 61.8
1273.82
Fib Zone
1263.81 - 1283.84
Swing Low
1228.57
Swing High
1347.03
Save setup
Click chart to open full size</t>
        </is>
      </c>
      <c r="P179" t="inlineStr">
        <is>
          <t>agent_results\charts\market_lens_agent_20260608_092643_mtd.png</t>
        </is>
      </c>
      <c r="Q179" t="inlineStr">
        <is>
          <t>Smart Universe: broad liquid US universe, diversified by sector | Sector: Healthcare - Neutral (66/100); XLV sector regime is neutral: -0.4% 3m return, -9.4% vs SPY | Setup: VWAP Reclaim Setup; score 0.30; R/R 1.96x; price 1154.33 | Market: NEUTRAL; Sector regime: NEUTRAL; Net R/R: 1.68; Factors: Defensive, Healthcare | Agent action: WATCH - WATCH: Technical setup detected, but weighted risk/reward 1.96 is below minimum 2.00. Market regime NEUTRAL; sector NEUTRAL; net R/R 1.68.</t>
        </is>
      </c>
      <c r="R179" t="inlineStr">
        <is>
          <t>{"adjusted_cash_out": 0.0, "adjusted_position_size": 0, "adjusted_risk_amount": 0.0, "ask": 0.0, "bid": 0.0, "buy_zone_high": 1166.35, "buy_zone_low": 1142.31, "cash_available": 88056.9, "company_name": "Mettler Toledo", "correlation_warning": false, "days_to_earnings": 38, "earnings_blackout": false, "earnings_date": "2026-07-30T00:00:00", "estimated_fees": 0.0, "estimated_slippage": 3.463, "estimated_spread": 0.9235, "executable_entry": 1154.33, "execution_liquidity_bucket": "mid_liquid", "factor_exposure_after": {"Energy": 5996.8, "Financials": 5946.3}, "factor_exposure_before": {"Energy": 5996.8, "Financials": 5946.3}, "factor_exposure_cap": 7000.0, "factor_exposure_limit_exceeded": false, "factor_tags": ["Defensive", "Healthcare"], "final_action": "WATCH", "gross_reward_1_per_share": 21.22, "gross_reward_2_per_share": 184.61, "gross_risk_per_share": 40.06, "gross_rr": 1.9572, "gross_rr_1": 0.5297, "gross_rr_2": 4.6083, "gross_rr_decision": 1.9572, "highest_correlation_ticker": "HIG", "highest_correlation_value": 0.1114, "initial_action": "WATCH", "market_cap": 23326239174.3,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1156.5232, "net_reward_1_per_share": 17.6993, "net_reward_2_per_share": 181.0893, "net_risk_per_share": 44.4465, "net_rr": 1.6849, "net_rr_1": 0.3982, "net_rr_2": 4.0743, "net_stop_assumption": 1112.0768, "net_target_1_assumption": 1174.2225, "net_target_2_assumption": 1337.6125, "normalized_atr_score": 100.0, "normalized_liquidity_score": 34.63, "normalized_momentum_score": 5.83, "normalized_quality_score": 38.01,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1347.03, "price": 1154.33, "prior_high_20": 1347.03, "prior_high_63": 1365.79, "reason": "WATCH: Technical setup detected, but weighted risk/reward 1.96 is below minimum 2.00. Market regime NEUTRAL; sector NEUTRAL; net R/R 1.68.",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0.3, "setup_type": "VWAP Reclaim Setup", "sizing_adjustment_reason": "", "spread_source": "liquidity_fallback", "stock_score": 0.3, "stop_loss": 1114.27, "target_1": 1175.55, "target_1_atr_distance": 0.5296, "target_2": 1338.94, "target_2_atr_distance": 4.6078, "target_feasibility_status": "LOW_REWARD_DISTANCE", "theoretical_entry": 1142.31, "ticker": "MTD", "timestamp": "2026-06-08T09:33:45", "warnings": ["Target 1 is close versus daily ATR."]}</t>
        </is>
      </c>
    </row>
    <row r="180">
      <c r="A180" t="inlineStr">
        <is>
          <t>2026-06-08T09:33:45</t>
        </is>
      </c>
      <c r="B180" t="inlineStr">
        <is>
          <t>ISRG</t>
        </is>
      </c>
      <c r="C180" t="inlineStr">
        <is>
          <t>VWAP Reclaim Setup</t>
        </is>
      </c>
      <c r="D180" t="n">
        <v>0.3</v>
      </c>
      <c r="E180" t="n">
        <v>422.06</v>
      </c>
      <c r="F180" t="n">
        <v>418.13</v>
      </c>
      <c r="G180" t="n">
        <v>425.99</v>
      </c>
      <c r="H180" t="n">
        <v>408.97</v>
      </c>
      <c r="I180" t="n">
        <v>430.45</v>
      </c>
      <c r="J180" t="n">
        <v>490.32</v>
      </c>
      <c r="K180" t="n">
        <v>2.24</v>
      </c>
      <c r="L180" t="inlineStr">
        <is>
          <t>Price (422.06) reclaiming VWAP (423.90) after trading below it. Volume confirming. Anchored VWAP context 411.39 is supportive. Entry at 422.06, stop at 408.97.</t>
        </is>
      </c>
      <c r="M180" t="inlineStr">
        <is>
          <t>WATCH</t>
        </is>
      </c>
      <c r="N180" t="inlineStr">
        <is>
          <t>WATCH: Neutral market requires stronger setup score (0.30 &lt; 0.45).</t>
        </is>
      </c>
      <c r="O180" t="inlineStr">
        <is>
          <t>ISRG
VWAP Reclaim Setup
0.30
score
Price
422.06
R/R
2.24x
Grade
C
Quality
57%
Buy Zone
418.13 - 425.99
Stop
408.97
Targets
430.45 / 490.32
Watch only; needs confirmation
Mixed
Relative Strength
Leadership
100%
Trend Quality
Messy
0%
Liquidity
Institutional liquidity
100%
Volume
Distribution risk
30%
Trigger
Hold VWAP and break above 423.50.
Invalidation
Exit if price closes below 408.97 or setup support fails.
Trend quality is not clean.
Recent volume shows distribution risk.
Market regime: Mixed.
Relative strength: Leadership.
Price (422.06) reclaiming VWAP (423.90) after trading below it. Volume confirming. Anchored VWAP context 411.39 is supportive. Entry at 422.06, stop at 408.97.
Fib 61.8
429.98
Fib Zone
426.70 - 433.25
Swing Low
417.74
Swing High
449.77
Save setup
Click chart to open full size</t>
        </is>
      </c>
      <c r="P180" t="inlineStr">
        <is>
          <t>agent_results\charts\market_lens_agent_20260608_092643_isrg.png</t>
        </is>
      </c>
      <c r="Q180" t="inlineStr">
        <is>
          <t>Smart Universe: broad liquid US universe, diversified by sector | Sector: Healthcare - Neutral (66/100); XLV sector regime is neutral: -0.4% 3m return, -9.4% vs SPY | Setup: VWAP Reclaim Setup; score 0.30; R/R 2.24x; price 422.06 | Market: NEUTRAL; Sector regime: NEUTRAL; Net R/R: 2.08; Factors: Defensive, Healthcare | Agent action: WATCH - WATCH: Neutral market requires stronger setup score (0.30 &lt; 0.45).</t>
        </is>
      </c>
      <c r="R180" t="inlineStr">
        <is>
          <t>{"adjusted_cash_out": 5908.84, "adjusted_position_size": 14, "adjusted_risk_amount": 183.26, "ask": 0.0, "bid": 0.0, "buy_zone_high": 425.99, "buy_zone_low": 418.13, "cash_available": 88056.9, "company_name": "Intuitive Surgical, Inc.", "correlation_warning": false, "days_to_earnings": 31, "earnings_blackout": false, "earnings_date": "2026-07-21T00:00:00", "estimated_fees": 0.0, "estimated_slippage": 0.5909, "estimated_spread": 0.1266, "executable_entry": 422.06, "execution_liquidity_bucket": "large_liquid", "factor_exposure_after": {"Defensive": 5908.84, "Energy": 5996.8, "Financials": 5946.3, "Healthcare": 5908.84}, "factor_exposure_before": {"Energy": 5996.8, "Financials": 5946.3}, "factor_exposure_cap": 7000.0, "factor_exposure_limit_exceeded": false, "factor_tags": ["Defensive", "Healthcare"], "final_action": "WATCH", "gross_reward_1_per_share": 8.39, "gross_reward_2_per_share": 68.26, "gross_risk_per_share": 13.09, "gross_rr": 2.2417, "gross_rr_1": 0.6409, "gross_rr_2": 5.2147, "gross_rr_decision": 2.2417, "highest_correlation_ticker": "HIG", "highest_correlation_value": 0.137, "initial_action": "BUY_SIMULATED", "market_cap": 149477968229.86,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422.4188, "net_reward_1_per_share": 7.8202, "net_reward_2_per_share": 67.6902, "net_risk_per_share": 13.8075, "net_rr": 2.084, "net_rr_1": 0.5664, "net_rr_2": 4.9024, "net_stop_assumption": 408.6112, "net_target_1_assumption": 430.239, "net_target_2_assumption": 490.109, "normalized_atr_score": 100.0, "normalized_liquidity_score": 68.87, "normalized_momentum_score": 0, "normalized_quality_score": 45.66, "original_cash_out": 9707.38, "original_position_size": 23, "original_risk_amount": 301.07, "portfolio_exposure_after": 11943.1, "portfolio_exposure_before": 11943.1, "position_size": 0, "position_size_adjusted": true, "position_sizing_explanation": "Base position sizing produced a candidate trade, but the risk transparency layer blocked the new buy. Candidate size: 14 shares, cash 5908.84, risk 183.26.", "previous_resistance": 462.4, "price": 422.06, "prior_high_20": 462.4, "prior_high_63": 496.0, "reason": "WATCH: Neutral market requires stronger setup score (0.30 &lt; 0.45).", "risk_amount": 0.0, "scan_source": "Smart Universe: broad liquid US universe filtered and diversified by the Market Lens UI.", "sector": "Healthcare", "sector_etf": "XLV", "sector_exposure_after": 5908.84, "sector_exposure_before": 0.0, "sector_exposure_cap": 6000.0, "sector_exposure_limit_exceeded": false, "sector_regime": "NEUTRAL", "sector_score": 65.79, "setup_score": 0.3, "setup_type": "VWAP Reclaim Setup", "sizing_adjustment_reason": "Position size reduced by Healthcare sector exposure cap (23 -&gt; 14 shares).", "spread_source": "liquidity_fallback", "stock_score": 0.3, "stop_loss": 408.97, "target_1": 430.45, "target_1_atr_distance": 0.6409, "target_2": 490.32, "target_2_atr_distance": 5.2145, "target_feasibility_status": "LOW_REWARD_DISTANCE", "theoretical_entry": 418.13, "ticker": "ISRG", "timestamp": "2026-06-08T09:33:45", "warnings": ["Target 1 is close versus daily ATR.", "Position size reduced by Healthcare sector exposure cap (23 -&gt; 14 shares).", "WATCH: Neutral sector requires a cleaner setup score.", "Gross R/R is valid, but Net R/R 2.08 failed minimum 2.50 after slippage/spread adjustment.", "Target 1 is too close versus daily ATR."]}</t>
        </is>
      </c>
    </row>
    <row r="181">
      <c r="A181" t="inlineStr">
        <is>
          <t>2026-06-08T09:33:45</t>
        </is>
      </c>
      <c r="B181" t="inlineStr">
        <is>
          <t>BSX</t>
        </is>
      </c>
      <c r="C181" t="inlineStr">
        <is>
          <t>VWAP Reclaim Setup</t>
        </is>
      </c>
      <c r="D181" t="n">
        <v>0.3</v>
      </c>
      <c r="E181" t="n">
        <v>48.55</v>
      </c>
      <c r="F181" t="n">
        <v>47.97</v>
      </c>
      <c r="G181" t="n">
        <v>49.13</v>
      </c>
      <c r="H181" t="n">
        <v>46.61</v>
      </c>
      <c r="I181" t="n">
        <v>50.1</v>
      </c>
      <c r="J181" t="n">
        <v>69.73</v>
      </c>
      <c r="K181" t="n">
        <v>4.33</v>
      </c>
      <c r="L181" t="inlineStr">
        <is>
          <t>Price (48.55) reclaiming VWAP (49.13) after trading below it. Volume confirming. Anchored VWAP context 48.34 is supportive. Entry at 48.55, stop at 46.61.</t>
        </is>
      </c>
      <c r="M181" t="inlineStr">
        <is>
          <t>WATCH</t>
        </is>
      </c>
      <c r="N181" t="inlineStr">
        <is>
          <t>WATCH: Neutral market requires stronger setup score (0.30 &lt; 0.45).</t>
        </is>
      </c>
      <c r="O181" t="inlineStr">
        <is>
          <t>BSX
VWAP Reclaim Setup
0.30
score
Price
48.55
R/R
4.33x
Grade
C
Quality
59%
Buy Zone
47.97 - 49.13
Stop
46.61
Targets
50.10 / 69.73
Watch only; needs confirmation
Mixed
Relative Strength
Leadership
100%
Trend Quality
Messy
0%
Liquidity
Institutional liquidity
100%
Volume
Distribution risk
30%
Trigger
Hold VWAP and break above 49.47.
Invalidation
Exit if price closes below 46.61 or setup support fails.
Trend quality is not clean.
Recent volume shows distribution risk.
Market regime: Mixed.
Relative strength: Leadership.
Price (48.55) reclaiming VWAP (49.13) after trading below it. Volume confirming. Anchored VWAP context 48.34 is supportive. Entry at 48.55, stop at 46.61.
Fib 61.8
54.81
Fib Zone
54.32 - 55.29
Swing Low
52.52
Swing High
58.51
Save setup
Click chart to open full size</t>
        </is>
      </c>
      <c r="P181" t="inlineStr">
        <is>
          <t>agent_results\charts\market_lens_agent_20260608_092643_bsx.png</t>
        </is>
      </c>
      <c r="Q181" t="inlineStr">
        <is>
          <t>Smart Universe: broad liquid US universe, diversified by sector | Sector: Healthcare - Neutral (66/100); XLV sector regime is neutral: -0.4% 3m return, -9.4% vs SPY | Setup: VWAP Reclaim Setup; score 0.30; R/R 4.33x; price 48.55 | Market: NEUTRAL; Sector regime: NEUTRAL; Net R/R: 4.13; Factors: Defensive, Healthcare | Agent action: WATCH - WATCH: Neutral market requires stronger setup score (0.30 &lt; 0.45).</t>
        </is>
      </c>
      <c r="R181" t="inlineStr">
        <is>
          <t>{"adjusted_cash_out": 5971.65, "adjusted_position_size": 123, "adjusted_risk_amount": 238.62, "ask": 0.0, "bid": 0.0, "buy_zone_high": 49.13, "buy_zone_low": 47.97, "cash_available": 88056.9, "company_name": "Boston Scientific Corporation", "correlation_warning": false, "days_to_earnings": 37, "earnings_blackout": false, "earnings_date": "2026-07-29T00:00:00", "estimated_fees": 0.0, "estimated_slippage": 0.068, "estimated_spread": 0.0146, "executable_entry": 48.55, "execution_liquidity_bucket": "large_liquid", "factor_exposure_after": {"Defensive": 5971.65, "Energy": 5996.8, "Financials": 5946.3, "Healthcare": 5971.65}, "factor_exposure_before": {"Energy": 5996.8, "Financials": 5946.3}, "factor_exposure_cap": 7000.0, "factor_exposure_limit_exceeded": false, "factor_tags": ["Defensive", "Healthcare"], "final_action": "WATCH", "gross_reward_1_per_share": 1.55, "gross_reward_2_per_share": 21.18, "gross_risk_per_share": 1.94, "gross_rr": 4.3405, "gross_rr_1": 0.799, "gross_rr_2": 10.9175, "gross_rr_decision": 4.3405, "highest_correlation_ticker": "HIG", "highest_correlation_value": 0.1144, "initial_action": "BUY_SIMULATED", "market_cap": 72162542806.45,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48.5913, "net_reward_1_per_share": 1.4845, "net_reward_2_per_share": 21.1145, "net_risk_per_share": 2.0225, "net_rr": 4.1309, "net_rr_1": 0.734, "net_rr_2": 10.4396, "net_stop_assumption": 46.5687, "net_target_1_assumption": 50.0757, "net_target_2_assumption": 69.7057, "normalized_atr_score": 100.0, "normalized_liquidity_score": 70.86, "normalized_momentum_score": 0, "normalized_quality_score": 46.26, "original_cash_out": 9952.75, "original_position_size": 205, "original_risk_amount": 397.7, "portfolio_exposure_after": 11943.1, "portfolio_exposure_before": 11943.1, "position_size": 0, "position_size_adjusted": true, "position_sizing_explanation": "Base position sizing produced a candidate trade, but the risk transparency layer blocked the new buy. Candidate size: 123 shares, cash 5971.65, risk 238.62.", "previous_resistance": 58.51, "price": 48.55, "prior_high_20": 58.51, "prior_high_63": 72.94, "reason": "WATCH: Neutral market requires stronger setup score (0.30 &lt; 0.45).", "risk_amount": 0.0, "scan_source": "Smart Universe: broad liquid US universe filtered and diversified by the Market Lens UI.", "sector": "Healthcare", "sector_etf": "XLV", "sector_exposure_after": 5971.65, "sector_exposure_before": 0.0, "sector_exposure_cap": 6000.0, "sector_exposure_limit_exceeded": false, "sector_regime": "NEUTRAL", "sector_score": 65.79, "setup_score": 0.3, "setup_type": "VWAP Reclaim Setup", "sizing_adjustment_reason": "Position size reduced by Healthcare sector exposure cap (205 -&gt; 123 shares).", "spread_source": "liquidity_fallback", "stock_score": 0.3, "stop_loss": 46.61, "target_1": 50.1, "target_1_atr_distance": 0.797, "target_2": 69.73, "target_2_atr_distance": 10.89, "target_feasibility_status": "AGGRESSIVE", "theoretical_entry": 47.97, "ticker": "BSX", "timestamp": "2026-06-08T09:33:45", "warnings": ["Target distance is aggressive versus daily ATR.", "Position size reduced by Healthcare sector exposure cap (205 -&gt; 123 shares).", "WATCH: Neutral sector requires a cleaner setup score."]}</t>
        </is>
      </c>
    </row>
    <row r="182">
      <c r="A182" t="inlineStr">
        <is>
          <t>2026-06-08T09:33:45</t>
        </is>
      </c>
      <c r="B182" t="inlineStr">
        <is>
          <t>SYK</t>
        </is>
      </c>
      <c r="C182" t="inlineStr">
        <is>
          <t>VWAP Reclaim Setup</t>
        </is>
      </c>
      <c r="D182" t="n">
        <v>0.28</v>
      </c>
      <c r="E182" t="n">
        <v>305.66</v>
      </c>
      <c r="F182" t="n">
        <v>303.05</v>
      </c>
      <c r="G182" t="n">
        <v>308.27</v>
      </c>
      <c r="H182" t="n">
        <v>289.96</v>
      </c>
      <c r="I182" t="n">
        <v>311.24</v>
      </c>
      <c r="J182" t="n">
        <v>347.59</v>
      </c>
      <c r="K182" t="n">
        <v>1.17</v>
      </c>
      <c r="L182" t="inlineStr">
        <is>
          <t>Price (305.66) reclaiming VWAP (306.89) after trading below it. Volume confirming. Anchored VWAP context 305.42 is supportive. Entry at 305.66, stop at 289.96.</t>
        </is>
      </c>
      <c r="M182" t="inlineStr">
        <is>
          <t>WATCH</t>
        </is>
      </c>
      <c r="N182" t="inlineStr">
        <is>
          <t>WATCH: Technical setup detected, but weighted risk/reward 1.17 is below minimum 2.00. Market regime NEUTRAL; sector NEUTRAL; net R/R 1.10.</t>
        </is>
      </c>
      <c r="O182" t="inlineStr">
        <is>
          <t>SYK
VWAP Reclaim Setup
0.28
score
Price
305.66
R/R
1.17x
Grade
C
Quality
63%
Buy Zone
303.05 - 308.27
Stop
289.96
Targets
311.24 / 347.59
Watch only; needs confirmation
Mixed
Relative Strength
Leadership
100%
Trend Quality
Messy
18%
Liquidity
Institutional liquidity
100%
Volume
Neutral
65%
Trigger
Hold VWAP and break above 306.45.
Invalidation
Exit if price closes below 289.96 or setup support fails.
Trend quality is not clean.
Market regime: Mixed.
Relative strength: Leadership.
Price (305.66) reclaiming VWAP (306.89) after trading below it. Volume confirming. Anchored VWAP context 305.42 is supportive. Entry at 305.66, stop at 289.96.
Fib 61.8
296.99
Fib Zone
294.82 - 299.17
Swing Low
281.00
Swing High
322.87
Save setup
Click chart to open full size</t>
        </is>
      </c>
      <c r="P182" t="inlineStr">
        <is>
          <t>agent_results\charts\market_lens_agent_20260608_092643_syk.png</t>
        </is>
      </c>
      <c r="Q182" t="inlineStr">
        <is>
          <t>Smart Universe: broad liquid US universe, diversified by sector | Sector: Healthcare - Neutral (66/100); XLV sector regime is neutral: -0.4% 3m return, -9.4% vs SPY | Setup: VWAP Reclaim Setup; score 0.28; R/R 1.17x; price 305.66 | Market: NEUTRAL; Sector regime: NEUTRAL; Net R/R: 1.10; Factors: Defensive, Healthcare | Agent action: WATCH - WATCH: Technical setup detected, but weighted risk/reward 1.17 is below minimum 2.00. Market regime NEUTRAL; sector NEUTRAL; net R/R 1.10.</t>
        </is>
      </c>
      <c r="R182" t="inlineStr">
        <is>
          <t>{"adjusted_cash_out": 0.0, "adjusted_position_size": 0, "adjusted_risk_amount": 0.0, "ask": 0.0, "bid": 0.0, "buy_zone_high": 308.27, "buy_zone_low": 303.05, "cash_available": 88056.9, "company_name": "Stryker Corporation", "correlation_warning": false, "days_to_earnings": 38, "earnings_blackout": false, "earnings_date": "2026-07-30T00:00:00", "estimated_fees": 0.0, "estimated_slippage": 0.4279, "estimated_spread": 0.0917, "executable_entry": 305.66,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5.58, "gross_reward_2_per_share": 41.93, "gross_risk_per_share": 15.7, "gross_rr": 1.1658, "gross_rr_1": 0.3554, "gross_rr_2": 2.6707, "gross_rr_decision": 1.1658, "highest_correlation_ticker": "HIG", "highest_correlation_value": 0.3948, "initial_action": "WATCH", "market_cap": 117178051916.83,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305.9198, "net_reward_1_per_share": 5.1674, "net_reward_2_per_share": 41.5174, "net_risk_per_share": 16.2196, "net_rr": 1.103, "net_rr_1": 0.3186, "net_rr_2": 2.5597, "net_stop_assumption": 289.7002, "net_target_1_assumption": 311.0872, "net_target_2_assumption": 347.4372, "normalized_atr_score": 100.0, "normalized_liquidity_score": 64.44, "normalized_momentum_score": 4.24, "normalized_quality_score": 46.24,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322.87, "price": 305.66, "prior_high_20": 322.87, "prior_high_63": 367.2562, "reason": "WATCH: Technical setup detected, but weighted risk/reward 1.17 is below minimum 2.00. Market regime NEUTRAL; sector NEUTRAL; net R/R 1.10.",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289.96, "target_1": 311.24, "target_1_atr_distance": 0.6419, "target_2": 347.59, "target_2_atr_distance": 4.8231, "target_feasibility_status": "LOW_REWARD_DISTANCE", "theoretical_entry": 303.05, "ticker": "SYK", "timestamp": "2026-06-08T09:33:45", "warnings": ["Target 1 is close versus daily ATR."]}</t>
        </is>
      </c>
    </row>
    <row r="183">
      <c r="A183" t="inlineStr">
        <is>
          <t>2026-06-08T09:33:45</t>
        </is>
      </c>
      <c r="B183" t="inlineStr">
        <is>
          <t>ABT</t>
        </is>
      </c>
      <c r="C183" t="inlineStr">
        <is>
          <t>VWAP Reclaim Setup</t>
        </is>
      </c>
      <c r="D183" t="n">
        <v>0.28</v>
      </c>
      <c r="E183" t="n">
        <v>91.06999999999999</v>
      </c>
      <c r="F183" t="n">
        <v>90.43000000000001</v>
      </c>
      <c r="G183" t="n">
        <v>91.70999999999999</v>
      </c>
      <c r="H183" t="n">
        <v>83.55</v>
      </c>
      <c r="I183" t="n">
        <v>92.72</v>
      </c>
      <c r="J183" t="n">
        <v>108.68</v>
      </c>
      <c r="K183" t="n">
        <v>0.96</v>
      </c>
      <c r="L183" t="inlineStr">
        <is>
          <t>Price (91.07) reclaiming VWAP (91.64) after trading below it. Volume confirming. Anchored VWAP context 86.56 is supportive. Entry at 91.07, stop at 83.55.</t>
        </is>
      </c>
      <c r="M183" t="inlineStr">
        <is>
          <t>WATCH</t>
        </is>
      </c>
      <c r="N183" t="inlineStr">
        <is>
          <t>WATCH: Technical setup detected, but weighted risk/reward 0.96 is below minimum 2.00. Market regime NEUTRAL; sector NEUTRAL; net R/R 0.93.</t>
        </is>
      </c>
      <c r="O183" t="inlineStr">
        <is>
          <t>ABT
VWAP Reclaim Setup
0.28
score
Price
91.07
R/R
0.96x
Grade
C
Quality
63%
Buy Zone
90.43 - 91.71
Stop
83.55
Targets
92.72 / 108.68
Watch only; needs confirmation
Mixed
Relative Strength
Leadership
100%
Trend Quality
Messy
18%
Liquidity
Institutional liquidity
100%
Volume
Neutral
65%
Trigger
Hold VWAP and break above 91.48.
Invalidation
Exit if price closes below 83.55 or setup support fails.
Trend quality is not clean.
Market regime: Mixed.
Relative strength: Leadership.
Price (91.07) reclaiming VWAP (91.64) after trading below it. Volume confirming. Anchored VWAP context 86.56 is supportive. Entry at 91.07, stop at 83.55.
Fib 61.8
84.79
Fib Zone
84.25 - 85.32
Swing Low
81.97
Swing High
89.34
Save setup
Click chart to open full size</t>
        </is>
      </c>
      <c r="P183" t="inlineStr">
        <is>
          <t>agent_results\charts\market_lens_agent_20260608_092643_abt.png</t>
        </is>
      </c>
      <c r="Q183" t="inlineStr">
        <is>
          <t>Smart Universe: broad liquid US universe, diversified by sector | Sector: Healthcare - Neutral (66/100); XLV sector regime is neutral: -0.4% 3m return, -9.4% vs SPY | Setup: VWAP Reclaim Setup; score 0.28; R/R 0.96x; price 91.07 | Market: NEUTRAL; Sector regime: NEUTRAL; Net R/R: 0.93; Factors: Defensive, Healthcare | Agent action: WATCH - WATCH: Technical setup detected, but weighted risk/reward 0.96 is below minimum 2.00. Market regime NEUTRAL; sector NEUTRAL; net R/R 0.93.</t>
        </is>
      </c>
      <c r="R183" t="inlineStr">
        <is>
          <t>{"adjusted_cash_out": 0.0, "adjusted_position_size": 0, "adjusted_risk_amount": 0.0, "ask": 0.0, "bid": 0.0, "buy_zone_high": 91.71, "buy_zone_low": 90.43, "cash_available": 88056.9, "company_name": "Abbott Laboratories", "correlation_warning": false, "days_to_earnings": 28, "earnings_blackout": false, "earnings_date": "2026-07-16T00:00:00", "estimated_fees": 0.0, "estimated_slippage": 0.1275, "estimated_spread": 0.0273, "executable_entry": 91.07, "execution_liquidity_bucket": "large_liquid", "factor_exposure_after": {"Energy": 5996.8, "Financials": 5946.3}, "factor_exposure_before": {"Energy": 5996.8, "Financials": 5946.3}, "factor_exposure_cap": 7000.0, "factor_exposure_limit_exceeded": false, "factor_tags": ["Defensive", "Healthcare"], "final_action": "WATCH", "gross_reward_1_per_share": 1.65, "gross_reward_2_per_share": 17.61, "gross_risk_per_share": 7.52, "gross_rr": 0.9622, "gross_rr_1": 0.2194, "gross_rr_2": 2.3418, "gross_rr_decision": 0.9622, "highest_correlation_ticker": "HIG", "highest_correlation_value": 0.3265, "initial_action": "WATCH", "market_cap": 158626923403.22,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91.1474, "net_reward_1_per_share": 1.5271, "net_reward_2_per_share": 17.4871, "net_risk_per_share": 7.6748, "net_rr": 0.9268, "net_rr_1": 0.199, "net_rr_2": 2.2785, "net_stop_assumption": 83.4726, "net_target_1_assumption": 92.6745, "net_target_2_assumption": 108.6345, "normalized_atr_score": 100.0, "normalized_liquidity_score": 67.33, "normalized_momentum_score": 0, "normalized_quality_score": 45.2,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91.48, "price": 91.07, "prior_high_20": 91.48, "prior_high_63": 112.0371, "reason": "WATCH: Technical setup detected, but weighted risk/reward 0.96 is below minimum 2.00. Market regime NEUTRAL; sector NEUTRAL; net R/R 0.93.",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0.28, "setup_type": "VWAP Reclaim Setup", "sizing_adjustment_reason": "", "spread_source": "liquidity_fallback", "stock_score": 0.28, "stop_loss": 83.55, "target_1": 92.72, "target_1_atr_distance": 0.7694, "target_2": 108.68, "target_2_atr_distance": 8.2117, "target_feasibility_status": "OK", "theoretical_entry": 90.43, "ticker": "ABT", "timestamp": "2026-06-08T09:33:45", "warnings": []}</t>
        </is>
      </c>
    </row>
    <row r="184">
      <c r="A184" t="inlineStr">
        <is>
          <t>2026-06-08T09:33:45</t>
        </is>
      </c>
      <c r="B184" t="inlineStr">
        <is>
          <t>ICE</t>
        </is>
      </c>
      <c r="C184" t="inlineStr">
        <is>
          <t>VWAP Reclaim Setup</t>
        </is>
      </c>
      <c r="D184" t="n">
        <v>0.28</v>
      </c>
      <c r="E184" t="n">
        <v>141.5</v>
      </c>
      <c r="F184" t="n">
        <v>140.28</v>
      </c>
      <c r="G184" t="n">
        <v>142.72</v>
      </c>
      <c r="H184" t="n">
        <v>137.43</v>
      </c>
      <c r="I184" t="n">
        <v>142.59</v>
      </c>
      <c r="J184" t="n">
        <v>166.55</v>
      </c>
      <c r="K184" t="n">
        <v>2.32</v>
      </c>
      <c r="L184" t="inlineStr">
        <is>
          <t>Price (141.50) reclaiming VWAP (140.55) after trading below it. Volume confirming. Anchored VWAP context 141.25 is supportive. Entry at 141.50, stop at 137.43.</t>
        </is>
      </c>
      <c r="M184" t="inlineStr">
        <is>
          <t>WATCH</t>
        </is>
      </c>
      <c r="N184" t="inlineStr">
        <is>
          <t>WATCH: Position cannot be opened because Financials sector exposure cap leaves no executable size.</t>
        </is>
      </c>
      <c r="O184" t="inlineStr">
        <is>
          <t>ICE
VWAP Reclaim Setup
0.28
score
Price
141.50
R/R
2.32x
Grade
C
Quality
60%
Buy Zone
140.28 - 142.72
Stop
137.43
Targets
142.59 / 166.55
Watch only; needs confirmation
Mixed
Relative Strength
Leadership
100%
Trend Quality
Messy
0%
Liquidity
Institutional liquidity
100%
Volume
Neutral
50%
Trigger
Hold VWAP and break above 144.49.
Invalidation
Exit if price closes below 137.43 or setup support fails.
Trend quality is not clean.
Market regime: Mixed.
Relative strength: Leadership.
Price (141.50) reclaiming VWAP (140.55) after trading below it. Volume confirming. Anchored VWAP context 141.25 is supportive. Entry at 141.50, stop at 137.43.
Fib 61.8
158.42
Fib Zone
157.40 - 159.44
Swing Low
152.38
Swing High
168.20
Save setup
Click chart to open full size</t>
        </is>
      </c>
      <c r="P184" t="inlineStr">
        <is>
          <t>agent_results\charts\market_lens_agent_20260608_092643_ice.png</t>
        </is>
      </c>
      <c r="Q184" t="inlineStr">
        <is>
          <t>Smart Universe: broad liquid US universe, diversified by sector | Sector: Financials - Strong (70/100); XLF sector regime is strong: 4.4% 3m return, -4.6% vs SPY | Setup: VWAP Reclaim Setup; score 0.28; R/R 2.32x; price 141.50 | Market: NEUTRAL; Sector regime: STRONG; Net R/R: 2.15; Factors: Financials | Agent action: WATCH - WATCH: Position cannot be opened because Financials sector exposure cap leaves no executable size.</t>
        </is>
      </c>
      <c r="R184" t="inlineStr">
        <is>
          <t>{"adjusted_cash_out": 0.0, "adjusted_position_size": 0, "adjusted_risk_amount": 0.0, "ask": 0.0, "bid": 0.0, "buy_zone_high": 142.72, "buy_zone_low": 140.28, "cash_available": 88056.9, "company_name": "Intercontinental Exchange, Inc.", "correlation_warning": false, "days_to_earnings": 38, "earnings_blackout": false, "earnings_date": "2026-07-30T00:00:00", "estimated_fees": 0.0, "estimated_slippage": 0.1981, "estimated_spread": 0.0424, "executable_entry": 141.5, "execution_liquidity_bucket": "large_liquid", "factor_exposure_after": {"Energy": 5996.8, "Financials": 5946.3}, "factor_exposure_before": {"Energy": 5996.8, "Financials": 5946.3}, "factor_exposure_cap": 7000.0, "factor_exposure_limit_exceeded": false, "factor_tags": ["Financials"], "final_action": "WATCH", "gross_reward_1_per_share": 1.09, "gross_reward_2_per_share": 25.05, "gross_risk_per_share": 4.07, "gross_rr": 2.3283, "gross_rr_1": 0.2678, "gross_rr_2": 6.1548, "gross_rr_decision": 2.3283, "highest_correlation_ticker": "HIG", "highest_correlation_value": 0.1071, "initial_action": "BUY_SIMULATED", "market_cap": 80020018042.5,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141.6203, "net_reward_1_per_share": 0.899, "net_reward_2_per_share": 24.859, "net_risk_per_share": 4.3105, "net_rr": 2.154, "net_rr_1": 0.2086, "net_rr_2": 5.767, "net_stop_assumption": 137.3097, "net_target_1_assumption": 142.5193, "net_target_2_assumption": 166.4793, "normalized_atr_score": 100.0, "normalized_liquidity_score": 52.97, "normalized_momentum_score": 0, "normalized_quality_score": 40.89, "original_cash_out": 9905.0, "original_position_size": 70, "original_risk_amount": 284.9, "portfolio_exposure_after": 11943.1, "portfolio_exposure_before": 11943.1, "position_size": 0, "position_size_adjusted": true, "position_sizing_explanation": "Base position sizing produced a candidate trade, but the risk transparency layer blocked the new buy. Candidate size: 0 shares, cash 0.00, risk 0.00.", "previous_resistance": 158.9, "price": 141.5, "prior_high_20": 158.9, "prior_high_63": 168.2, "reason": "WATCH: Position cannot be opened because Financials sector exposure cap leaves no executable size.", "risk_amount": 0.0, "scan_source": "Smart Universe: broad liquid US universe filtered and diversified by the Market Lens UI.", "sector": "Financials", "sector_etf": "XLF", "sector_exposure_after": 5946.3, "sector_exposure_before": 5946.3, "sector_exposure_cap": 6000.0, "sector_exposure_limit_exceeded": false, "sector_regime": "STRONG", "sector_score": 69.62, "setup_score": 0.28, "setup_type": "VWAP Reclaim Setup", "sizing_adjustment_reason": "Position cannot be opened because Financials sector exposure cap leaves no executable size.", "spread_source": "liquidity_fallback", "stock_score": 0.28, "stop_loss": 137.43, "target_1": 142.59, "target_1_atr_distance": 0.2675, "target_2": 166.55, "target_2_atr_distance": 6.1477, "target_feasibility_status": "LOW_REWARD_DISTANCE", "theoretical_entry": 140.28, "ticker": "ICE", "timestamp": "2026-06-08T09:33:45", "warnings": ["Target 1 is close versus daily ATR.", "Position cannot be opened because Financials sector exposure cap leaves no executable size.", "WATCH: Neutral market requires stronger setup score (0.28 &lt; 0.45).", "WATCH: Neutral market requires stronger normalized quality (40.89/100).", "Gross R/R is valid, but Net R/R 2.15 failed minimum 2.20 after slippage/spread adjustment.", "Target 1 is too close versus daily ATR."]}</t>
        </is>
      </c>
    </row>
    <row r="185">
      <c r="A185" t="inlineStr">
        <is>
          <t>2026-06-08T09:33:45</t>
        </is>
      </c>
      <c r="B185" t="inlineStr">
        <is>
          <t>DLR</t>
        </is>
      </c>
      <c r="C185" t="inlineStr">
        <is>
          <t>Fib 61.8 Confluence Buy Zone</t>
        </is>
      </c>
      <c r="D185" t="n">
        <v>0.24</v>
      </c>
      <c r="E185" t="n">
        <v>186.79</v>
      </c>
      <c r="F185" t="n">
        <v>185.45</v>
      </c>
      <c r="G185" t="n">
        <v>187.5</v>
      </c>
      <c r="H185" t="n">
        <v>180.17</v>
      </c>
      <c r="I185" t="n">
        <v>187.64</v>
      </c>
      <c r="J185" t="n">
        <v>208.14</v>
      </c>
      <c r="K185" t="n">
        <v>1.21</v>
      </c>
      <c r="L185" t="inlineStr">
        <is>
          <t>Price at 61.8% fib retracement (186.47) with confluence at VWAP. Planned entry at zone low 185.45; executable entry 186.79, stop below fib 78.6% at 180.17.</t>
        </is>
      </c>
      <c r="M185" t="inlineStr">
        <is>
          <t>WATCH</t>
        </is>
      </c>
      <c r="N185" t="inlineStr">
        <is>
          <t>WATCH: Technical setup detected, but weighted risk/reward 1.21 is below minimum 2.00. Market regime NEUTRAL; sector STRONG; net R/R 1.02.</t>
        </is>
      </c>
      <c r="O185" t="inlineStr">
        <is>
          <t>DLR
Fib 61.8 Confluence Buy Zone
0.24
score
Price
186.79
R/R
1.21x
Grade
C
Quality
54%
Buy Zone
185.45 - 187.50
Stop
180.17
Targets
187.64 / 208.14
Watch only; needs confirmation
Mixed
Relative Strength
Leadership
100%
Trend Quality
Messy
0%
Liquidity
Institutional liquidity
100%
Volume
Distribution risk
30%
Trigger
Break above prior-day high at 189.25 after holding buy zone.
Invalidation
Exit if price closes below 180.17 or setup support fails.
Trend quality is not clean.
Recent volume shows distribution risk.
Market regime: Mixed.
Relative strength: Leadership.
Price at 61.8% fib retracement (186.47) with confluence at VWAP. Planned entry at zone low 185.45; executable entry 186.79, stop below fib 78.6% at 180.17.
Fib 61.8
186.47
Fib Zone
185.45 - 187.50
Swing Low
173.08
Swing High
208.14
Save setup
Click chart to open full size</t>
        </is>
      </c>
      <c r="P185" t="inlineStr">
        <is>
          <t>agent_results\charts\market_lens_agent_20260608_092643_dlr.png</t>
        </is>
      </c>
      <c r="Q185" t="inlineStr">
        <is>
          <t>Smart Universe: broad liquid US universe, diversified by sector | Sector: Real Estate - Strong (70/100); XLRE sector regime is strong: 4.7% 3m return, -4.3% vs SPY | Setup: Fib 61.8 Confluence Buy Zone; score 0.24; R/R 1.21x; price 186.79 | Market: NEUTRAL; Sector regime: STRONG; Net R/R: 1.02; Factors: Real Estate | Agent action: WATCH - WATCH: Technical setup detected, but weighted risk/reward 1.21 is below minimum 2.00. Market regime NEUTRAL; sector STRONG; net R/R 1.02.</t>
        </is>
      </c>
      <c r="R185" t="inlineStr">
        <is>
          <t>{"adjusted_cash_out": 0.0, "adjusted_position_size": 0, "adjusted_risk_amount": 0.0, "ask": 0.0, "bid": 0.0, "buy_zone_high": 187.5, "buy_zone_low": 185.45, "cash_available": 88056.9, "company_name": "Digital Realty", "correlation_warning": false, "days_to_earnings": 33, "earnings_blackout": false, "earnings_date": "2026-07-23T00:00:00", "estimated_fees": 0.0, "estimated_slippage": 0.5604, "estimated_spread": 0.1494, "executable_entry": 186.79, "execution_liquidity_bucket": "mid_liquid", "factor_exposure_after": {"Energy": 5996.8, "Financials": 5946.3}, "factor_exposure_before": {"Energy": 5996.8, "Financials": 5946.3}, "factor_exposure_cap": 7000.0, "factor_exposure_limit_exceeded": false, "factor_tags": ["Real Estate"], "final_action": "WATCH", "gross_reward_1_per_share": 0.85, "gross_reward_2_per_share": 21.35, "gross_risk_per_share": 6.62, "gross_rr": 1.2122, "gross_rr_1": 0.1284, "gross_rr_2": 3.2251, "gross_rr_decision": 1.2122, "highest_correlation_ticker": "HIG", "highest_correlation_value": 0.145, "initial_action": "WATCH", "market_cap": 65639137456.01,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187.1449, "net_reward_1_per_share": 0.2803, "net_reward_2_per_share": 20.7803, "net_risk_per_share": 7.3298, "net_rr": 1.0171, "net_rr_1": 0.0382, "net_rr_2": 2.835, "net_stop_assumption": 179.8151, "net_target_1_assumption": 187.4252, "net_target_2_assumption": 207.9252, "normalized_atr_score": 100.0, "normalized_liquidity_score": 40.59, "normalized_momentum_score": 58.42, "normalized_quality_score": 63.47,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199.2, "price": 186.79, "prior_high_20": 199.2, "prior_high_63": 208.14, "reason": "WATCH: Technical setup detected, but weighted risk/reward 1.21 is below minimum 2.00. Market regime NEUTRAL; sector STRONG; net R/R 1.02.",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0.24, "setup_type": "Fib 61.8 Confluence Buy Zone", "sizing_adjustment_reason": "", "spread_source": "liquidity_fallback", "stock_score": 0.24, "stop_loss": 180.17, "target_1": 187.64, "target_1_atr_distance": 0.207, "target_2": 208.14, "target_2_atr_distance": 5.1987, "target_feasibility_status": "LOW_REWARD_DISTANCE", "theoretical_entry": 185.45, "ticker": "DLR", "timestamp": "2026-06-08T09:33:45", "warnings": ["Target 1 is close versus daily ATR."]}</t>
        </is>
      </c>
    </row>
    <row r="186">
      <c r="A186" t="inlineStr">
        <is>
          <t>2026-06-08T09:33:45</t>
        </is>
      </c>
      <c r="B186" t="inlineStr">
        <is>
          <t>HAL</t>
        </is>
      </c>
      <c r="C186" t="inlineStr">
        <is>
          <t>No Trade</t>
        </is>
      </c>
      <c r="D186" t="n">
        <v>0</v>
      </c>
      <c r="E186" t="n">
        <v>39.18</v>
      </c>
      <c r="H186" t="n">
        <v>0</v>
      </c>
      <c r="K186" t="n">
        <v>0</v>
      </c>
      <c r="L186" t="inlineStr">
        <is>
          <t>No clean technical setup detected. Price in middle of value area or poor risk/reward.</t>
        </is>
      </c>
      <c r="M186" t="inlineStr">
        <is>
          <t>SKIP</t>
        </is>
      </c>
      <c r="N186" t="inlineStr">
        <is>
          <t>SKIP: No Trade result. Market regime NEUTRAL; sector NEUTRAL; net R/R 0.00.</t>
        </is>
      </c>
      <c r="O186" t="inlineStr">
        <is>
          <t>HAL
No Trade
0.00
score
Price
39.18
R/R
0.00x
Grade
No Trade
Quality
0%
Buy Zone
-
Stop
0.00
Targets
-
Skip
Mixed
Relative Strength
Leadership
98%
Trend Quality
Messy
18%
Liquidity
Institutional liquidity
100%
Volume
Distribution risk
45%
No actionable setup detected.
No clean technical setup detected. Price in middle of value area or poor risk/reward.
Fib 61.8
40.48
Fib Zone
40.16 - 40.79
Swing Low
38.67
Swing High
43.41
Click chart to open full size</t>
        </is>
      </c>
      <c r="P186" t="inlineStr">
        <is>
          <t>agent_results\charts\market_lens_agent_20260608_092643_hal.png</t>
        </is>
      </c>
      <c r="Q186" t="inlineStr">
        <is>
          <t>Smart Universe: broad liquid US universe, diversified by sector | Sector: Energy - Neutral (48/100); XLE sector regime is neutral: 3.1% 3m return, -6.0% vs SPY | Setup: No Trade; score 0.00; R/R 0.00x; price 39.18 | Market: NEUTRAL; Sector regime: NEUTRAL; Net R/R: 0.00; Factors: Energy | Agent action: SKIP - SKIP: No Trade result. Market regime NEUTRAL; sector NEUTRAL; net R/R 0.00.</t>
        </is>
      </c>
      <c r="R186" t="inlineStr">
        <is>
          <t>{"adjusted_cash_out": 0.0, "adjusted_position_size": 0, "adjusted_risk_amount": 0.0, "ask": 0.0, "bid": 0.0, "buy_zone_high": null, "buy_zone_low": null, "cash_available": 88056.9, "company_name": "Halliburton Company", "correlation_warning": false, "days_to_earnings": 31, "earnings_blackout": false, "earnings_date": "2026-07-21T00:00:00", "estimated_fees": 0.0, "estimated_slippage": 0.1175, "estimated_spread": 0.0313, "executable_entry": 39.18,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39.18, "gross_rr": 0.0, "gross_rr_1": 0.0, "gross_rr_2": 0.0, "gross_rr_decision": 0.0, "highest_correlation_ticker": "XOM", "highest_correlation_value": 0.5495, "initial_action": "SKIP", "market_cap": 32730883512.24,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39.2544, "net_reward_1_per_share": 0.0, "net_reward_2_per_share": 0.0, "net_risk_per_share": 39.3289, "net_rr": 0.0, "net_rr_1": 0.0, "net_rr_2": 0.0, "net_stop_assumption": -0.0744, "net_target_1_assumption": -0.0451, "net_target_2_assumption": -0.0451, "normalized_atr_score": 100.0, "normalized_liquidity_score": 44.34, "normalized_momentum_score": 94.3, "normalized_quality_score": 80.74,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39.18,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39.18, "ticker": "HAL", "timestamp": "2026-06-08T09:33:45", "warnings": ["Target ATR feasibility unavailable."]}</t>
        </is>
      </c>
    </row>
    <row r="187">
      <c r="A187" t="inlineStr">
        <is>
          <t>2026-06-08T09:33:45</t>
        </is>
      </c>
      <c r="B187" t="inlineStr">
        <is>
          <t>OXY</t>
        </is>
      </c>
      <c r="C187" t="inlineStr">
        <is>
          <t>No Trade</t>
        </is>
      </c>
      <c r="D187" t="n">
        <v>0</v>
      </c>
      <c r="E187" t="n">
        <v>56.93</v>
      </c>
      <c r="H187" t="n">
        <v>0</v>
      </c>
      <c r="K187" t="n">
        <v>0</v>
      </c>
      <c r="L187" t="inlineStr">
        <is>
          <t>No clean technical setup detected. Price in middle of value area or poor risk/reward.</t>
        </is>
      </c>
      <c r="M187" t="inlineStr">
        <is>
          <t>SKIP</t>
        </is>
      </c>
      <c r="N187" t="inlineStr">
        <is>
          <t>SKIP: No Trade result. Market regime NEUTRAL; sector NEUTRAL; net R/R 0.00.</t>
        </is>
      </c>
      <c r="O187" t="inlineStr">
        <is>
          <t>OXY
No Trade
0.00
score
Price
56.93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56.14
Fib Zone
55.67 - 56.61
Swing Low
52.99
Swing High
61.24
Click chart to open full size</t>
        </is>
      </c>
      <c r="P187" t="inlineStr">
        <is>
          <t>agent_results\charts\market_lens_agent_20260608_092643_oxy.png</t>
        </is>
      </c>
      <c r="Q187" t="inlineStr">
        <is>
          <t>Smart Universe: broad liquid US universe, diversified by sector | Sector: Energy - Neutral (48/100); XLE sector regime is neutral: 3.1% 3m return, -6.0% vs SPY | Setup: No Trade; score 0.00; R/R 0.00x; price 56.93 | Market: NEUTRAL; Sector regime: NEUTRAL; Net R/R: 0.00; Factors: Energy | Agent action: SKIP - SKIP: No Trade result. Market regime NEUTRAL; sector NEUTRAL; net R/R 0.00.</t>
        </is>
      </c>
      <c r="R187" t="inlineStr">
        <is>
          <t>{"adjusted_cash_out": 0.0, "adjusted_position_size": 0, "adjusted_risk_amount": 0.0, "ask": 0.0, "bid": 0.0, "buy_zone_high": null, "buy_zone_low": null, "cash_available": 88056.9, "company_name": "Occidental Petroleum Corporation", "correlation_warning": false, "days_to_earnings": 42, "earnings_blackout": false, "earnings_date": "2026-08-05T00:00:00", "estimated_fees": 0.0, "estimated_slippage": 0.0797, "estimated_spread": 0.0171, "executable_entry": 56.93, "execution_liquidity_bucket": "large_liquid",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56.93, "gross_rr": 0.0, "gross_rr_1": 0.0, "gross_rr_2": 0.0, "gross_rr_decision": 0.0, "highest_correlation_ticker": "XOM", "highest_correlation_value": 0.7545, "initial_action": "SKIP", "market_cap": 56624553831.47,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56.9784, "net_reward_1_per_share": 0.0, "net_reward_2_per_share": 0.0, "net_risk_per_share": 57.0268, "net_rr": 0.0, "net_rr_1": 0.0, "net_rr_2": 0.0, "net_stop_assumption": -0.0484, "net_target_1_assumption": -0.0285, "net_target_2_assumption": -0.0285, "normalized_atr_score": 100.0, "normalized_liquidity_score": 54.38, "normalized_momentum_score": 71.55, "normalized_quality_score": 73.51,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56.93,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56.93, "ticker": "OXY", "timestamp": "2026-06-08T09:33:45", "warnings": ["Target ATR feasibility unavailable."]}</t>
        </is>
      </c>
    </row>
    <row r="188">
      <c r="A188" t="inlineStr">
        <is>
          <t>2026-06-08T09:33:45</t>
        </is>
      </c>
      <c r="B188" t="inlineStr">
        <is>
          <t>RSG</t>
        </is>
      </c>
      <c r="C188" t="inlineStr">
        <is>
          <t>No Trade</t>
        </is>
      </c>
      <c r="D188" t="n">
        <v>0</v>
      </c>
      <c r="E188" t="n">
        <v>210.04</v>
      </c>
      <c r="H188" t="n">
        <v>0</v>
      </c>
      <c r="K188" t="n">
        <v>0</v>
      </c>
      <c r="L188" t="inlineStr">
        <is>
          <t>No clean technical setup detected. Price in middle of value area or poor risk/reward.</t>
        </is>
      </c>
      <c r="M188" t="inlineStr">
        <is>
          <t>SKIP</t>
        </is>
      </c>
      <c r="N188" t="inlineStr">
        <is>
          <t>SKIP: No Trade result. Market regime NEUTRAL; sector NEUTRAL; net R/R 0.00.</t>
        </is>
      </c>
      <c r="O188" t="inlineStr">
        <is>
          <t>RSG
No Trade
0.00
score
Price
210.04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205.00
Fib Zone
203.98 - 206.03
Swing Low
196.41
Swing High
218.91
Click chart to open full size</t>
        </is>
      </c>
      <c r="P188" t="inlineStr">
        <is>
          <t>agent_results\charts\market_lens_agent_20260608_092643_rsg.png</t>
        </is>
      </c>
      <c r="Q188" t="inlineStr">
        <is>
          <t>Smart Universe: broad liquid US universe, diversified by sector | Sector: Industrials - Neutral (67/100); XLI sector regime is neutral: 2.2% 3m return, -6.9% vs SPY | Setup: No Trade; score 0.00; R/R 0.00x; price 210.04 | Market: NEUTRAL; Sector regime: NEUTRAL; Net R/R: 0.00; Factors: Industrials | Agent action: SKIP - SKIP: No Trade result. Market regime NEUTRAL; sector NEUTRAL; net R/R 0.00.</t>
        </is>
      </c>
      <c r="R188" t="inlineStr">
        <is>
          <t>{"adjusted_cash_out": 0.0, "adjusted_position_size": 0, "adjusted_risk_amount": 0.0, "ask": 0.0, "bid": 0.0, "buy_zone_high": null, "buy_zone_low": null, "cash_available": 88056.9, "company_name": "Republic Services", "correlation_warning": false, "days_to_earnings": 36, "earnings_blackout": false, "earnings_date": "2026-07-28T00:00:00", "estimated_fees": 0.0, "estimated_slippage": 0.6301, "estimated_spread": 0.168, "executable_entry": 210.04, "execution_liquidity_bucket": "mid_liquid", "factor_exposure_after": {"Energy": 5996.8, "Financials": 5946.3}, "factor_exposure_before": {"Energy": 5996.8, "Financials": 5946.3}, "factor_exposure_cap": 7000.0, "factor_exposure_limit_exceeded": false, "factor_tags": ["Industrials"], "final_action": "SKIP", "gross_reward_1_per_share": 0.0, "gross_reward_2_per_share": 0.0, "gross_risk_per_share": 210.04, "gross_rr": 0.0, "gross_rr_1": 0.0, "gross_rr_2": 0.0, "gross_rr_decision": 0.0, "highest_correlation_ticker": "XOM", "highest_correlation_value": 0.2748, "initial_action": "SKIP", "market_cap": 64621762767.86,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210.4391, "net_reward_1_per_share": 0.0, "net_reward_2_per_share": 0.0, "net_risk_per_share": 210.8382, "net_rr": 0.0, "net_rr_1": 0.0, "net_rr_2": 0.0, "net_stop_assumption": -0.3991, "net_target_1_assumption": -0.2415, "net_target_2_assumption": -0.2415, "normalized_atr_score": 100.0, "normalized_liquidity_score": 42.19, "normalized_momentum_score": 29.62, "normalized_quality_score": 50.99,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210.04,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66.69, "setup_score": 0.0, "setup_type": "No Trade", "sizing_adjustment_reason": "", "spread_source": "liquidity_fallback", "stock_score": 0.0, "stop_loss": 0.0, "target_1": null, "target_1_atr_distance": 0.0, "target_2": null, "target_2_atr_distance": 0.0, "target_feasibility_status": "UNKNOWN", "theoretical_entry": 210.04, "ticker": "RSG", "timestamp": "2026-06-08T09:33:45", "warnings": ["Target ATR feasibility unavailable."]}</t>
        </is>
      </c>
    </row>
    <row r="189">
      <c r="A189" t="inlineStr">
        <is>
          <t>2026-06-08T09:33:45</t>
        </is>
      </c>
      <c r="B189" t="inlineStr">
        <is>
          <t>KMI</t>
        </is>
      </c>
      <c r="C189" t="inlineStr">
        <is>
          <t>No Trade</t>
        </is>
      </c>
      <c r="D189" t="n">
        <v>0</v>
      </c>
      <c r="E189" t="n">
        <v>31.68</v>
      </c>
      <c r="H189" t="n">
        <v>0</v>
      </c>
      <c r="K189" t="n">
        <v>0</v>
      </c>
      <c r="L189" t="inlineStr">
        <is>
          <t>No clean technical setup detected. Price in middle of value area or poor risk/reward.</t>
        </is>
      </c>
      <c r="M189" t="inlineStr">
        <is>
          <t>SKIP</t>
        </is>
      </c>
      <c r="N189" t="inlineStr">
        <is>
          <t>SKIP: No Trade result. Market regime NEUTRAL; sector NEUTRAL; net R/R 0.00.</t>
        </is>
      </c>
      <c r="O189" t="inlineStr">
        <is>
          <t>KMI
No Trade
0.00
score
Price
31.68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32.38
Fib Zone
32.21 - 32.55
Swing Low
30.88
Swing High
34.81
Click chart to open full size</t>
        </is>
      </c>
      <c r="P189" t="inlineStr">
        <is>
          <t>agent_results\charts\market_lens_agent_20260608_092643_kmi.png</t>
        </is>
      </c>
      <c r="Q189" t="inlineStr">
        <is>
          <t>Smart Universe: broad liquid US universe, diversified by sector | Sector: Energy - Neutral (48/100); XLE sector regime is neutral: 3.1% 3m return, -6.0% vs SPY | Setup: No Trade; score 0.00; R/R 0.00x; price 31.68 | Market: NEUTRAL; Sector regime: NEUTRAL; Net R/R: 0.00; Factors: Energy | Agent action: SKIP - SKIP: No Trade result. Market regime NEUTRAL; sector NEUTRAL; net R/R 0.00.</t>
        </is>
      </c>
      <c r="R189" t="inlineStr">
        <is>
          <t>{"adjusted_cash_out": 0.0, "adjusted_position_size": 0, "adjusted_risk_amount": 0.0, "ask": 0.0, "bid": 0.0, "buy_zone_high": null, "buy_zone_low": null, "cash_available": 88056.9, "company_name": "Kinder Morgan, Inc.", "correlation_warning": false, "days_to_earnings": 27, "earnings_blackout": false, "earnings_date": "2026-07-15T00:00:00", "estimated_fees": 0.0, "estimated_slippage": 0.095, "estimated_spread": 0.0253, "executable_entry": 31.68, "execution_liquidity_bucket": "mid_liquid", "factor_exposure_after": {"Energy": 5996.8, "Financials": 5946.3}, "factor_exposure_before": {"Energy": 5996.8, "Financials": 5946.3}, "factor_exposure_cap": 7000.0, "factor_exposure_limit_exceeded": false, "factor_tags": ["Energy"], "final_action": "SKIP", "gross_reward_1_per_share": 0.0, "gross_reward_2_per_share": 0.0, "gross_risk_per_share": 31.68, "gross_rr": 0.0, "gross_rr_1": 0.0, "gross_rr_2": 0.0, "gross_rr_decision": 0.0, "highest_correlation_ticker": "XOM", "highest_correlation_value": 0.4508, "initial_action": "SKIP", "market_cap": 70482480660.72,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31.7402, "net_reward_1_per_share": 0.0, "net_reward_2_per_share": 0.0, "net_risk_per_share": 31.8004, "net_rr": 0.0, "net_rr_1": 0.0, "net_rr_2": 0.0, "net_stop_assumption": -0.0602, "net_target_1_assumption": -0.0364, "net_target_2_assumption": -0.0364, "normalized_atr_score": 100.0, "normalized_liquidity_score": 36.35, "normalized_momentum_score": 38.06, "normalized_quality_score": 53.03,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31.68, "prior_high_20": 0.0, "prior_high_63": 0.0, "reason": "SKIP: No Trade result. Market regime NEUTRAL; sector NEUTRAL; net R/R 0.00.", "risk_amount": 0.0, "scan_source": "Smart Universe: broad liquid US universe filtered and diversified by the Market Lens UI.", "sector": "Energy", "sector_etf": "XLE", "sector_exposure_after": 5996.8, "sector_exposure_before": 5996.8, "sector_exposure_cap": 6000.0, "sector_exposure_limit_exceeded": false, "sector_regime": "NEUTRAL", "sector_score": 47.51, "setup_score": 0.0, "setup_type": "No Trade", "sizing_adjustment_reason": "", "spread_source": "liquidity_fallback", "stock_score": 0.0, "stop_loss": 0.0, "target_1": null, "target_1_atr_distance": 0.0, "target_2": null, "target_2_atr_distance": 0.0, "target_feasibility_status": "UNKNOWN", "theoretical_entry": 31.68, "ticker": "KMI", "timestamp": "2026-06-08T09:33:45", "warnings": ["Target ATR feasibility unavailable."]}</t>
        </is>
      </c>
    </row>
    <row r="190">
      <c r="A190" t="inlineStr">
        <is>
          <t>2026-06-08T09:33:45</t>
        </is>
      </c>
      <c r="B190" t="inlineStr">
        <is>
          <t>NLY</t>
        </is>
      </c>
      <c r="C190" t="inlineStr">
        <is>
          <t>No Trade</t>
        </is>
      </c>
      <c r="D190" t="n">
        <v>0</v>
      </c>
      <c r="E190" t="n">
        <v>21.22</v>
      </c>
      <c r="H190" t="n">
        <v>0</v>
      </c>
      <c r="K190" t="n">
        <v>0</v>
      </c>
      <c r="L190" t="inlineStr">
        <is>
          <t>No clean technical setup detected. Price in middle of value area or poor risk/reward.</t>
        </is>
      </c>
      <c r="M190" t="inlineStr">
        <is>
          <t>SKIP</t>
        </is>
      </c>
      <c r="N190" t="inlineStr">
        <is>
          <t>SKIP: No Trade result. Market regime NEUTRAL; sector STRONG; net R/R 0.00.</t>
        </is>
      </c>
      <c r="O190" t="inlineStr">
        <is>
          <t>NLY
No Trade
0.00
score
Price
21.22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21.11
Fib Zone
21.03 - 21.20
Swing Low
19.94
Swing High
23.01
Click chart to open full size</t>
        </is>
      </c>
      <c r="P190" t="inlineStr">
        <is>
          <t>agent_results\charts\market_lens_agent_20260608_092643_nly.png</t>
        </is>
      </c>
      <c r="Q190" t="inlineStr">
        <is>
          <t>Smart Universe: broad liquid US universe, diversified by sector | Sector: Real Estate - Strong (70/100); XLRE sector regime is strong: 4.7% 3m return, -4.3% vs SPY | Setup: No Trade; score 0.00; R/R 0.00x; price 21.22 | Market: NEUTRAL; Sector regime: STRONG; Net R/R: 0.00; Factors: Real Estate | Agent action: SKIP - SKIP: No Trade result. Market regime NEUTRAL; sector STRONG; net R/R 0.00.</t>
        </is>
      </c>
      <c r="R190" t="inlineStr">
        <is>
          <t>{"adjusted_cash_out": 0.0, "adjusted_position_size": 0, "adjusted_risk_amount": 0.0, "ask": 0.0, "bid": 0.0, "buy_zone_high": null, "buy_zone_low": null, "cash_available": 88056.9, "company_name": "Annaly Capital Management Inc.", "correlation_warning": false, "days_to_earnings": -34, "earnings_blackout": false, "earnings_date": "2026-04-21T00:00:00", "estimated_fees": 0.0, "estimated_slippage": 0.0637, "estimated_spread": 0.017, "executable_entry": 21.22, "execution_liquidity_bucket": "mid_liquid", "factor_exposure_after": {"Energy": 5996.8, "Financials": 5946.3}, "factor_exposure_before": {"Energy": 5996.8, "Financials": 5946.3}, "factor_exposure_cap": 7000.0, "factor_exposure_limit_exceeded": false, "factor_tags": ["Real Estate"], "final_action": "SKIP", "gross_reward_1_per_share": 0.0, "gross_reward_2_per_share": 0.0, "gross_risk_per_share": 21.22, "gross_rr": 0.0, "gross_rr_1": 0.0, "gross_rr_2": 0.0, "gross_rr_decision": 0.0, "highest_correlation_ticker": "HIG", "highest_correlation_value": 0.1046, "initial_action": "SKIP", "market_cap": 15549511076.22,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21.2603, "net_reward_1_per_share": 0.0, "net_reward_2_per_share": 0.0, "net_risk_per_share": 21.3006, "net_rr": 0.0, "net_rr_1": 0.0, "net_rr_2": 0.0, "net_stop_assumption": -0.0403, "net_target_1_assumption": -0.0244, "net_target_2_assumption": -0.0244, "normalized_atr_score": 100.0, "normalized_liquidity_score": 22.61, "normalized_momentum_score": 38.14, "normalized_quality_score": 48.95,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21.22,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69.63, "setup_score": 0.0, "setup_type": "No Trade", "sizing_adjustment_reason": "", "spread_source": "liquidity_fallback", "stock_score": 0.0, "stop_loss": 0.0, "target_1": null, "target_1_atr_distance": 0.0, "target_2": null, "target_2_atr_distance": 0.0, "target_feasibility_status": "UNKNOWN", "theoretical_entry": 21.22, "ticker": "NLY", "timestamp": "2026-06-08T09:33:45", "warnings": ["Target ATR feasibility unavailable."]}</t>
        </is>
      </c>
    </row>
    <row r="191">
      <c r="A191" t="inlineStr">
        <is>
          <t>2026-06-08T09:33:45</t>
        </is>
      </c>
      <c r="B191" t="inlineStr">
        <is>
          <t>GILD</t>
        </is>
      </c>
      <c r="C191" t="inlineStr">
        <is>
          <t>No Trade</t>
        </is>
      </c>
      <c r="D191" t="n">
        <v>0</v>
      </c>
      <c r="E191" t="n">
        <v>129.16</v>
      </c>
      <c r="H191" t="n">
        <v>0</v>
      </c>
      <c r="K191" t="n">
        <v>0</v>
      </c>
      <c r="L191" t="inlineStr">
        <is>
          <t>No clean technical setup detected. Price in middle of value area or poor risk/reward.</t>
        </is>
      </c>
      <c r="M191" t="inlineStr">
        <is>
          <t>SKIP</t>
        </is>
      </c>
      <c r="N191" t="inlineStr">
        <is>
          <t>SKIP: No Trade result. Market regime NEUTRAL; sector NEUTRAL; net R/R 0.00.</t>
        </is>
      </c>
      <c r="O191" t="inlineStr">
        <is>
          <t>GILD
No Trade
0.00
score
Price
129.16
R/R
0.00x
Grade
No Trade
Quality
0%
Buy Zone
-
Stop
0.00
Targets
-
Skip
Mixed
Relative Strength
Leadership
100%
Trend Quality
Messy
10%
Liquidity
Institutional liquidity
100%
Volume
Neutral
50%
No actionable setup detected.
No clean technical setup detected. Price in middle of value area or poor risk/reward.
Fib 61.8
131.72
Fib Zone
130.92 - 132.53
Swing Low
128.34
Swing High
137.20
Click chart to open full size</t>
        </is>
      </c>
      <c r="P191" t="inlineStr">
        <is>
          <t>agent_results\charts\market_lens_agent_20260608_092643_gild.png</t>
        </is>
      </c>
      <c r="Q191" t="inlineStr">
        <is>
          <t>Smart Universe: broad liquid US universe, diversified by sector | Sector: Healthcare - Neutral (66/100); XLV sector regime is neutral: -0.4% 3m return, -9.4% vs SPY | Setup: No Trade; score 0.00; R/R 0.00x; price 129.16 | Market: NEUTRAL; Sector regime: NEUTRAL; Net R/R: 0.00; Factors: Defensive, Healthcare | Agent action: SKIP - SKIP: No Trade result. Market regime NEUTRAL; sector NEUTRAL; net R/R 0.00.</t>
        </is>
      </c>
      <c r="R191" t="inlineStr">
        <is>
          <t>{"adjusted_cash_out": 0.0, "adjusted_position_size": 0, "adjusted_risk_amount": 0.0, "ask": 0.0, "bid": 0.0, "buy_zone_high": null, "buy_zone_low": null, "cash_available": 88056.9, "company_name": "Gilead Sciences, Inc.", "correlation_warning": false, "days_to_earnings": 43, "earnings_blackout": false, "earnings_date": "2026-08-06T00:00:00", "estimated_fees": 0.0, "estimated_slippage": 0.1808, "estimated_spread": 0.0387, "executable_entry": 129.16, "execution_liquidity_bucket": "large_liquid", "factor_exposure_after": {"Energy": 5996.8, "Financials": 5946.3}, "factor_exposure_before": {"Energy": 5996.8, "Financials": 5946.3}, "factor_exposure_cap": 7000.0, "factor_exposure_limit_exceeded": false, "factor_tags": ["Defensive", "Healthcare"], "final_action": "SKIP", "gross_reward_1_per_share": 0.0, "gross_reward_2_per_share": 0.0, "gross_risk_per_share": 129.16, "gross_rr": 0.0, "gross_rr_1": 0.0, "gross_rr_2": 0.0, "gross_rr_decision": 0.0, "highest_correlation_ticker": "HIG", "highest_correlation_value": 0.2318, "initial_action": "SKIP", "market_cap": 160361169472.6,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2.5, "net_entry": 129.2698, "net_reward_1_per_share": 0.0, "net_reward_2_per_share": 0.0, "net_risk_per_share": 129.3796, "net_rr": 0.0, "net_rr_1": 0.0, "net_rr_2": 0.0, "net_stop_assumption": -0.1098, "net_target_1_assumption": -0.0646, "net_target_2_assumption": -0.0646, "normalized_atr_score": 100.0, "normalized_liquidity_score": 66.04, "normalized_momentum_score": 7.63, "normalized_quality_score": 48.25,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129.16,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65.79, "setup_score": 0.0, "setup_type": "No Trade", "sizing_adjustment_reason": "", "spread_source": "liquidity_fallback", "stock_score": 0.0, "stop_loss": 0.0, "target_1": null, "target_1_atr_distance": 0.0, "target_2": null, "target_2_atr_distance": 0.0, "target_feasibility_status": "UNKNOWN", "theoretical_entry": 129.16, "ticker": "GILD", "timestamp": "2026-06-08T09:33:45", "warnings": ["Target ATR feasibility unavailable."]}</t>
        </is>
      </c>
    </row>
    <row r="192">
      <c r="A192" t="inlineStr">
        <is>
          <t>2026-06-08T09:33:45</t>
        </is>
      </c>
      <c r="B192" t="inlineStr">
        <is>
          <t>ADBE</t>
        </is>
      </c>
      <c r="C192" t="inlineStr">
        <is>
          <t>No Trade</t>
        </is>
      </c>
      <c r="D192" t="n">
        <v>0</v>
      </c>
      <c r="E192" t="n">
        <v>251.44</v>
      </c>
      <c r="H192" t="n">
        <v>0</v>
      </c>
      <c r="K192" t="n">
        <v>0</v>
      </c>
      <c r="L192" t="inlineStr">
        <is>
          <t>No clean technical setup detected. Price in middle of value area or poor risk/reward.</t>
        </is>
      </c>
      <c r="M192" t="inlineStr">
        <is>
          <t>SKIP</t>
        </is>
      </c>
      <c r="N192" t="inlineStr">
        <is>
          <t>SKIP: No Trade result. Market regime NEUTRAL; sector STRONG; net R/R 0.00.</t>
        </is>
      </c>
      <c r="O192" t="inlineStr">
        <is>
          <t>ADBE
No Trade
0.00
score
Price
251.44
R/R
0.00x
Grade
No Trade
Quality
0%
Buy Zone
-
Stop
0.00
Targets
-
Skip
Mixed
Relative Strength
Leadership
73%
Trend Quality
Clean uptrend
86%
Liquidity
Institutional liquidity
100%
Volume
Neutral
65%
No actionable setup detected.
No clean technical setup detected. Price in middle of value area or poor risk/reward.
Fib 61.8
244.48
Fib Zone
241.84 - 247.12
Swing Low
231.74
Swing High
265.09
Click chart to open full size</t>
        </is>
      </c>
      <c r="P192" t="inlineStr">
        <is>
          <t>agent_results\charts\market_lens_agent_20260608_092643_adbe.png</t>
        </is>
      </c>
      <c r="Q192" t="inlineStr">
        <is>
          <t>Smart Universe: broad liquid US universe, diversified by sector | Sector: Technology - Strong (76/100); XLK sector regime is strong: 29.2% 3m return, 20.1% vs SPY | Setup: No Trade; score 0.00; R/R 0.00x; price 251.44 | Market: NEUTRAL; Sector regime: STRONG; Net R/R: 0.00; Factors: Technology | Agent action: SKIP - SKIP: No Trade result. Market regime NEUTRAL; sector STRONG; net R/R 0.00.</t>
        </is>
      </c>
      <c r="R192" t="inlineStr">
        <is>
          <t>{"adjusted_cash_out": 0.0, "adjusted_position_size": 0, "adjusted_risk_amount": 0.0, "ask": 0.0, "bid": 0.0, "buy_zone_high": null, "buy_zone_low": null, "cash_available": 88056.9, "company_name": "Adobe Inc.", "correlation_warning": false, "days_to_earnings": 3, "earnings_blackout": true, "earnings_date": "2026-06-11T00:00:00", "estimated_fees": 0.0, "estimated_slippage": 0.352, "estimated_spread": 0.0754, "executable_entry": 251.44, "execution_liquidity_bucket": "large_liquid", "factor_exposure_after": {"Energy": 5996.8, "Financials": 5946.3}, "factor_exposure_before": {"Energy": 5996.8, "Financials": 5946.3}, "factor_exposure_cap": 7000.0, "factor_exposure_limit_exceeded": false, "factor_tags": ["Technology"], "final_action": "SKIP", "gross_reward_1_per_share": 0.0, "gross_reward_2_per_share": 0.0, "gross_risk_per_share": 251.44, "gross_rr": 0.0, "gross_rr_1": 0.0, "gross_rr_2": 0.0, "gross_rr_decision": 0.0, "highest_correlation_ticker": "XOM", "highest_correlation_value": -0.0214, "initial_action": "SKIP", "market_cap": 101632048986.82,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"UNKNOWN", "minimum_net_rr_required": 2.2, "net_entry": 251.6537, "net_reward_1_per_share": 0.0, "net_reward_2_per_share": 0.0, "net_risk_per_share": 251.8674, "net_rr": 0.0, "net_rr_1": 0.0, "net_rr_2": 0.0, "net_stop_assumption": -0.2137, "net_target_1_assumption": -0.1257, "net_target_2_assumption": -0.1257, "normalized_atr_score": 100.0, "normalized_liquidity_score": 72.91, "normalized_momentum_score": 11.72, "normalized_quality_score": 52.15,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0.0, "price": 251.44,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76.23, "setup_score": 0.0, "setup_type": "No Trade", "sizing_adjustment_reason": "", "spread_source": "liquidity_fallback", "stock_score": 0.0, "stop_loss": 0.0, "target_1": null, "target_1_atr_distance": 0.0, "target_2": null, "target_2_atr_distance": 0.0, "target_feasibility_status": "UNKNOWN", "theoretical_entry": 251.44, "ticker": "ADBE", "timestamp": "2026-06-08T09:33:45", "warnings": ["Target ATR feasibility unavailable.", "Earnings blackout active."]}</t>
        </is>
      </c>
    </row>
    <row r="193">
      <c r="A193" t="inlineStr">
        <is>
          <t>2026-06-08T14:15:34</t>
        </is>
      </c>
      <c r="B193" t="inlineStr">
        <is>
          <t>CB</t>
        </is>
      </c>
      <c r="C193" t="inlineStr">
        <is>
          <t>Fib 61.8 Confluence Buy Zone</t>
        </is>
      </c>
      <c r="D193" t="n">
        <v>0.53</v>
      </c>
      <c r="E193" t="n">
        <v>325.12</v>
      </c>
      <c r="F193" t="n">
        <v>323.8</v>
      </c>
      <c r="G193" t="n">
        <v>326.92</v>
      </c>
      <c r="H193" t="n">
        <v>322.38</v>
      </c>
      <c r="I193" t="n">
        <v>327.01</v>
      </c>
      <c r="J193" t="n">
        <v>334.03</v>
      </c>
      <c r="K193" t="n">
        <v>1.59</v>
      </c>
      <c r="L193" t="inlineStr">
        <is>
          <t>Price at 61.8% fib retracement (325.36) with confluence at POC, VWAP. Planned entry at zone low 323.80; executable entry 325.11, stop below fib 78.6% at 322.38.</t>
        </is>
      </c>
      <c r="M193" t="inlineStr">
        <is>
          <t>WATCH</t>
        </is>
      </c>
      <c r="N193" t="inlineStr">
        <is>
          <t>WATCH: Technical setup detected, but weighted risk/reward 1.59 is below minimum 2.00. Market regime NEUTRAL; sector STRONG; net R/R 1.19.</t>
        </is>
      </c>
      <c r="O193" t="inlineStr">
        <is>
          <t>CB
Fib 61.8 Confluence Buy Zone
0.53
score
Price
325.12
R/R
1.59x
Grade
B
Quality
71%
Buy Zone
323.80 - 326.92
Stop
322.38
Targets
327.01 / 334.03
Tradable if trigger confirms
Mixed
Relative Strength
Leadership
100%
Trend Quality
Constructive
58%
Liquidity
Institutional liquidity
100%
Volume
Distribution risk
30%
Trigger
Break above prior-day high at 328.60 after holding buy zone.
Invalidation
Exit if price closes below 322.38 or setup support fails.
Recent volume shows distribution risk.
Market regime: Mixed.
Relative strength: Leadership.
Price at 61.8% fib retracement (325.36) with confluence at POC, VWAP. Planned entry at zone low 323.80; executable entry 325.11, stop below fib 78.6% at 322.38.
Fib 61.8
325.36
Fib Zone
323.80 - 326.92
Swing Low
320.00
Swing High
334.03
Save setup
Click chart to open full size</t>
        </is>
      </c>
      <c r="P193" t="inlineStr">
        <is>
          <t>agent_results/charts/market_lens_agent_20260608_140702_cb.png</t>
        </is>
      </c>
      <c r="Q193" t="inlineStr">
        <is>
          <t>Smart Universe: broad liquid US universe, diversified by sector | Sector: Financials - Strong (70/100); XLF sector regime is strong: 5.0% 3m return, -4.7% vs SPY | Setup: Fib 61.8 Confluence Buy Zone; score 0.53; R/R 1.59x; price 325.12 | Market: NEUTRAL; Sector regime: STRONG; Net R/R: 1.19; Factors: Financials | Agent action: WATCH - WATCH: Technical setup detected, but weighted risk/reward 1.59 is below minimum 2.00. Market regime NEUTRAL; sector STRONG; net R/R 1.19.</t>
        </is>
      </c>
      <c r="R193" t="inlineStr">
        <is>
          <t>{"adjusted_cash_out": 0.0, "adjusted_position_size": 0, "adjusted_risk_amount": 0.0, "ask": 0.0, "bid": 0.0, "buy_zone_high": 326.92, "buy_zone_low": 323.8, "cash_available": 96983.3, "company_name": "Chubb Limited", "correlation_warning": false, "days_to_earnings": 36, "earnings_blackout": false, "earnings_date": "2026-07-28T00:00:00", "estimated_fees": 0.0, "estimated_slippage": 0.4552, "estimated_spread": 0.0975, "executable_entry": 325.12, "execution_liquidity_bucket": "large_liquid", "factor_exposure_after": {"Energy": 3009.8}, "factor_exposure_before": {"Energy": 3009.8}, "factor_exposure_cap": 7000.0, "factor_exposure_limit_exceeded": false, "factor_tags": ["Financials"], "final_action": "WATCH", "gross_reward_1_per_share": 1.89, "gross_reward_2_per_share": 8.91, "gross_risk_per_share": 2.74, "gross_rr": 1.5865, "gross_rr_1": 0.6898, "gross_rr_2": 3.2518, "gross_rr_decision": 1.5865, "highest_correlation_ticker": "XOM", "highest_correlation_value": 0.0878, "initial_action": "WATCH", "market_cap": 125835392543.19,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325.3964, "net_reward_1_per_share": 1.4511, "net_reward_2_per_share": 8.4711, "net_risk_per_share": 3.2927, "net_rr": 1.1869, "net_rr_1": 0.4407, "net_rr_2": 2.5727, "net_stop_assumption": 322.1036, "net_target_1_assumption": 326.8474, "net_target_2_assumption": 333.8674, "normalized_atr_score": 100.0, "normalized_liquidity_score": 49.2, "normalized_momentum_score": 52.55, "normalized_quality_score": 63.41,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334.03, "price": 325.12, "prior_high_20": 334.03, "prior_high_63": 336.14, "reason": "WATCH: Technical setup detected, but weighted risk/reward 1.59 is below minimum 2.00. Market regime NEUTRAL; sector STRONG; net R/R 1.19.",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0.53, "setup_type": "Fib 61.8 Confluence Buy Zone", "sizing_adjustment_reason": "", "spread_source": "liquidity_fallback", "stock_score": 0.53, "stop_loss": 322.38, "target_1": 327.01, "target_1_atr_distance": 0.3025, "target_2": 334.03, "target_2_atr_distance": 1.4259, "target_feasibility_status": "LOW_REWARD_DISTANCE", "theoretical_entry": 323.8, "ticker": "CB", "timestamp": "2026-06-08T14:15:34", "warnings": ["Target 1 is close versus daily ATR."]}</t>
        </is>
      </c>
    </row>
    <row r="194">
      <c r="A194" t="inlineStr">
        <is>
          <t>2026-06-08T14:15:34</t>
        </is>
      </c>
      <c r="B194" t="inlineStr">
        <is>
          <t>NOC</t>
        </is>
      </c>
      <c r="C194" t="inlineStr">
        <is>
          <t>Fib 61.8 Confluence Buy Zone</t>
        </is>
      </c>
      <c r="D194" t="n">
        <v>0.46</v>
      </c>
      <c r="E194" t="n">
        <v>544.36</v>
      </c>
      <c r="F194" t="n">
        <v>543.05</v>
      </c>
      <c r="G194" t="n">
        <v>549.1900000000001</v>
      </c>
      <c r="H194" t="n">
        <v>540.72</v>
      </c>
      <c r="I194" t="n">
        <v>549.05</v>
      </c>
      <c r="J194" t="n">
        <v>696.02</v>
      </c>
      <c r="K194" t="n">
        <v>15.45</v>
      </c>
      <c r="L194" t="inlineStr">
        <is>
          <t>Price at 61.8% fib retracement (546.12) with confluence at POC, VWAP. Planned entry at zone low 543.05; executable entry 544.35, stop below fib 78.6% at 540.72. Structural confluence: swing low at 536.64 aligns with VAL (534.98).</t>
        </is>
      </c>
      <c r="M194" t="inlineStr">
        <is>
          <t>WATCH</t>
        </is>
      </c>
      <c r="N194" t="inlineStr">
        <is>
          <t>WATCH: Neutral market requires stronger normalized quality (39.15/100).</t>
        </is>
      </c>
      <c r="O194" t="inlineStr">
        <is>
          <t>NOC
Fib 61.8 Confluence Buy Zone
0.46
score
Price
544.36
R/R
15.45x
Grade
B
Quality
67%
Buy Zone
543.05 - 549.19
Stop
540.72
Targets
549.05 / 696.02
Tradable if trigger confirms
Mixed
Relative Strength
Leadership
100%
Trend Quality
Messy
0%
Liquidity
Institutional liquidity
100%
Volume
Neutral
65%
Trigger
Break above prior-day high at 551.96 after holding buy zone.
Invalidation
Exit if price closes below 540.72 or setup support fails.
Trend quality is not clean.
Market regime: Mixed.
Relative strength: Leadership.
Price at 61.8% fib retracement (546.12) with confluence at POC, VWAP. Planned entry at zone low 543.05; executable entry 544.35, stop below fib 78.6% at 540.72. Structural confluence: swing low at 536.64 aligns with VAL (534.98).
Fib 61.8
546.12
Fib Zone
543.05 - 549.19
Swing Low
536.64
Swing High
561.46
Save setup
Click chart to open full size</t>
        </is>
      </c>
      <c r="P194" t="inlineStr">
        <is>
          <t>agent_results/charts/market_lens_agent_20260608_140702_noc.png</t>
        </is>
      </c>
      <c r="Q194" t="inlineStr">
        <is>
          <t>Smart Universe: broad liquid US universe, diversified by sector | Sector: Industrials - Neutral (67/100); XLI sector regime is neutral: 3.0% 3m return, -6.8% vs SPY | Setup: Fib 61.8 Confluence Buy Zone; score 0.46; R/R 15.45x; price 544.36 | Market: NEUTRAL; Sector regime: NEUTRAL; Net R/R: 9.54; Factors: Industrials | Agent action: WATCH - WATCH: Neutral market requires stronger normalized quality (39.15/100).</t>
        </is>
      </c>
      <c r="R194" t="inlineStr">
        <is>
          <t>{"adjusted_cash_out": 5987.96, "adjusted_position_size": 11, "adjusted_risk_amount": 40.04, "ask": 0.0, "bid": 0.0, "buy_zone_high": 549.19, "buy_zone_low": 543.05, "cash_available": 96983.3, "company_name": "Northrop Grumman Corporation", "correlation_warning": false, "days_to_earnings": 31, "earnings_blackout": false, "earnings_date": "2026-07-21T00:00:00", "estimated_fees": 0.0, "estimated_slippage": 1.6331, "estimated_spread": 0.4355, "executable_entry": 544.36, "execution_liquidity_bucket": "mid_liquid", "factor_exposure_after": {"Energy": 3009.8, "Industrials": 5987.96}, "factor_exposure_before": {"Energy": 3009.8}, "factor_exposure_cap": 7000.0, "factor_exposure_limit_exceeded": false, "factor_tags": ["Industrials"], "final_action": "WATCH", "gross_reward_1_per_share": 4.69, "gross_reward_2_per_share": 151.66, "gross_risk_per_share": 3.64, "gross_rr": 15.4202, "gross_rr_1": 1.2885, "gross_rr_2": 41.6648, "gross_rr_decision": 15.4202, "highest_correlation_ticker": "XOM", "highest_correlation_value": -0.0233, "initial_action": "BUY_SIMULATED", "market_cap": 77112812362.59,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545.3943, "net_reward_1_per_share": 3.0297, "net_reward_2_per_share": 149.9997, "net_risk_per_share": 5.7086, "net_rr": 9.5417, "net_rr_1": 0.5307, "net_rr_2": 26.2762, "net_stop_assumption": 539.6857, "net_target_1_assumption": 548.424, "net_target_2_assumption": 695.394, "normalized_atr_score": 100.0, "normalized_liquidity_score": 47.18, "normalized_momentum_score": 0, "normalized_quality_score": 39.15, "original_cash_out": 9798.48, "original_position_size": 18, "original_risk_amount": 65.52, "portfolio_exposure_after": 3009.8, "portfolio_exposure_before": 3009.8, "position_size": 0, "position_size_adjusted": true, "position_sizing_explanation": "Base position sizing produced a candidate trade, but the risk transparency layer blocked the new buy. Candidate size: 11 shares, cash 5987.96, risk 40.04.", "previous_resistance": 561.4589, "price": 544.36, "prior_high_20": 561.4589, "prior_high_63": 762.2253, "reason": "WATCH: Neutral market requires stronger normalized quality (39.15/100).", "risk_amount": 0.0, "scan_source": "Smart Universe: broad liquid US universe filtered and diversified by the Market Lens UI.", "sector": "Industrials", "sector_etf": "XLI", "sector_exposure_after": 5987.96, "sector_exposure_before": 0.0, "sector_exposure_cap": 6000.0, "sector_exposure_limit_exceeded": false, "sector_regime": "NEUTRAL", "sector_score": 67.08, "setup_score": 0.46, "setup_type": "Fib 61.8 Confluence Buy Zone", "sizing_adjustment_reason": "Position size reduced by Industrials sector exposure cap (18 -&gt; 11 shares).", "spread_source": "liquidity_fallback", "stock_score": 0.46, "stop_loss": 540.72, "target_1": 549.05, "target_1_atr_distance": 0.3816, "target_2": 696.02, "target_2_atr_distance": 12.3389, "target_feasibility_status": "AGGRESSIVE", "theoretical_entry": 543.05, "ticker": "NOC", "timestamp": "2026-06-08T14:15:34", "warnings": ["Target distance is aggressive versus daily ATR.", "Position size reduced by Industrials sector exposure cap (18 -&gt; 11 shares)."]}</t>
        </is>
      </c>
    </row>
    <row r="195">
      <c r="A195" t="inlineStr">
        <is>
          <t>2026-06-08T14:15:34</t>
        </is>
      </c>
      <c r="B195" t="inlineStr">
        <is>
          <t>CBRE</t>
        </is>
      </c>
      <c r="C195" t="inlineStr">
        <is>
          <t>Liquidity Trap Buy Zone</t>
        </is>
      </c>
      <c r="D195" t="n">
        <v>0.44</v>
      </c>
      <c r="E195" t="n">
        <v>133.62</v>
      </c>
      <c r="F195" t="n">
        <v>133.19</v>
      </c>
      <c r="G195" t="n">
        <v>134.04</v>
      </c>
      <c r="H195" t="n">
        <v>127.27</v>
      </c>
      <c r="I195" t="n">
        <v>148.47</v>
      </c>
      <c r="J195" t="n">
        <v>148.47</v>
      </c>
      <c r="K195" t="n">
        <v>2.34</v>
      </c>
      <c r="L195" t="inlineStr">
        <is>
          <t>Price (133.62) swept below VAL (124.59) and reclaimed it — liquidity trap confirmed. POC at 134.96 provides structural support. Entry at 133.62, stop at 127.27.</t>
        </is>
      </c>
      <c r="M195" t="inlineStr">
        <is>
          <t>WATCH</t>
        </is>
      </c>
      <c r="N195" t="inlineStr">
        <is>
          <t>WATCH: Neutral market requires stronger setup score (0.44 &lt; 0.45).</t>
        </is>
      </c>
      <c r="O195" t="inlineStr">
        <is>
          <t>CBRE
Liquidity Trap Buy Zone
0.44
score
Price
133.62
R/R
2.34x
Grade
C
Quality
64%
Buy Zone
133.19 - 134.04
Stop
127.27
Targets
148.47 / 148.47
Watch only; needs confirmation
Mixed
Relative Strength
Leadership
100%
Trend Quality
Messy
18%
Liquidity
Institutional liquidity
100%
Volume
Distribution risk
30%
Trigger
Break above prior-day high at 133.62 after holding buy zone.
Invalidation
Exit if price closes below 127.27 or setup support fails.
Trend quality is not clean.
Recent volume shows distribution risk.
Market regime: Mixed.
Relative strength: Leadership.
Price (133.62) swept below VAL (124.59) and reclaimed it — liquidity trap confirmed. POC at 134.96 provides structural support. Entry at 133.62, stop at 127.27.
Fib 61.8
142.56
Fib Zone
141.50 - 143.62
Swing Low
138.60
Swing High
148.97
Save setup
Click chart to open full size</t>
        </is>
      </c>
      <c r="P195" t="inlineStr">
        <is>
          <t>agent_results/charts/market_lens_agent_20260608_140702_cbre.png</t>
        </is>
      </c>
      <c r="Q195" t="inlineStr">
        <is>
          <t>Smart Universe: broad liquid US universe, diversified by sector | Sector: Real Estate - Strong (69/100); XLRE sector regime is strong: 4.5% 3m return, -5.3% vs SPY | Setup: Liquidity Trap Buy Zone; score 0.44; R/R 2.34x; price 133.62 | Market: NEUTRAL; Sector regime: STRONG; Net R/R: 2.11; Factors: Real Estate | Agent action: WATCH - WATCH: Neutral market requires stronger setup score (0.44 &lt; 0.45).</t>
        </is>
      </c>
      <c r="R195" t="inlineStr">
        <is>
          <t>{"adjusted_cash_out": 5879.28, "adjusted_position_size": 44, "adjusted_risk_amount": 279.4, "ask": 0.0, "bid": 0.0, "buy_zone_high": 134.04, "buy_zone_low": 133.19, "cash_available": 96983.3, "company_name": "CBRE Group", "correlation_warning": false, "days_to_earnings": -32, "earnings_blackout": false, "earnings_date": "2026-04-23T00:00:00", "estimated_fees": 0.0, "estimated_slippage": 0.4009, "estimated_spread": 0.1069, "executable_entry": 133.62, "execution_liquidity_bucket": "mid_liquid", "factor_exposure_after": {"Energy": 3009.8, "Real Estate": 5879.28}, "factor_exposure_before": {"Energy": 3009.8}, "factor_exposure_cap": 7000.0, "factor_exposure_limit_exceeded": false, "factor_tags": ["Real Estate"], "final_action": "WATCH", "gross_reward_1_per_share": 14.85, "gross_reward_2_per_share": 14.85, "gross_risk_per_share": 6.35, "gross_rr": 2.3386, "gross_rr_1": 2.3386, "gross_rr_2": 2.3386, "gross_rr_decision": 2.3386, "highest_correlation_ticker": "XOM", "highest_correlation_value": -0.1325, "initial_action": "BUY_SIMULATED", "market_cap": 39161290883.95,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133.8739, "net_reward_1_per_share": 14.4425, "net_reward_2_per_share": 14.4425, "net_risk_per_share": 6.8578, "net_rr": 2.106, "net_rr_1": 2.106, "net_rr_2": 2.106, "net_stop_assumption": 127.0161, "net_target_1_assumption": 148.3163, "net_target_2_assumption": 148.3163, "normalized_atr_score": 100.0, "normalized_liquidity_score": 40.48, "normalized_momentum_score": 34.21, "normalized_quality_score": 52.54, "original_cash_out": 9887.88, "original_position_size": 74, "original_risk_amount": 469.9, "portfolio_exposure_after": 3009.8, "portfolio_exposure_before": 3009.8, "position_size": 0, "position_size_adjusted": true, "position_sizing_explanation": "Base position sizing produced a candidate trade, but the risk transparency layer blocked the new buy. Candidate size: 44 shares, cash 5879.28, risk 279.40.", "previous_resistance": 148.97, "price": 133.62, "prior_high_20": 148.97, "prior_high_63": 157.6, "reason": "WATCH: Neutral market requires stronger setup score (0.44 &lt; 0.45).", "risk_amount": 0.0, "scan_source": "Smart Universe: broad liquid US universe filtered and diversified by the Market Lens UI.", "sector": "Real Estate", "sector_etf": "XLRE", "sector_exposure_after": 5879.28, "sector_exposure_before": 0.0, "sector_exposure_cap": 6000.0, "sector_exposure_limit_exceeded": false, "sector_regime": "STRONG", "sector_score": 68.61, "setup_score": 0.44, "setup_type": "Liquidity Trap Buy Zone", "sizing_adjustment_reason": "Position size reduced by Real Estate sector exposure cap (74 -&gt; 44 shares).", "spread_source": "liquidity_fallback", "stock_score": 0.44, "stop_loss": 127.27, "target_1": 148.47, "target_1_atr_distance": 3.5058, "target_2": 148.47, "target_2_atr_distance": 3.5058, "target_feasibility_status": "OK", "theoretical_entry": 133.19, "ticker": "CBRE", "timestamp": "2026-06-08T14:15:34", "warnings": ["Position size reduced by Real Estate sector exposure cap (74 -&gt; 44 shares).", "Gross R/R is valid, but Net R/R 2.11 failed minimum 2.20 after slippage/spread adjustment."]}</t>
        </is>
      </c>
    </row>
    <row r="196">
      <c r="A196" t="inlineStr">
        <is>
          <t>2026-06-08T14:15:34</t>
        </is>
      </c>
      <c r="B196" t="inlineStr">
        <is>
          <t>PH</t>
        </is>
      </c>
      <c r="C196" t="inlineStr">
        <is>
          <t>Breakout + Retest</t>
        </is>
      </c>
      <c r="D196" t="n">
        <v>0.44</v>
      </c>
      <c r="E196" t="n">
        <v>886.52</v>
      </c>
      <c r="F196" t="n">
        <v>857.88</v>
      </c>
      <c r="G196" t="n">
        <v>880</v>
      </c>
      <c r="H196" t="n">
        <v>846.83</v>
      </c>
      <c r="I196" t="n">
        <v>903.29</v>
      </c>
      <c r="J196" t="n">
        <v>1026.68</v>
      </c>
      <c r="K196" t="n">
        <v>1.51</v>
      </c>
      <c r="L196" t="inlineStr">
        <is>
          <t>Price (886.52) retesting broken resistance (880.00) as support. Breakout on 2026-06-05 with 1.2× avg volume. Entry at 886.52, stop at 846.83.</t>
        </is>
      </c>
      <c r="M196" t="inlineStr">
        <is>
          <t>WATCH</t>
        </is>
      </c>
      <c r="N196" t="inlineStr">
        <is>
          <t>WATCH: Technical setup detected, but weighted risk/reward 1.51 is below minimum 2.00. Market regime NEUTRAL; sector NEUTRAL; net R/R 1.34.</t>
        </is>
      </c>
      <c r="O196" t="inlineStr">
        <is>
          <t>PH
Breakout + Retest
0.44
score
Price
886.52
R/R
1.51x
Grade
B
Quality
67%
Buy Zone
857.88 - 880.00
Stop
846.83
Targets
903.29 / 1026.68
Tradable if trigger confirms
Mixed
Relative Strength
Leadership
100%
Trend Quality
Messy
18%
Liquidity
Institutional liquidity
100%
Volume
Neutral
65%
Trigger
Close above 898.98 or reclaim of broken resistance.
Invalidation
Exit if price closes below 846.83 or setup support fails.
Trend quality is not clean.
Market regime: Mixed.
Relative strength: Leadership.
Price (886.52) retesting broken resistance (880.00) as support. Breakout on 2026-06-05 with 1.2× avg volume. Entry at 886.52, stop at 846.83.
Fib 61.8
921.68
Fib Zone
916.15 - 927.21
Swing Low
856.78
Swing High
1026.68
Save setup
Click chart to open full size</t>
        </is>
      </c>
      <c r="P196" t="inlineStr">
        <is>
          <t>agent_results/charts/market_lens_agent_20260608_140702_ph.png</t>
        </is>
      </c>
      <c r="Q196" t="inlineStr">
        <is>
          <t>Smart Universe: broad liquid US universe, diversified by sector | Sector: Industrials - Neutral (67/100); XLI sector regime is neutral: 3.0% 3m return, -6.8% vs SPY | Setup: Breakout + Retest; score 0.44; R/R 1.51x; price 886.52 | Market: NEUTRAL; Sector regime: NEUTRAL; Net R/R: 1.34; Factors: Industrials | Agent action: WATCH - WATCH: Technical setup detected, but weighted risk/reward 1.51 is below minimum 2.00. Market regime NEUTRAL; sector NEUTRAL; net R/R 1.34.</t>
        </is>
      </c>
      <c r="R196" t="inlineStr">
        <is>
          <t>{"adjusted_cash_out": 0.0, "adjusted_position_size": 0, "adjusted_risk_amount": 0.0, "ask": 0.0, "bid": 0.0, "buy_zone_high": 880.0, "buy_zone_low": 857.88, "cash_available": 96983.3, "company_name": "Parker Hannifin Corporation", "correlation_warning": false, "days_to_earnings": 43, "earnings_blackout": false, "earnings_date": "2026-08-06T00:00:00", "estimated_fees": 0.0, "estimated_slippage": 3.0142, "estimated_spread": 0.266, "executable_entry": 886.52, "execution_liquidity_bucket": "large_liquid", "factor_exposure_after": {"Energy": 3009.8}, "factor_exposure_before": {"Energy": 3009.8}, "factor_exposure_cap": 7000.0, "factor_exposure_limit_exceeded": false, "factor_tags": ["Industrials"], "final_action": "WATCH", "gross_reward_1_per_share": 16.77, "gross_reward_2_per_share": 140.16, "gross_risk_per_share": 39.69, "gross_rr": 1.5106, "gross_rr_1": 0.4225, "gross_rr_2": 3.5314, "gross_rr_decision": 1.5106, "highest_correlation_ticker": "XOM", "highest_correlation_value": -0.3404, "initial_action": "WATCH", "market_cap": 111503240634.37,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888.1601, "net_reward_1_per_share": 14.2434, "net_reward_2_per_share": 137.6334, "net_risk_per_share": 42.9701, "net_rr": 1.3365, "net_rr_1": 0.3315, "net_rr_2": 3.203, "net_stop_assumption": 845.1899, "net_target_1_assumption": 902.4035, "net_target_2_assumption": 1025.7935, "normalized_atr_score": 100.0, "normalized_liquidity_score": 55.95, "normalized_momentum_score": 29.44, "normalized_quality_score": 55.03,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898.98, "price": 886.52, "prior_high_20": 898.98, "prior_high_63": 1026.6794, "reason": "WATCH: Technical setup detected, but weighted risk/reward 1.51 is below minimum 2.00. Market regime NEUTRAL; sector NEUTRAL; net R/R 1.34.",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0.44, "setup_type": "Breakout + Retest", "sizing_adjustment_reason": "", "spread_source": "liquidity_fallback", "stock_score": 0.44, "stop_loss": 846.83, "target_1": 903.29, "target_1_atr_distance": 0.7583, "target_2": 1026.68, "target_2_atr_distance": 6.3374, "target_feasibility_status": "OK", "theoretical_entry": 857.88, "ticker": "PH", "timestamp": "2026-06-08T14:15:34", "warnings": []}</t>
        </is>
      </c>
    </row>
    <row r="197">
      <c r="A197" t="inlineStr">
        <is>
          <t>2026-06-08T14:15:34</t>
        </is>
      </c>
      <c r="B197" t="inlineStr">
        <is>
          <t>WY</t>
        </is>
      </c>
      <c r="C197" t="inlineStr">
        <is>
          <t>Fib 61.8 Confluence Buy Zone</t>
        </is>
      </c>
      <c r="D197" t="n">
        <v>0.43</v>
      </c>
      <c r="E197" t="n">
        <v>24.34</v>
      </c>
      <c r="F197" t="n">
        <v>24.26</v>
      </c>
      <c r="G197" t="n">
        <v>24.55</v>
      </c>
      <c r="H197" t="n">
        <v>24.03</v>
      </c>
      <c r="I197" t="n">
        <v>24.63</v>
      </c>
      <c r="J197" t="n">
        <v>25.58</v>
      </c>
      <c r="K197" t="n">
        <v>1.94</v>
      </c>
      <c r="L197" t="inlineStr">
        <is>
          <t>Price at 61.8% fib retracement (24.40) with confluence at POC, VWAP. Planned entry at zone low 24.26; executable entry 24.34, stop below fib 78.6% at 24.03.</t>
        </is>
      </c>
      <c r="M197" t="inlineStr">
        <is>
          <t>WATCH</t>
        </is>
      </c>
      <c r="N197" t="inlineStr">
        <is>
          <t>WATCH: Technical setup detected, but weighted risk/reward 1.94 is below minimum 2.00. Market regime NEUTRAL; sector STRONG; net R/R 1.36.</t>
        </is>
      </c>
      <c r="O197" t="inlineStr">
        <is>
          <t>WY
Fib 61.8 Confluence Buy Zone
0.43
score
Price
24.34
R/R
1.94x
Grade
B
Quality
74%
Buy Zone
24.26 - 24.55
Stop
24.03
Targets
24.63 / 25.58
Tradable if trigger confirms
Mixed
Relative Strength
Leadership
100%
Trend Quality
Constructive
68%
Liquidity
Institutional liquidity
100%
Volume
Distribution risk
30%
Trigger
Break above prior-day high at 24.88 after holding buy zone.
Invalidation
Exit if price closes below 24.03 or setup support fails.
Recent volume shows distribution risk.
Market regime: Mixed.
Relative strength: Leadership.
Price at 61.8% fib retracement (24.40) with confluence at POC, VWAP. Planned entry at zone low 24.26; executable entry 24.34, stop below fib 78.6% at 24.03.
Fib 61.8
24.40
Fib Zone
24.26 - 24.55
Swing Low
23.68
Swing High
25.58
Save setup
Click chart to open full size</t>
        </is>
      </c>
      <c r="P197" t="inlineStr">
        <is>
          <t>agent_results/charts/market_lens_agent_20260608_140702_wy.png</t>
        </is>
      </c>
      <c r="Q197" t="inlineStr">
        <is>
          <t>Smart Universe: broad liquid US universe, diversified by sector | Sector: Real Estate - Strong (69/100); XLRE sector regime is strong: 4.5% 3m return, -5.3% vs SPY | Setup: Fib 61.8 Confluence Buy Zone; score 0.43; R/R 1.94x; price 24.34 | Market: NEUTRAL; Sector regime: STRONG; Net R/R: 1.36; Factors: Real Estate | Agent action: WATCH - WATCH: Technical setup detected, but weighted risk/reward 1.94 is below minimum 2.00. Market regime NEUTRAL; sector STRONG; net R/R 1.36.</t>
        </is>
      </c>
      <c r="R197" t="inlineStr">
        <is>
          <t>{"adjusted_cash_out": 0.0, "adjusted_position_size": 0, "adjusted_risk_amount": 0.0, "ask": 0.0, "bid": 0.0, "buy_zone_high": 24.55, "buy_zone_low": 24.26, "cash_available": 96983.3, "company_name": "Weyerhaeuser", "correlation_warning": false, "days_to_earnings": 33, "earnings_blackout": false, "earnings_date": "2026-07-23T00:00:00", "estimated_fees": 0.0, "estimated_slippage": 0.073, "estimated_spread": 0.0195, "executable_entry": 24.34, "execution_liquidity_bucket": "mid_liquid", "factor_exposure_after": {"Energy": 3009.8}, "factor_exposure_before": {"Energy": 3009.8}, "factor_exposure_cap": 7000.0, "factor_exposure_limit_exceeded": false, "factor_tags": ["Real Estate"], "final_action": "WATCH", "gross_reward_1_per_share": 0.29, "gross_reward_2_per_share": 1.24, "gross_risk_per_share": 0.31, "gross_rr": 2.0081, "gross_rr_1": 0.9355, "gross_rr_2": 4.0, "gross_rr_decision": 2.0081, "highest_correlation_ticker": "XOM", "highest_correlation_value": -0.2104, "initial_action": "WATCH", "market_cap": 17546571229.88,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24.3862, "net_reward_1_per_share": 0.2158, "net_reward_2_per_share": 1.1658, "net_risk_per_share": 0.4025, "net_rr": 1.3622, "net_rr_1": 0.5361, "net_rr_2": 2.8964, "net_stop_assumption": 23.9838, "net_target_1_assumption": 24.602, "net_target_2_assumption": 25.552, "normalized_atr_score": 100.0, "normalized_liquidity_score": 19.01, "normalized_momentum_score": 61.71, "normalized_quality_score": 58.47,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24.88, "price": 24.34, "prior_high_20": 24.88, "prior_high_63": 25.5806, "reason": "WATCH: Technical setup detected, but weighted risk/reward 1.94 is below minimum 2.00. Market regime NEUTRAL; sector STRONG; net R/R 1.36.",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0.43, "setup_type": "Fib 61.8 Confluence Buy Zone", "sizing_adjustment_reason": "", "spread_source": "liquidity_fallback", "stock_score": 0.43, "stop_loss": 24.03, "target_1": 24.63, "target_1_atr_distance": 0.5114, "target_2": 25.58, "target_2_atr_distance": 2.1866, "target_feasibility_status": "LOW_REWARD_DISTANCE", "theoretical_entry": 24.26, "ticker": "WY", "timestamp": "2026-06-08T14:15:34", "warnings": ["Target 1 is close versus daily ATR."]}</t>
        </is>
      </c>
    </row>
    <row r="198">
      <c r="A198" t="inlineStr">
        <is>
          <t>2026-06-08T14:15:34</t>
        </is>
      </c>
      <c r="B198" t="inlineStr">
        <is>
          <t>CRM</t>
        </is>
      </c>
      <c r="C198" t="inlineStr">
        <is>
          <t>Breakout + Retest</t>
        </is>
      </c>
      <c r="D198" t="n">
        <v>0.42</v>
      </c>
      <c r="E198" t="n">
        <v>183.83</v>
      </c>
      <c r="F198" t="n">
        <v>178.24</v>
      </c>
      <c r="G198" t="n">
        <v>187.44</v>
      </c>
      <c r="H198" t="n">
        <v>173.65</v>
      </c>
      <c r="I198" t="n">
        <v>191.15</v>
      </c>
      <c r="J198" t="n">
        <v>211.34</v>
      </c>
      <c r="K198" t="n">
        <v>1.41</v>
      </c>
      <c r="L198" t="inlineStr">
        <is>
          <t>Price (183.83) retesting broken resistance (187.44) as support. Breakout on 2026-05-29 with 2.6× avg volume. Volume confirmed breakout. Entry at 183.83, stop at 173.65.</t>
        </is>
      </c>
      <c r="M198" t="inlineStr">
        <is>
          <t>WATCH</t>
        </is>
      </c>
      <c r="N198" t="inlineStr">
        <is>
          <t>WATCH: Technical setup detected, but weighted risk/reward 1.41 is below minimum 2.00. Market regime NEUTRAL; sector STRONG; net R/R 1.28.</t>
        </is>
      </c>
      <c r="O198" t="inlineStr">
        <is>
          <t>CRM
Breakout + Retest
0.42
score
Price
183.83
R/R
1.41x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(183.83) retesting broken resistance (187.44) as support. Breakout on 2026-05-29 with 2.6× avg volume. Volume confirmed breakout. Entry at 183.83, stop at 173.65.
Fib 61.8
186.81
Fib Zone
184.51 - 189.11
Swing Low
171.65
Swing High
211.34
Save setup
Click chart to open full size</t>
        </is>
      </c>
      <c r="P198" t="inlineStr">
        <is>
          <t>agent_results/charts/market_lens_agent_20260608_140702_crm.png</t>
        </is>
      </c>
      <c r="Q198" t="inlineStr">
        <is>
          <t>Smart Universe: broad liquid US universe, diversified by sector | Sector: Technology - Strong (97/100); XLK sector regime is strong: 31.8% 3m return, 22.0% vs SPY | Setup: Breakout + Retest; score 0.42; R/R 1.41x; price 183.83 | Market: NEUTRAL; Sector regime: STRONG; Net R/R: 1.28; Factors: Technology | Agent action: WATCH - WATCH: Technical setup detected, but weighted risk/reward 1.41 is below minimum 2.00. Market regime NEUTRAL; sector STRONG; net R/R 1.28.</t>
        </is>
      </c>
      <c r="R198"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183.83, "execution_liquidity_bucket": "large_liquid", "factor_exposure_after": {"Energy": 3009.8}, "factor_exposure_before": {"Energy": 3009.8}, "factor_exposure_cap": 7000.0, "factor_exposure_limit_exceeded": false, "factor_tags": ["Technology"], "final_action": "WATCH", "gross_reward_1_per_share": 7.32, "gross_reward_2_per_share": 27.51, "gross_risk_per_share": 10.18, "gross_rr": 1.4132, "gross_rr_1": 0.7191, "gross_rr_2": 2.7024, "gross_rr_decision": 1.4132, "highest_correlation_ticker": "XOM", "highest_correlation_value": -0.0372, "initial_action": "WATCH", "market_cap": 151072745498.66,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184.1701, "net_reward_1_per_share": 6.7961, "net_reward_2_per_share": 26.9861, "net_risk_per_share": 10.8602, "net_rr": 1.2765, "net_rr_1": 0.6258, "net_rr_2": 2.4849, "net_stop_assumption": 173.3099, "net_target_1_assumption": 190.9662, "net_target_2_assumption": 211.1562, "normalized_atr_score": 100.0, "normalized_liquidity_score": 96.78, "normalized_momentum_score": 35.92, "normalized_quality_score": 70.2,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211.34, "price": 183.83, "prior_high_20": 211.34, "prior_high_63": 211.34, "reason": "WATCH: Technical setup detected, but weighted risk/reward 1.41 is below minimum 2.00. Market regime NEUTRAL; sector STRONG; net R/R 1.28.",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0.42, "setup_type": "Breakout + Retest", "sizing_adjustment_reason": "", "spread_source": "liquidity_fallback", "stock_score": 0.42, "stop_loss": 173.65, "target_1": 191.15, "target_1_atr_distance": 0.7961, "target_2": 211.34, "target_2_atr_distance": 2.9918, "target_feasibility_status": "OK", "theoretical_entry": 178.24, "ticker": "CRM", "timestamp": "2026-06-08T14:15:34", "warnings": []}</t>
        </is>
      </c>
    </row>
    <row r="199">
      <c r="A199" t="inlineStr">
        <is>
          <t>2026-06-08T14:15:34</t>
        </is>
      </c>
      <c r="B199" t="inlineStr">
        <is>
          <t>APA</t>
        </is>
      </c>
      <c r="C199" t="inlineStr">
        <is>
          <t>Fib 61.8 Confluence Buy Zone</t>
        </is>
      </c>
      <c r="D199" t="n">
        <v>0.41</v>
      </c>
      <c r="E199" t="n">
        <v>37.62</v>
      </c>
      <c r="F199" t="n">
        <v>37.24</v>
      </c>
      <c r="G199" t="n">
        <v>37.99</v>
      </c>
      <c r="H199" t="n">
        <v>36.39</v>
      </c>
      <c r="I199" t="n">
        <v>38.38</v>
      </c>
      <c r="J199" t="n">
        <v>44.19</v>
      </c>
      <c r="K199" t="n">
        <v>2.27</v>
      </c>
      <c r="L199" t="inlineStr">
        <is>
          <t>Price at 61.8% fib retracement (37.62) with confluence at VWAP. Planned entry at zone low 37.24; executable entry 37.62, stop below fib 78.6% at 36.39.</t>
        </is>
      </c>
      <c r="M199" t="inlineStr">
        <is>
          <t>WATCH</t>
        </is>
      </c>
      <c r="N199" t="inlineStr">
        <is>
          <t>WATCH: Neutral market requires stronger setup score (0.41 &lt; 0.45).</t>
        </is>
      </c>
      <c r="O199" t="inlineStr">
        <is>
          <t>APA
Fib 61.8 Confluence Buy Zone
0.41
score
Price
37.62
R/R
2.27x
Grade
B
Quality
67%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37.62, stop below fib 78.6% at 36.39.
Fib 61.8
37.62
Fib Zone
37.24 - 37.99
Swing Low
35.17
Swing High
41.58
Save setup
Click chart to open full size</t>
        </is>
      </c>
      <c r="P199" t="inlineStr">
        <is>
          <t>agent_results/charts/market_lens_agent_20260608_140702_apa.png</t>
        </is>
      </c>
      <c r="Q199" t="inlineStr">
        <is>
          <t>Smart Universe: broad liquid US universe, diversified by sector | Sector: Energy - Strong (72/100); XLE sector regime is strong: 6.1% 3m return, -3.7% vs SPY | Setup: Fib 61.8 Confluence Buy Zone; score 0.41; R/R 2.27x; price 37.62 | Market: NEUTRAL; Sector regime: STRONG; Net R/R: 1.95; Factors: Energy | Agent action: WATCH - WATCH: Neutral market requires stronger setup score (0.41 &lt; 0.45).</t>
        </is>
      </c>
      <c r="R199" t="inlineStr">
        <is>
          <t>{"adjusted_cash_out": 2971.98, "adjusted_position_size": 79, "adjusted_risk_amount": 97.17, "ask": 0.0, "bid": 0.0, "buy_zone_high": 37.99, "buy_zone_low": 37.24, "cash_available": 96983.3, "company_name": "APA Corporation", "correlation_warning": false, "days_to_earnings": 42, "earnings_blackout": false, "earnings_date": "2026-08-05T00:00:00", "estimated_fees": 0.0, "estimated_slippage": 0.1129, "estimated_spread": 0.0301, "executable_entry": 37.62, "execution_liquidity_bucket": "mid_liquid", "factor_exposure_after": {"Energy": 5981.78}, "factor_exposure_before": {"Energy": 3009.8}, "factor_exposure_cap": 7000.0, "factor_exposure_limit_exceeded": false, "factor_tags": ["Energy"], "final_action": "WATCH", "gross_reward_1_per_share": 0.76, "gross_reward_2_per_share": 6.57, "gross_risk_per_share": 1.23, "gross_rr": 2.2711, "gross_rr_1": 0.6179, "gross_rr_2": 5.3415, "gross_rr_decision": 2.2711, "highest_correlation_ticker": "XOM", "highest_correlation_value": 0.7768, "initial_action": "BUY_SIMULATED", "market_cap": 13223321138.13,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37.6915, "net_reward_1_per_share": 0.6453, "net_reward_2_per_share": 6.4553, "net_risk_per_share": 1.373, "net_rr": 1.9511, "net_rr_1": 0.47, "net_rr_2": 4.7017, "net_stop_assumption": 36.3185, "net_target_1_assumption": 38.3367, "net_target_2_assumption": 44.1467, "normalized_atr_score": 100.0, "normalized_liquidity_score": 27.43, "normalized_momentum_score": 100, "normalized_quality_score": 78.23, "original_cash_out": 9969.3, "original_position_size": 265, "original_risk_amount": 325.95, "portfolio_exposure_after": 3009.8, "portfolio_exposure_before": 3009.8, "position_size": 0, "position_size_adjusted": true, "position_sizing_explanation": "Base position sizing produced a candidate trade, but the risk transparency layer blocked the new buy. Candidate size: 79 shares, cash 2971.98, risk 97.17.", "previous_resistance": 41.58, "price": 37.62, "prior_high_20": 41.58, "prior_high_63": 45.3564, "reason": "WATCH: Neutral market requires stronger setup score (0.41 &lt; 0.45).", "risk_amount": 0.0, "scan_source": "Smart Universe: broad liquid US universe filtered and diversified by the Market Lens UI.", "sector": "Energy", "sector_etf": "XLE", "sector_exposure_after": 5981.78, "sector_exposure_before": 3009.8, "sector_exposure_cap": 6000.0, "sector_exposure_limit_exceeded": false, "sector_regime": "STRONG", "sector_score": 72.03, "setup_score": 0.41, "setup_type": "Fib 61.8 Confluence Buy Zone", "sizing_adjustment_reason": "Position size reduced by Energy sector exposure cap (265 -&gt; 79 shares).", "spread_source": "liquidity_fallback", "stock_score": 0.41, "stop_loss": 36.39, "target_1": 38.38, "target_1_atr_distance": 0.5059, "target_2": 44.19, "target_2_atr_distance": 4.3736, "target_feasibility_status": "LOW_REWARD_DISTANCE", "theoretical_entry": 37.24, "ticker": "APA", "timestamp": "2026-06-08T14:15:34", "warnings": ["Target 1 is close versus daily ATR.", "Position size reduced by Energy sector exposure cap (265 -&gt; 79 shares).", "Gross R/R is valid, but Net R/R 1.95 failed minimum 2.20 after slippage/spread adjustment.", "Target 1 is too close versus daily ATR."]}</t>
        </is>
      </c>
    </row>
    <row r="200">
      <c r="A200" t="inlineStr">
        <is>
          <t>2026-06-08T14:15:34</t>
        </is>
      </c>
      <c r="B200" t="inlineStr">
        <is>
          <t>QCOM</t>
        </is>
      </c>
      <c r="C200" t="inlineStr">
        <is>
          <t>Fib 61.8 Confluence Buy Zone</t>
        </is>
      </c>
      <c r="D200" t="n">
        <v>0.39</v>
      </c>
      <c r="E200" t="n">
        <v>216.48</v>
      </c>
      <c r="F200" t="n">
        <v>212.29</v>
      </c>
      <c r="G200" t="n">
        <v>220.79</v>
      </c>
      <c r="H200" t="n">
        <v>203.31</v>
      </c>
      <c r="I200" t="n">
        <v>217.89</v>
      </c>
      <c r="J200" t="n">
        <v>258.96</v>
      </c>
      <c r="K200" t="n">
        <v>1.2</v>
      </c>
      <c r="L200" t="inlineStr">
        <is>
          <t>Price at 61.8% fib retracement (216.54) with confluence at VWAP. Planned entry at zone low 212.29; executable entry 216.48, stop below fib 78.6% at 203.31. Structural confluence: swing low at 121.54 aligns with VAL (125.53).</t>
        </is>
      </c>
      <c r="M200" t="inlineStr">
        <is>
          <t>WATCH</t>
        </is>
      </c>
      <c r="N200" t="inlineStr">
        <is>
          <t>WATCH: Technical setup detected, but weighted risk/reward 1.20 is below minimum 2.00. Market regime NEUTRAL; sector STRONG; net R/R 1.14.</t>
        </is>
      </c>
      <c r="O200" t="inlineStr">
        <is>
          <t>QCOM
Fib 61.8 Confluence Buy Zone
0.39
score
Price
216.48
R/R
1.20x
Grade
A
Quality
79%
Buy Zone
212.29 - 220.79
Stop
203.31
Targets
217.89 / 258.96
High-quality watchlist candidate
Mixed
Relative Strength
Leadership
100%
Trend Quality
Constructive
68%
Liquidity
Institutional liquidity
100%
Volume
Confirmed
80%
Trigger
Break above prior-day high at 238.44 after holding buy zone.
Invalidation
Exit if price closes below 203.31 or setup support fails.
Market regime: Mixed.
Relative strength: Leadership.
Price at 61.8% fib retracement (216.54) with confluence at VWAP. Planned entry at zone low 212.29; executable entry 216.48, stop below fib 78.6% at 203.31. Structural confluence: swing low at 121.54 aligns with VAL (125.53).
Fib 61.8
216.54
Fib Zone
212.29 - 220.79
Swing Low
190.32
Swing High
258.96
Save setup
Click chart to open full size</t>
        </is>
      </c>
      <c r="P200" t="inlineStr">
        <is>
          <t>agent_results/charts/market_lens_agent_20260608_140702_qcom.png</t>
        </is>
      </c>
      <c r="Q200" t="inlineStr">
        <is>
          <t>Smart Universe: broad liquid US universe, diversified by sector | Sector: Technology - Strong (97/100); XLK sector regime is strong: 31.8% 3m return, 22.0% vs SPY | Setup: Fib 61.8 Confluence Buy Zone; score 0.39; R/R 1.20x; price 216.48 | Market: NEUTRAL; Sector regime: STRONG; Net R/R: 1.14; Factors: AI / Semiconductors, Technology | Agent action: WATCH - WATCH: Technical setup detected, but weighted risk/reward 1.20 is below minimum 2.00. Market regime NEUTRAL; sector STRONG; net R/R 1.14.</t>
        </is>
      </c>
      <c r="R200" t="inlineStr">
        <is>
          <t>{"adjusted_cash_out": 0.0, "adjusted_position_size": 0, "adjusted_risk_amount": 0.0, "ask": 0.0, "bid": 0.0, "buy_zone_high": 220.79, "buy_zone_low": 212.29, "cash_available": 96983.3, "company_name": "QUALCOMM Incorporated", "correlation_warning": false, "days_to_earnings": 37, "earnings_blackout": false, "earnings_date": "2026-07-29T00:00:00", "estimated_fees": 0.0, "estimated_slippage": 0.3485, "estimated_spread": 0.0649, "executable_entry": 216.48, "execution_liquidity_bucket": "large_liquid", "factor_exposure_after": {"Energy": 3009.8}, "factor_exposure_before": {"Energy": 3009.8}, "factor_exposure_cap": 7000.0, "factor_exposure_limit_exceeded": false, "factor_tags": ["AI / Semiconductors", "Technology"], "final_action": "WATCH", "gross_reward_1_per_share": 1.41, "gross_reward_2_per_share": 42.48, "gross_risk_per_share": 13.17, "gross_rr": 1.1985, "gross_rr_1": 0.1071, "gross_rr_2": 3.2255, "gross_rr_decision": 1.1985, "highest_correlation_ticker": "XOM", "highest_correlation_value": -0.1311, "initial_action": "WATCH", "market_cap": 229223915496.83,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216.6867, "net_reward_1_per_share": 1.0837, "net_reward_2_per_share": 42.1537, "net_risk_per_share": 13.5835, "net_rr": 1.138, "net_rr_1": 0.0798, "net_rr_2": 3.1033, "net_stop_assumption": 203.1033, "net_target_1_assumption": 217.7704, "net_target_2_assumption": 258.8404, "normalized_atr_score": 68.62, "normalized_liquidity_score": 80.77, "normalized_momentum_score": 100, "normalized_quality_score": 86.39,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258.9635, "price": 216.48, "prior_high_20": 258.9635, "prior_high_63": 258.9635, "reason": "WATCH: Technical setup detected, but weighted risk/reward 1.20 is below minimum 2.00. Market regime NEUTRAL; sector STRONG; net R/R 1.14.",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0.39, "setup_type": "Fib 61.8 Confluence Buy Zone", "sizing_adjustment_reason": "", "spread_source": "liquidity_fallback", "stock_score": 0.39, "stop_loss": 203.31, "target_1": 217.89, "target_1_atr_distance": 0.083, "target_2": 258.96, "target_2_atr_distance": 2.5002, "target_feasibility_status": "LOW_REWARD_DISTANCE", "theoretical_entry": 212.29, "ticker": "QCOM", "timestamp": "2026-06-08T14:15:34", "warnings": ["Target 1 is close versus daily ATR."]}</t>
        </is>
      </c>
    </row>
    <row r="201">
      <c r="A201" t="inlineStr">
        <is>
          <t>2026-06-08T14:15:34</t>
        </is>
      </c>
      <c r="B201" t="inlineStr">
        <is>
          <t>TMO</t>
        </is>
      </c>
      <c r="C201" t="inlineStr">
        <is>
          <t>Breakout + Retest</t>
        </is>
      </c>
      <c r="D201" t="n">
        <v>0.39</v>
      </c>
      <c r="E201" t="n">
        <v>476.14</v>
      </c>
      <c r="F201" t="n">
        <v>467.6</v>
      </c>
      <c r="G201" t="n">
        <v>481.83</v>
      </c>
      <c r="H201" t="n">
        <v>460.49</v>
      </c>
      <c r="I201" t="n">
        <v>487.93</v>
      </c>
      <c r="J201" t="n">
        <v>528.33</v>
      </c>
      <c r="K201" t="n">
        <v>1.66</v>
      </c>
      <c r="L201" t="inlineStr">
        <is>
          <t>Price (476.14) retesting broken resistance (481.83) as support. Breakout on 2026-05-28 with 1.8× avg volume. Volume confirmed breakout. Entry at 476.14, stop at 460.49.</t>
        </is>
      </c>
      <c r="M201" t="inlineStr">
        <is>
          <t>WATCH</t>
        </is>
      </c>
      <c r="N201" t="inlineStr">
        <is>
          <t>WATCH: Technical setup detected, but weighted risk/reward 1.66 is below minimum 2.00. Market regime NEUTRAL; sector NEUTRAL; net R/R 1.41.</t>
        </is>
      </c>
      <c r="O201" t="inlineStr">
        <is>
          <t>TMO
Breakout + Retest
0.39
score
Price
476.14
R/R
1.66x
Grade
B
Quality
72%
Buy Zone
467.60 - 481.83
Stop
460.49
Targets
487.93 / 528.33
Tradable if trigger confirms
Mixed
Relative Strength
Leadership
100%
Trend Quality
Messy
28%
Liquidity
Institutional liquidity
100%
Volume
Confirmed
80%
Trigger
Close above 486.79 or reclaim of broken resistance.
Invalidation
Exit if price closes below 460.49 or setup support fails.
Trend quality is not clean.
Market regime: Mixed.
Relative strength: Leadership.
Price (476.14) retesting broken resistance (481.83) as support. Breakout on 2026-05-28 with 1.8× avg volume. Volume confirmed breakout. Entry at 476.14, stop at 460.49.
Fib 61.8
459.61
Fib Zone
456.06 - 463.17
Swing Low
435.27
Swing High
499.00
Save setup
Click chart to open full size</t>
        </is>
      </c>
      <c r="P201" t="inlineStr">
        <is>
          <t>agent_results/charts/market_lens_agent_20260608_140702_tmo.png</t>
        </is>
      </c>
      <c r="Q201" t="inlineStr">
        <is>
          <t>Smart Universe: broad liquid US universe, diversified by sector | Sector: Healthcare - Neutral (67/100); XLV sector regime is neutral: 0.8% 3m return, -9.0% vs SPY | Setup: Breakout + Retest; score 0.39; R/R 1.66x; price 476.14 | Market: NEUTRAL; Sector regime: NEUTRAL; Net R/R: 1.41; Factors: Defensive, Healthcare | Agent action: WATCH - WATCH: Technical setup detected, but weighted risk/reward 1.66 is below minimum 2.00. Market regime NEUTRAL; sector NEUTRAL; net R/R 1.41.</t>
        </is>
      </c>
      <c r="R201" t="inlineStr">
        <is>
          <t>{"adjusted_cash_out": 0.0, "adjusted_position_size": 0, "adjusted_risk_amount": 0.0, "ask": 0.0, "bid": 0.0, "buy_zone_high": 481.83, "buy_zone_low": 467.6, "cash_available": 96983.3, "company_name": "Thermo Fisher Scientific Inc.", "correlation_warning": false, "days_to_earnings": 32, "earnings_blackout": false, "earnings_date": "2026-07-22T00:00:00", "estimated_fees": 0.0, "estimated_slippage": 1.6189, "estimated_spread": 0.1428, "executable_entry": 476.14, "execution_liquidity_bucket": "large_liquid", "factor_exposure_after": {"Energy": 3009.8}, "factor_exposure_before": {"Energy": 3009.8}, "factor_exposure_cap": 7000.0, "factor_exposure_limit_exceeded": false, "factor_tags": ["Defensive", "Healthcare"], "final_action": "WATCH", "gross_reward_1_per_share": 11.79, "gross_reward_2_per_share": 52.19, "gross_risk_per_share": 15.65, "gross_rr": 1.6569, "gross_rr_1": 0.7534, "gross_rr_2": 3.3348, "gross_rr_decision": 1.6569, "highest_correlation_ticker": "XOM", "highest_correlation_value": -0.2259, "initial_action": "WATCH", "market_cap": 176601953050.94,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2.5, "net_entry": 477.0209, "net_reward_1_per_share": 10.433, "net_reward_2_per_share": 50.833, "net_risk_per_share": 17.4117, "net_rr": 1.4113, "net_rr_1": 0.5992, "net_rr_2": 2.9195, "net_stop_assumption": 459.6091, "net_target_1_assumption": 487.4539, "net_target_2_assumption": 527.8539, "normalized_atr_score": 100.0, "normalized_liquidity_score": 70.79, "normalized_momentum_score": 37.91, "normalized_quality_score": 63.3,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499.0, "price": 476.14, "prior_high_20": 499.0, "prior_high_63": 538.41, "reason": "WATCH: Technical setup detected, but weighted risk/reward 1.66 is below minimum 2.00. Market regime NEUTRAL; sector NEUTRAL; net R/R 1.41.",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0.39, "setup_type": "Breakout + Retest", "sizing_adjustment_reason": "", "spread_source": "liquidity_fallback", "stock_score": 0.39, "stop_loss": 460.49, "target_1": 487.93, "target_1_atr_distance": 0.8278, "target_2": 528.33, "target_2_atr_distance": 3.6644, "target_feasibility_status": "OK", "theoretical_entry": 467.6, "ticker": "TMO", "timestamp": "2026-06-08T14:15:34", "warnings": []}</t>
        </is>
      </c>
    </row>
    <row r="202">
      <c r="A202" t="inlineStr">
        <is>
          <t>2026-06-08T14:15:34</t>
        </is>
      </c>
      <c r="B202" t="inlineStr">
        <is>
          <t>V</t>
        </is>
      </c>
      <c r="C202" t="inlineStr">
        <is>
          <t>Fib 61.8 Confluence Buy Zone</t>
        </is>
      </c>
      <c r="D202" t="n">
        <v>0.38</v>
      </c>
      <c r="E202" t="n">
        <v>321.88</v>
      </c>
      <c r="F202" t="n">
        <v>321.29</v>
      </c>
      <c r="G202" t="n">
        <v>324.74</v>
      </c>
      <c r="H202" t="n">
        <v>319.02</v>
      </c>
      <c r="I202" t="n">
        <v>322.11</v>
      </c>
      <c r="J202" t="n">
        <v>338.49</v>
      </c>
      <c r="K202" t="n">
        <v>2.09</v>
      </c>
      <c r="L202" t="inlineStr">
        <is>
          <t>Price at 61.8% fib retracement (323.02) with confluence at VWAP. Planned entry at zone low 321.29; executable entry 321.88, stop below fib 78.6% at 319.02.</t>
        </is>
      </c>
      <c r="M202" t="inlineStr">
        <is>
          <t>WATCH</t>
        </is>
      </c>
      <c r="N202" t="inlineStr">
        <is>
          <t>WATCH: Neutral market requires stronger setup score (0.38 &lt; 0.45).</t>
        </is>
      </c>
      <c r="O202" t="inlineStr">
        <is>
          <t>V
Fib 61.8 Confluence Buy Zone
0.38
score
Price
321.88
R/R
2.09x
Grade
B
Quality
75%
Buy Zone
321.29 - 324.74
Stop
319.02
Targets
322.11 / 338.49
Tradable if trigger confirms
Mixed
Relative Strength
Leadership
100%
Trend Quality
Constructive
68%
Liquidity
Institutional liquidity
100%
Volume
Distribution risk
30%
Trigger
Break above prior-day high at 325.98 after holding buy zone.
Invalidation
Exit if price closes below 319.02 or setup support fails.
Recent volume shows distribution risk.
Market regime: Mixed.
Relative strength: Leadership.
Price at 61.8% fib retracement (323.02) with confluence at VWAP. Planned entry at zone low 321.29; executable entry 321.88, stop below fib 78.6% at 319.02.
Fib 61.8
323.02
Fib Zone
321.29 - 324.74
Swing Low
315.51
Swing High
335.17
Save setup
Click chart to open full size</t>
        </is>
      </c>
      <c r="P202" t="inlineStr">
        <is>
          <t>agent_results/charts/market_lens_agent_20260608_140702_v.png</t>
        </is>
      </c>
      <c r="Q202" t="inlineStr">
        <is>
          <t>Smart Universe: broad liquid US universe, diversified by sector | Sector: Financials - Strong (70/100); XLF sector regime is strong: 5.0% 3m return, -4.7% vs SPY | Setup: Fib 61.8 Confluence Buy Zone; score 0.38; R/R 2.09x; price 321.88 | Market: NEUTRAL; Sector regime: STRONG; Net R/R: 1.66; Factors: Financials | Agent action: WATCH - WATCH: Neutral market requires stronger setup score (0.38 &lt; 0.45).</t>
        </is>
      </c>
      <c r="R202" t="inlineStr">
        <is>
          <t>{"adjusted_cash_out": 5793.84, "adjusted_position_size": 18, "adjusted_risk_amount": 51.48, "ask": 0.0, "bid": 0.0, "buy_zone_high": 324.74, "buy_zone_low": 321.29, "cash_available": 96983.3, "company_name": "Visa Inc.", "correlation_warning": false, "days_to_earnings": 36, "earnings_blackout": false, "earnings_date": "2026-07-28T00:00:00", "estimated_fees": 0.0, "estimated_slippage": 0.4506, "estimated_spread": 0.0966, "executable_entry": 321.88, "execution_liquidity_bucket": "large_liquid", "factor_exposure_after": {"Energy": 3009.8, "Financials": 5793.84}, "factor_exposure_before": {"Energy": 3009.8}, "factor_exposure_cap": 7000.0, "factor_exposure_limit_exceeded": false, "factor_tags": ["Financials"], "final_action": "WATCH", "gross_reward_1_per_share": 0.23, "gross_reward_2_per_share": 16.61, "gross_risk_per_share": 2.86, "gross_rr": 2.085, "gross_rr_1": 0.0804, "gross_rr_2": 5.8077, "gross_rr_decision": 2.085, "highest_correlation_ticker": "XOM", "highest_correlation_value": -0.0179, "initial_action": "BUY_SIMULATED", "market_cap": 610944713754.86,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322.1536, "net_reward_1_per_share": 0.0, "net_reward_2_per_share": 16.1755, "net_risk_per_share": 3.4072, "net_rr": 1.6616, "net_rr_1": 0.0, "net_rr_2": 4.7474, "net_stop_assumption": 318.7464, "net_target_1_assumption": 321.9491, "net_target_2_assumption": 338.3291, "normalized_atr_score": 100.0, "normalized_liquidity_score": 59.1, "normalized_momentum_score": 60.15, "normalized_quality_score": 69.8, "original_cash_out": 9978.28, "original_position_size": 31, "original_risk_amount": 88.66, "portfolio_exposure_after": 3009.8, "portfolio_exposure_before": 3009.8, "position_size": 0, "position_size_adjusted": true, "position_sizing_explanation": "Base position sizing produced a candidate trade, but the risk transparency layer blocked the new buy. Candidate size: 18 shares, cash 5793.84, risk 51.48.", "previous_resistance": 335.17, "price": 321.88, "prior_high_20": 335.17, "prior_high_63": 341.2725, "reason": "WATCH: Neutral market requires stronger setup score (0.38 &lt; 0.45).", "risk_amount": 0.0, "scan_source": "Smart Universe: broad liquid US universe filtered and diversified by the Market Lens UI.", "sector": "Financials", "sector_etf": "XLF", "sector_exposure_after": 5793.84, "sector_exposure_before": 0.0, "sector_exposure_cap": 6000.0, "sector_exposure_limit_exceeded": false, "sector_regime": "STRONG", "sector_score": 69.81, "setup_score": 0.38, "setup_type": "Fib 61.8 Confluence Buy Zone", "sizing_adjustment_reason": "Position size reduced by Financials sector exposure cap (31 -&gt; 18 shares).", "spread_source": "liquidity_fallback", "stock_score": 0.38, "stop_loss": 319.02, "target_1": 322.11, "target_1_atr_distance": 0.0333, "target_2": 338.49, "target_2_atr_distance": 2.4045, "target_feasibility_status": "LOW_REWARD_DISTANCE", "theoretical_entry": 321.29, "ticker": "V", "timestamp": "2026-06-08T14:15:34", "warnings": ["Target 1 is close versus daily ATR.", "Position size reduced by Financials sector exposure cap (31 -&gt; 18 shares).", "Gross R/R is valid, but Net R/R 1.66 failed minimum 2.20 after slippage/spread adjustment.", "Target 1 is too close versus daily ATR."]}</t>
        </is>
      </c>
    </row>
    <row r="203">
      <c r="A203" t="inlineStr">
        <is>
          <t>2026-06-08T14:15:34</t>
        </is>
      </c>
      <c r="B203" t="inlineStr">
        <is>
          <t>LNG</t>
        </is>
      </c>
      <c r="C203" t="inlineStr">
        <is>
          <t>Swing Low + Volume Support Buy Zone</t>
        </is>
      </c>
      <c r="D203" t="n">
        <v>0.34</v>
      </c>
      <c r="E203" t="n">
        <v>239.6</v>
      </c>
      <c r="F203" t="n">
        <v>233.35</v>
      </c>
      <c r="G203" t="n">
        <v>238.96</v>
      </c>
      <c r="H203" t="n">
        <v>224.93</v>
      </c>
      <c r="I203" t="n">
        <v>250.13</v>
      </c>
      <c r="J203" t="n">
        <v>296.84</v>
      </c>
      <c r="K203" t="n">
        <v>1.83</v>
      </c>
      <c r="L203" t="inlineStr">
        <is>
          <t>Price is pulling into a recent swing-low support (235.45) that overlaps with a high-volume area (VAL at 236.23), creating structural + volume confluence. Liquidity sweep below swing low detected — wick and reclaim. Stop below 224.93.</t>
        </is>
      </c>
      <c r="M203" t="inlineStr">
        <is>
          <t>WATCH</t>
        </is>
      </c>
      <c r="N203" t="inlineStr">
        <is>
          <t>WATCH: Technical setup detected, but weighted risk/reward 1.83 is below minimum 2.00. Market regime NEUTRAL; sector STRONG; net R/R 1.68.</t>
        </is>
      </c>
      <c r="O203" t="inlineStr">
        <is>
          <t>LNG
Swing Low + Volume Support Buy Zone
0.34
score
Price
239.60
R/R
1.83x
Grade
B
Quality
68%
Buy Zone
233.35 - 238.96
Stop
224.93
Targets
250.13 / 296.84
Tradable if trigger confirms
Mixed
Relative Strength
Leadership
100%
Trend Quality
Messy
18%
Liquidity
Institutional liquidity
100%
Volume
Neutral
65%
Trigger
Break above prior-day high at 241.10 after holding buy zone.
Invalidation
Exit if price closes below 224.93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224.93.
Fib 61.8
241.67
Fib Zone
239.92 - 243.43
Swing Low
235.45
Swing High
251.73
Save setup
Click chart to open full size</t>
        </is>
      </c>
      <c r="P203" t="inlineStr">
        <is>
          <t>agent_results/charts/market_lens_agent_20260608_140702_lng.png</t>
        </is>
      </c>
      <c r="Q203" t="inlineStr">
        <is>
          <t>Smart Universe: broad liquid US universe, diversified by sector | Sector: Energy - Strong (72/100); XLE sector regime is strong: 6.1% 3m return, -3.7% vs SPY | Setup: Swing Low + Volume Support Buy Zone; score 0.34; R/R 1.83x; price 239.60 | Market: NEUTRAL; Sector regime: STRONG; Net R/R: 1.68; Factors: Energy | Agent action: WATCH - WATCH: Technical setup detected, but weighted risk/reward 1.83 is below minimum 2.00. Market regime NEUTRAL; sector STRONG; net R/R 1.68.</t>
        </is>
      </c>
      <c r="R203" t="inlineStr">
        <is>
          <t>{"adjusted_cash_out": 0.0, "adjusted_position_size": 0, "adjusted_risk_amount": 0.0, "ask": 0.0, "bid": 0.0, "buy_zone_high": 238.96, "buy_zone_low": 233.35, "cash_available": 96983.3, "company_name": "Cheniere Energy, Inc.", "correlation_warning": false, "days_to_earnings": 43, "earnings_blackout": false, "earnings_date": "2026-08-06T00:00:00", "estimated_fees": 0.0, "estimated_slippage": 0.7188, "estimated_spread": 0.1917, "executable_entry": 239.6, "execution_liquidity_bucket": "mid_liquid", "factor_exposure_after": {"Energy": 3009.8}, "factor_exposure_before": {"Energy": 3009.8}, "factor_exposure_cap": 7000.0, "factor_exposure_limit_exceeded": false, "factor_tags": ["Energy"], "final_action": "WATCH", "gross_reward_1_per_share": 10.53, "gross_reward_2_per_share": 57.24, "gross_risk_per_share": 14.67, "gross_rr": 1.8322, "gross_rr_1": 0.7178, "gross_rr_2": 3.9018, "gross_rr_decision": 1.8322, "highest_correlation_ticker": "XOM", "highest_correlation_value": 0.5287, "initial_action": "WATCH", "market_cap": 49892203484.72,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240.0552, "net_reward_1_per_share": 9.7992, "net_reward_2_per_share": 56.5092, "net_risk_per_share": 15.5805, "net_rr": 1.6782, "net_rr_1": 0.6289, "net_rr_2": 3.6269, "net_stop_assumption": 224.4748, "net_target_1_assumption": 249.8545, "net_target_2_assumption": 296.5645, "normalized_atr_score": 100.0, "normalized_liquidity_score": 47.59, "normalized_momentum_score": 39.75, "normalized_quality_score": 57.16,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251.73, "price": 239.6, "prior_high_20": 251.73, "prior_high_63": 300.1945, "reason": "WATCH: Technical setup detected, but weighted risk/reward 1.83 is below minimum 2.00. Market regime NEUTRAL; sector STRONG; net R/R 1.68.",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0.34, "setup_type": "Swing Low + Volume Support Buy Zone", "sizing_adjustment_reason": "", "spread_source": "liquidity_fallback", "stock_score": 0.34, "stop_loss": 224.93, "target_1": 250.13, "target_1_atr_distance": 1.4933, "target_2": 296.84, "target_2_atr_distance": 8.1173, "target_feasibility_status": "OK", "theoretical_entry": 233.35, "ticker": "LNG", "timestamp": "2026-06-08T14:15:34", "warnings": []}</t>
        </is>
      </c>
    </row>
    <row r="204">
      <c r="A204" t="inlineStr">
        <is>
          <t>2026-06-08T14:15:34</t>
        </is>
      </c>
      <c r="B204" t="inlineStr">
        <is>
          <t>DLR</t>
        </is>
      </c>
      <c r="C204" t="inlineStr">
        <is>
          <t>Fib 61.8 Confluence Buy Zone</t>
        </is>
      </c>
      <c r="D204" t="n">
        <v>0.27</v>
      </c>
      <c r="E204" t="n">
        <v>186.4</v>
      </c>
      <c r="F204" t="n">
        <v>185.47</v>
      </c>
      <c r="G204" t="n">
        <v>187.47</v>
      </c>
      <c r="H204" t="n">
        <v>180.18</v>
      </c>
      <c r="I204" t="n">
        <v>186.56</v>
      </c>
      <c r="J204" t="n">
        <v>208.14</v>
      </c>
      <c r="K204" t="n">
        <v>1.24</v>
      </c>
      <c r="L204" t="inlineStr">
        <is>
          <t>Price at 61.8% fib retracement (186.47) with confluence at VWAP. Planned entry at zone low 185.47; executable entry 186.40, stop below fib 78.6% at 180.18.</t>
        </is>
      </c>
      <c r="M204" t="inlineStr">
        <is>
          <t>WATCH</t>
        </is>
      </c>
      <c r="N204" t="inlineStr">
        <is>
          <t>WATCH: Technical setup detected, but weighted risk/reward 1.24 is below minimum 2.00. Market regime NEUTRAL; sector STRONG; net R/R 1.07.</t>
        </is>
      </c>
      <c r="O204" t="inlineStr">
        <is>
          <t>DLR
Fib 61.8 Confluence Buy Zone
0.27
score
Price
186.40
R/R
1.24x
Grade
C
Quality
60%
Buy Zone
185.47 - 187.47
Stop
180.18
Targets
186.56 / 208.14
Watch only; needs confirmation
Mixed
Relative Strength
Leadership
100%
Trend Quality
Messy
0%
Liquidity
Institutional liquidity
100%
Volume
Distribution risk
45%
Trigger
Break above prior-day high at 188.85 after holding buy zone.
Invalidation
Exit if price closes below 180.18 or setup support fails.
Trend quality is not clean.
Recent volume shows distribution risk.
Market regime: Mixed.
Relative strength: Leadership.
Price at 61.8% fib retracement (186.47) with confluence at VWAP. Planned entry at zone low 185.47; executable entry 186.40, stop below fib 78.6% at 180.18.
Fib 61.8
186.47
Fib Zone
185.47 - 187.47
Swing Low
173.08
Swing High
208.14
Save setup
Click chart to open full size</t>
        </is>
      </c>
      <c r="P204" t="inlineStr">
        <is>
          <t>agent_results/charts/market_lens_agent_20260608_140702_dlr.png</t>
        </is>
      </c>
      <c r="Q204" t="inlineStr">
        <is>
          <t>Smart Universe: broad liquid US universe, diversified by sector | Sector: Real Estate - Strong (69/100); XLRE sector regime is strong: 4.5% 3m return, -5.3% vs SPY | Setup: Fib 61.8 Confluence Buy Zone; score 0.27; R/R 1.24x; price 186.40 | Market: NEUTRAL; Sector regime: STRONG; Net R/R: 1.07; Factors: Real Estate | Agent action: WATCH - WATCH: Technical setup detected, but weighted risk/reward 1.24 is below minimum 2.00. Market regime NEUTRAL; sector STRONG; net R/R 1.07.</t>
        </is>
      </c>
      <c r="R204" t="inlineStr">
        <is>
          <t>{"adjusted_cash_out": 0.0, "adjusted_position_size": 0, "adjusted_risk_amount": 0.0, "ask": 0.0, "bid": 0.0, "buy_zone_high": 187.47, "buy_zone_low": 185.47, "cash_available": 96983.3, "company_name": "Digital Realty", "correlation_warning": false, "days_to_earnings": 33, "earnings_blackout": false, "earnings_date": "2026-07-23T00:00:00", "estimated_fees": 0.0, "estimated_slippage": 0.5592, "estimated_spread": 0.1491, "executable_entry": 186.4, "execution_liquidity_bucket": "mid_liquid", "factor_exposure_after": {"Energy": 3009.8}, "factor_exposure_before": {"Energy": 3009.8}, "factor_exposure_cap": 7000.0, "factor_exposure_limit_exceeded": false, "factor_tags": ["Real Estate"], "final_action": "WATCH", "gross_reward_1_per_share": 0.16, "gross_reward_2_per_share": 21.74, "gross_risk_per_share": 6.22, "gross_rr": 1.24, "gross_rr_1": 0.0257, "gross_rr_2": 3.4952, "gross_rr_decision": 1.24, "highest_correlation_ticker": "XOM", "highest_correlation_value": -0.262, "initial_action": "WATCH", "market_cap": 65384580391.69,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"SUPPORTED_BY_20D_RESISTANCE", "minimum_net_rr_required": 2.2, "net_entry": 186.7542, "net_reward_1_per_share": 0.0, "net_reward_2_per_share": 21.1715, "net_risk_per_share": 6.9283, "net_rr": 1.0695, "net_rr_1": 0.0, "net_rr_2": 3.0558, "net_stop_assumption": 179.8258, "net_target_1_assumption": 186.3456, "net_target_2_assumption": 207.9256, "normalized_atr_score": 100.0, "normalized_liquidity_score": 39.85, "normalized_momentum_score": 53.88,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197.54, "price": 186.4, "prior_high_20": 197.54, "prior_high_63": 208.14, "reason": "WATCH: Technical setup detected, but weighted risk/reward 1.24 is below minimum 2.00. Market regime NEUTRAL; sector STRONG; net R/R 1.07.",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0.27, "setup_type": "Fib 61.8 Confluence Buy Zone", "sizing_adjustment_reason": "", "spread_source": "liquidity_fallback", "stock_score": 0.27, "stop_loss": 180.18, "target_1": 186.56, "target_1_atr_distance": 0.04, "target_2": 208.14, "target_2_atr_distance": 5.4284, "target_feasibility_status": "LOW_REWARD_DISTANCE", "theoretical_entry": 185.47, "ticker": "DLR", "timestamp": "2026-06-08T14:15:34", "warnings": ["Target 1 is close versus daily ATR."]}</t>
        </is>
      </c>
    </row>
    <row r="205">
      <c r="A205" t="inlineStr">
        <is>
          <t>2026-06-08T14:15:34</t>
        </is>
      </c>
      <c r="B205" t="inlineStr">
        <is>
          <t>OSCR</t>
        </is>
      </c>
      <c r="C205" t="inlineStr">
        <is>
          <t>No Trade</t>
        </is>
      </c>
      <c r="D205" t="n">
        <v>0</v>
      </c>
      <c r="E205" t="n">
        <v>26.36</v>
      </c>
      <c r="H205" t="n">
        <v>0</v>
      </c>
      <c r="K205" t="n">
        <v>0</v>
      </c>
      <c r="L205" t="inlineStr">
        <is>
          <t>No clean technical setup detected. Price in middle of value area or poor risk/reward.</t>
        </is>
      </c>
      <c r="M205" t="inlineStr">
        <is>
          <t>SKIP</t>
        </is>
      </c>
      <c r="N205" t="inlineStr">
        <is>
          <t>SKIP: No Trade result. Market regime NEUTRAL; sector NEUTRAL; net R/R 0.00.</t>
        </is>
      </c>
      <c r="O205" t="inlineStr">
        <is>
          <t>OSCR
No Trade
0.00
score
Price
26.36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16.38
Fib Zone
16.00 - 16.75
Swing Low
10.69
Swing High
25.58
Click chart to open full size</t>
        </is>
      </c>
      <c r="P205" t="inlineStr">
        <is>
          <t>agent_results/charts/market_lens_agent_20260608_140702_oscr.png</t>
        </is>
      </c>
      <c r="Q205" t="inlineStr">
        <is>
          <t>Smart Universe: broad liquid US universe, diversified by sector | Sector: Healthcare - Neutral (67/100); XLV sector regime is neutral: 0.8% 3m return, -9.0% vs SPY | Setup: No Trade; score 0.00; R/R 0.00x; price 26.36 | Market: NEUTRAL; Sector regime: NEUTRAL; Net R/R: 0.00; Factors: Defensive, Healthcare | Agent action: SKIP - SKIP: No Trade result. Market regime NEUTRAL; sector NEUTRAL; net R/R 0.00.</t>
        </is>
      </c>
      <c r="R205" t="inlineStr">
        <is>
          <t>{"adjusted_cash_out": 0.0, "adjusted_position_size": 0, "adjusted_risk_amount": 0.0, "ask": 0.0, "bid": 0.0, "buy_zone_high": null, "buy_zone_low": null, "cash_available": 96983.3, "company_name": "Oscar Health Inc.", "correlation_warning": false, "days_to_earnings": -23, "earnings_blackout": false, "earnings_date": "2026-05-06T00:00:00", "estimated_fees": 0.0, "estimated_slippage": 0.0791, "estimated_spread": 0.0211, "executable_entry": 26.36,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26.36, "gross_rr": 0.0, "gross_rr_1": 0.0, "gross_rr_2": 0.0, "gross_rr_decision": 0.0, "highest_correlation_ticker": "XOM", "highest_correlation_value": -0.126, "initial_action": "SKIP", "market_cap": 7956400085.98,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26.4101, "net_reward_1_per_share": 0.0, "net_reward_2_per_share": 0.0, "net_risk_per_share": 26.4602, "net_rr": 0.0, "net_rr_1": 0.0, "net_rr_2": 0.0, "net_stop_assumption": -0.0501, "net_target_1_assumption": -0.0303, "net_target_2_assumption": -0.0303, "normalized_atr_score": 100.0, "normalized_liquidity_score": 50.53, "normalized_momentum_score": 100, "normalized_quality_score": 85.16,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26.36, "ticker": "OSCR", "timestamp": "2026-06-08T14:15:34", "warnings": ["Target ATR feasibility unavailable."]}</t>
        </is>
      </c>
    </row>
    <row r="206">
      <c r="A206" t="inlineStr">
        <is>
          <t>2026-06-08T14:15:34</t>
        </is>
      </c>
      <c r="B206" t="inlineStr">
        <is>
          <t>MPC</t>
        </is>
      </c>
      <c r="C206" t="inlineStr">
        <is>
          <t>No Trade</t>
        </is>
      </c>
      <c r="D206" t="n">
        <v>0</v>
      </c>
      <c r="E206" t="n">
        <v>269.21</v>
      </c>
      <c r="H206" t="n">
        <v>0</v>
      </c>
      <c r="K206" t="n">
        <v>0</v>
      </c>
      <c r="L206" t="inlineStr">
        <is>
          <t>No clean technical setup detected. Price in middle of value area or poor risk/reward.</t>
        </is>
      </c>
      <c r="M206" t="inlineStr">
        <is>
          <t>SKIP</t>
        </is>
      </c>
      <c r="N206" t="inlineStr">
        <is>
          <t>SKIP: No Trade result. Market regime NEUTRAL; sector STRONG; net R/R 0.00.</t>
        </is>
      </c>
      <c r="O206" t="inlineStr">
        <is>
          <t>MPC
No Trade
0.00
score
Price
269.21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245.05
Fib Zone
242.87 - 247.23
Swing Low
233.25
Swing High
264.14
Click chart to open full size</t>
        </is>
      </c>
      <c r="P206" t="inlineStr">
        <is>
          <t>agent_results/charts/market_lens_agent_20260608_140702_mpc.png</t>
        </is>
      </c>
      <c r="Q206" t="inlineStr">
        <is>
          <t>Smart Universe: broad liquid US universe, diversified by sector | Sector: Energy - Strong (72/100); XLE sector regime is strong: 6.1% 3m return, -3.7% vs SPY | Setup: No Trade; score 0.00; R/R 0.00x; price 269.21 | Market: NEUTRAL; Sector regime: STRONG; Net R/R: 0.00; Factors: Energy | Agent action: SKIP - SKIP: No Trade result. Market regime NEUTRAL; sector STRONG; net R/R 0.00.</t>
        </is>
      </c>
      <c r="R206" t="inlineStr">
        <is>
          <t>{"adjusted_cash_out": 0.0, "adjusted_position_size": 0, "adjusted_risk_amount": 0.0, "ask": 0.0, "bid": 0.0, "buy_zone_high": null, "buy_zone_low": null, "cash_available": 96983.3, "company_name": "Marathon Petroleum Corporation", "correlation_warning": false, "days_to_earnings": 41, "earnings_blackout": false, "earnings_date": "2026-08-04T00:00:00", "estimated_fees": 0.0, "estimated_slippage": 0.3769, "estimated_spread": 0.0808, "executable_entry": 269.21,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269.21, "gross_rr": 0.0, "gross_rr_1": 0.0, "gross_rr_2": 0.0, "gross_rr_decision": 0.0, "highest_correlation_ticker": "XOM", "highest_correlation_value": 0.6176, "initial_action": "SKIP", "market_cap": 77950003762.29,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269.4388, "net_reward_1_per_share": 0.0, "net_reward_2_per_share": 0.0, "net_risk_per_share": 269.6677, "net_rr": 0.0, "net_rr_1": 0.0, "net_rr_2": 0.0, "net_stop_assumption": -0.2288, "net_target_1_assumption": -0.1346, "net_target_2_assumption": -0.1346, "normalized_atr_score": 100.0, "normalized_liquidity_score": 51.63, "normalized_momentum_score": 100, "normalized_quality_score": 85.49,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269.21,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269.21, "ticker": "MPC", "timestamp": "2026-06-08T14:15:34", "warnings": ["Target ATR feasibility unavailable."]}</t>
        </is>
      </c>
    </row>
    <row r="207">
      <c r="A207" t="inlineStr">
        <is>
          <t>2026-06-08T14:15:34</t>
        </is>
      </c>
      <c r="B207" t="inlineStr">
        <is>
          <t>HST</t>
        </is>
      </c>
      <c r="C207" t="inlineStr">
        <is>
          <t>No Trade</t>
        </is>
      </c>
      <c r="D207" t="n">
        <v>0</v>
      </c>
      <c r="E207" t="n">
        <v>24.69</v>
      </c>
      <c r="H207" t="n">
        <v>0</v>
      </c>
      <c r="K207" t="n">
        <v>0</v>
      </c>
      <c r="L207" t="inlineStr">
        <is>
          <t>No clean technical setup detected. Price in middle of value area or poor risk/reward.</t>
        </is>
      </c>
      <c r="M207" t="inlineStr">
        <is>
          <t>SKIP</t>
        </is>
      </c>
      <c r="N207" t="inlineStr">
        <is>
          <t>SKIP: No Trade result. Market regime NEUTRAL; sector STRONG; net R/R 0.00.</t>
        </is>
      </c>
      <c r="O207" t="inlineStr">
        <is>
          <t>HST
No Trade
0.00
score
Price
24.69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21.35
Fib Zone
21.23 - 21.48
Swing Low
20.71
Swing High
22.39
Click chart to open full size</t>
        </is>
      </c>
      <c r="P207" t="inlineStr">
        <is>
          <t>agent_results/charts/market_lens_agent_20260608_140702_hst.png</t>
        </is>
      </c>
      <c r="Q207" t="inlineStr">
        <is>
          <t>Smart Universe: broad liquid US universe, diversified by sector | Sector: Real Estate - Strong (69/100); XLRE sector regime is strong: 4.5% 3m return, -5.3% vs SPY | Setup: No Trade; score 0.00; R/R 0.00x; price 24.69 | Market: NEUTRAL; Sector regime: STRONG; Net R/R: 0.00; Factors: Real Estate | Agent action: SKIP - SKIP: No Trade result. Market regime NEUTRAL; sector STRONG; net R/R 0.00.</t>
        </is>
      </c>
      <c r="R207" t="inlineStr">
        <is>
          <t>{"adjusted_cash_out": 0.0, "adjusted_position_size": 0, "adjusted_risk_amount": 0.0, "ask": 0.0, "bid": 0.0, "buy_zone_high": null, "buy_zone_low": null, "cash_available": 96983.3, "company_name": "Host Hotels &amp; Resorts", "correlation_warning": false, "days_to_earnings": 37, "earnings_blackout": false, "earnings_date": "2026-07-29T00:00:00", "estimated_fees": 0.0, "estimated_slippage": 0.0741, "estimated_spread": 0.0198, "executable_entry": 24.69,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24.69, "gross_rr": 0.0, "gross_rr_1": 0.0, "gross_rr_2": 0.0, "gross_rr_decision": 0.0, "highest_correlation_ticker": "XOM", "highest_correlation_value": -0.3501, "initial_action": "SKIP", "market_cap": 16892548092.89,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24.7369, "net_reward_1_per_share": 0.0, "net_reward_2_per_share": 0.0, "net_risk_per_share": 24.7838, "net_rr": 0.0, "net_rr_1": 0.0, "net_rr_2": 0.0, "net_stop_assumption": -0.0469, "net_target_1_assumption": -0.0284, "net_target_2_assumption": -0.0284, "normalized_atr_score": 100.0, "normalized_liquidity_score": 25.95, "normalized_momentum_score": 100, "normalized_quality_score": 77.78,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24.69,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24.69, "ticker": "HST", "timestamp": "2026-06-08T14:15:34", "warnings": ["Target ATR feasibility unavailable."]}</t>
        </is>
      </c>
    </row>
    <row r="208">
      <c r="A208" t="inlineStr">
        <is>
          <t>2026-06-08T14:15:34</t>
        </is>
      </c>
      <c r="B208" t="inlineStr">
        <is>
          <t>VLO</t>
        </is>
      </c>
      <c r="C208" t="inlineStr">
        <is>
          <t>No Trade</t>
        </is>
      </c>
      <c r="D208" t="n">
        <v>0</v>
      </c>
      <c r="E208" t="n">
        <v>261.85</v>
      </c>
      <c r="H208" t="n">
        <v>0</v>
      </c>
      <c r="K208" t="n">
        <v>0</v>
      </c>
      <c r="L208" t="inlineStr">
        <is>
          <t>No clean technical setup detected. Price in middle of value area or poor risk/reward.</t>
        </is>
      </c>
      <c r="M208" t="inlineStr">
        <is>
          <t>SKIP</t>
        </is>
      </c>
      <c r="N208" t="inlineStr">
        <is>
          <t>SKIP: No Trade result. Market regime NEUTRAL; sector STRONG; net R/R 0.00.</t>
        </is>
      </c>
      <c r="O208" t="inlineStr">
        <is>
          <t>VLO
No Trade
0.00
score
Price
261.85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240.05
Fib Zone
237.86 - 242.24
Swing Low
226.18
Swing High
262.50
Click chart to open full size</t>
        </is>
      </c>
      <c r="P208" t="inlineStr">
        <is>
          <t>agent_results/charts/market_lens_agent_20260608_140702_vlo.png</t>
        </is>
      </c>
      <c r="Q208" t="inlineStr">
        <is>
          <t>Smart Universe: broad liquid US universe, diversified by sector | Sector: Energy - Strong (72/100); XLE sector regime is strong: 6.1% 3m return, -3.7% vs SPY | Setup: No Trade; score 0.00; R/R 0.00x; price 261.85 | Market: NEUTRAL; Sector regime: STRONG; Net R/R: 0.00; Factors: Energy | Agent action: SKIP - SKIP: No Trade result. Market regime NEUTRAL; sector STRONG; net R/R 0.00.</t>
        </is>
      </c>
      <c r="R208" t="inlineStr">
        <is>
          <t>{"adjusted_cash_out": 0.0, "adjusted_position_size": 0, "adjusted_risk_amount": 0.0, "ask": 0.0, "bid": 0.0, "buy_zone_high": null, "buy_zone_low": null, "cash_available": 96983.3, "company_name": "Valero Energy Corporation", "correlation_warning": false, "days_to_earnings": 38, "earnings_blackout": false, "earnings_date": "2026-07-30T00:00:00", "estimated_fees": 0.0, "estimated_slippage": 0.3666, "estimated_spread": 0.0786, "executable_entry": 261.85, "execution_liquidity_bucket": "large_liquid", "factor_exposure_after": {"Energy": 3009.8}, "factor_exposure_before": {"Energy": 3009.8}, "factor_exposure_cap": 7000.0, "factor_exposure_limit_exceeded": false, "factor_tags": ["Energy"], "final_action": "SKIP", "gross_reward_1_per_share": 0.0, "gross_reward_2_per_share": 0.0, "gross_risk_per_share": 261.85, "gross_rr": 0.0, "gross_rr_1": 0.0, "gross_rr_2": 0.0, "gross_rr_decision": 0.0, "highest_correlation_ticker": "XOM", "highest_correlation_value": 0.6292, "initial_action": "SKIP", "market_cap": 77019912558.8,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262.0726, "net_reward_1_per_share": 0.0, "net_reward_2_per_share": 0.0, "net_risk_per_share": 262.2951, "net_rr": 0.0, "net_rr_1": 0.0, "net_rr_2": 0.0, "net_stop_assumption": -0.2226, "net_target_1_assumption": -0.1309, "net_target_2_assumption": -0.1309, "normalized_atr_score": 100.0, "normalized_liquidity_score": 55.64, "normalized_momentum_score": 100, "normalized_quality_score": 86.69,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261.85,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261.85, "ticker": "VLO", "timestamp": "2026-06-08T14:15:34", "warnings": ["Target ATR feasibility unavailable."]}</t>
        </is>
      </c>
    </row>
    <row r="209">
      <c r="A209" t="inlineStr">
        <is>
          <t>2026-06-08T14:15:34</t>
        </is>
      </c>
      <c r="B209" t="inlineStr">
        <is>
          <t>RPRX</t>
        </is>
      </c>
      <c r="C209" t="inlineStr">
        <is>
          <t>No Trade</t>
        </is>
      </c>
      <c r="D209" t="n">
        <v>0</v>
      </c>
      <c r="E209" t="n">
        <v>55.76</v>
      </c>
      <c r="H209" t="n">
        <v>0</v>
      </c>
      <c r="K209" t="n">
        <v>0</v>
      </c>
      <c r="L209" t="inlineStr">
        <is>
          <t>No clean technical setup detected. Price in middle of value area or poor risk/reward.</t>
        </is>
      </c>
      <c r="M209" t="inlineStr">
        <is>
          <t>SKIP</t>
        </is>
      </c>
      <c r="N209" t="inlineStr">
        <is>
          <t>SKIP: No Trade result. Market regime NEUTRAL; sector NEUTRAL; net R/R 0.00.</t>
        </is>
      </c>
      <c r="O209" t="inlineStr">
        <is>
          <t>RPRX
No Trade
0.00
score
Price
55.76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51.64
Fib Zone
51.35 - 51.92
Swing Low
48.89
Swing High
56.07
Click chart to open full size</t>
        </is>
      </c>
      <c r="P209" t="inlineStr">
        <is>
          <t>agent_results/charts/market_lens_agent_20260608_140702_rprx.png</t>
        </is>
      </c>
      <c r="Q209" t="inlineStr">
        <is>
          <t>Smart Universe: broad liquid US universe, diversified by sector | Sector: Healthcare - Neutral (67/100); XLV sector regime is neutral: 0.8% 3m return, -9.0% vs SPY | Setup: No Trade; score 0.00; R/R 0.00x; price 55.76 | Market: NEUTRAL; Sector regime: NEUTRAL; Net R/R: 0.00; Factors: Defensive, Healthcare | Agent action: SKIP - SKIP: No Trade result. Market regime NEUTRAL; sector NEUTRAL; net R/R 0.00.</t>
        </is>
      </c>
      <c r="R209" t="inlineStr">
        <is>
          <t>{"adjusted_cash_out": 0.0, "adjusted_position_size": 0, "adjusted_risk_amount": 0.0, "ask": 0.0, "bid": 0.0, "buy_zone_high": null, "buy_zone_low": null, "cash_available": 96983.3, "company_name": "Royalty Pharma plc", "correlation_warning": false, "days_to_earnings": 42, "earnings_blackout": false, "earnings_date": "2026-08-05T00:00:00", "estimated_fees": 0.0, "estimated_slippage": 0.1673, "estimated_spread": 0.0446, "executable_entry": 55.76, "execution_liquidity_bucket": "mid_liquid", "factor_exposure_after": {"Energy": 3009.8}, "factor_exposure_before": {"Energy": 3009.8}, "factor_exposure_cap": 7000.0, "factor_exposure_limit_exceeded": false, "factor_tags": ["Defensive", "Healthcare"], "final_action": "SKIP", "gross_reward_1_per_share": 0.0, "gross_reward_2_per_share": 0.0, "gross_risk_per_share": 55.76, "gross_rr": 0.0, "gross_rr_1": 0.0, "gross_rr_2": 0.0, "gross_rr_decision": 0.0, "highest_correlation_ticker": "XOM", "highest_correlation_value": -0.2089, "initial_action": "SKIP", "market_cap": 24632741824.0,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55.8659, "net_reward_1_per_share": 0.0, "net_reward_2_per_share": 0.0, "net_risk_per_share": 55.9719, "net_rr": 0.0, "net_rr_1": 0.0, "net_rr_2": 0.0, "net_stop_assumption": -0.1059, "net_target_1_assumption": -0.0641, "net_target_2_assumption": -0.0641, "normalized_atr_score": 100.0, "normalized_liquidity_score": 30.53, "normalized_momentum_score": 100, "normalized_quality_score": 79.16,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55.76,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55.76, "ticker": "RPRX", "timestamp": "2026-06-08T14:15:34", "warnings": ["Target ATR feasibility unavailable."]}</t>
        </is>
      </c>
    </row>
    <row r="210">
      <c r="A210" t="inlineStr">
        <is>
          <t>2026-06-08T14:15:34</t>
        </is>
      </c>
      <c r="B210" t="inlineStr">
        <is>
          <t>ROK</t>
        </is>
      </c>
      <c r="C210" t="inlineStr">
        <is>
          <t>No Trade</t>
        </is>
      </c>
      <c r="D210" t="n">
        <v>0</v>
      </c>
      <c r="E210" t="n">
        <v>451.37</v>
      </c>
      <c r="H210" t="n">
        <v>0</v>
      </c>
      <c r="K210" t="n">
        <v>0</v>
      </c>
      <c r="L210" t="inlineStr">
        <is>
          <t>No clean technical setup detected. Price in middle of value area or poor risk/reward.</t>
        </is>
      </c>
      <c r="M210" t="inlineStr">
        <is>
          <t>SKIP</t>
        </is>
      </c>
      <c r="N210" t="inlineStr">
        <is>
          <t>SKIP: No Trade result. Market regime NEUTRAL; sector NEUTRAL; net R/R 0.00.</t>
        </is>
      </c>
      <c r="O210" t="inlineStr">
        <is>
          <t>ROK
No Trade
0.00
score
Price
451.37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420.67
Fib Zone
417.80 - 423.54
Swing Low
395.08
Swing High
462.06
Click chart to open full size</t>
        </is>
      </c>
      <c r="P210" t="inlineStr">
        <is>
          <t>agent_results/charts/market_lens_agent_20260608_140702_rok.png</t>
        </is>
      </c>
      <c r="Q210" t="inlineStr">
        <is>
          <t>Smart Universe: broad liquid US universe, diversified by sector | Sector: Industrials - Neutral (67/100); XLI sector regime is neutral: 3.0% 3m return, -6.8% vs SPY | Setup: No Trade; score 0.00; R/R 0.00x; price 451.37 | Market: NEUTRAL; Sector regime: NEUTRAL; Net R/R: 0.00; Factors: Industrials | Agent action: SKIP - SKIP: No Trade result. Market regime NEUTRAL; sector NEUTRAL; net R/R 0.00.</t>
        </is>
      </c>
      <c r="R210" t="inlineStr">
        <is>
          <t>{"adjusted_cash_out": 0.0, "adjusted_position_size": 0, "adjusted_risk_amount": 0.0, "ask": 0.0, "bid": 0.0, "buy_zone_high": null, "buy_zone_low": null, "cash_available": 96983.3, "company_name": "Rockwell Automation", "correlation_warning": false, "days_to_earnings": 43, "earnings_blackout": false, "earnings_date": "2026-08-06T00:00:00", "estimated_fees": 0.0, "estimated_slippage": 1.3541, "estimated_spread": 0.3611, "executable_entry": 451.37,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451.37, "gross_rr": 0.0, "gross_rr_1": 0.0, "gross_rr_2": 0.0, "gross_rr_decision": 0.0, "highest_correlation_ticker": "XOM", "highest_correlation_value": -0.1842, "initial_action": "SKIP", "market_cap": 50231289357.42,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452.2276, "net_reward_1_per_share": 0.0, "net_reward_2_per_share": 0.0, "net_risk_per_share": 453.0852, "net_rr": 0.0, "net_rr_1": 0.0, "net_rr_2": 0.0, "net_stop_assumption": -0.8576, "net_target_1_assumption": -0.5191, "net_target_2_assumption": -0.5191, "normalized_atr_score": 100.0, "normalized_liquidity_score": 36.22, "normalized_momentum_score": 100, "normalized_quality_score": 80.87,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451.37,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451.37, "ticker": "ROK", "timestamp": "2026-06-08T14:15:34", "warnings": ["Target ATR feasibility unavailable."]}</t>
        </is>
      </c>
    </row>
    <row r="211">
      <c r="A211" t="inlineStr">
        <is>
          <t>2026-06-08T14:15:34</t>
        </is>
      </c>
      <c r="B211" t="inlineStr">
        <is>
          <t>TROW</t>
        </is>
      </c>
      <c r="C211" t="inlineStr">
        <is>
          <t>No Trade</t>
        </is>
      </c>
      <c r="D211" t="n">
        <v>0</v>
      </c>
      <c r="E211" t="n">
        <v>105.99</v>
      </c>
      <c r="H211" t="n">
        <v>0</v>
      </c>
      <c r="K211" t="n">
        <v>0</v>
      </c>
      <c r="L211" t="inlineStr">
        <is>
          <t>No clean technical setup detected. Price in middle of value area or poor risk/reward.</t>
        </is>
      </c>
      <c r="M211" t="inlineStr">
        <is>
          <t>SKIP</t>
        </is>
      </c>
      <c r="N211" t="inlineStr">
        <is>
          <t>SKIP: No Trade result. Market regime NEUTRAL; sector STRONG; net R/R 0.00.</t>
        </is>
      </c>
      <c r="O211" t="inlineStr">
        <is>
          <t>TROW
No Trade
0.00
score
Price
105.99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93.51
Fib Zone
92.98 - 94.05
Swing Low
85.22
Swing High
106.93
Click chart to open full size</t>
        </is>
      </c>
      <c r="P211" t="inlineStr">
        <is>
          <t>agent_results/charts/market_lens_agent_20260608_140702_trow.png</t>
        </is>
      </c>
      <c r="Q211" t="inlineStr">
        <is>
          <t>Smart Universe: broad liquid US universe, diversified by sector | Sector: Financials - Strong (70/100); XLF sector regime is strong: 5.0% 3m return, -4.7% vs SPY | Setup: No Trade; score 0.00; R/R 0.00x; price 105.99 | Market: NEUTRAL; Sector regime: STRONG; Net R/R: 0.00; Factors: Financials | Agent action: SKIP - SKIP: No Trade result. Market regime NEUTRAL; sector STRONG; net R/R 0.00.</t>
        </is>
      </c>
      <c r="R211" t="inlineStr">
        <is>
          <t>{"adjusted_cash_out": 0.0, "adjusted_position_size": 0, "adjusted_risk_amount": 0.0, "ask": 0.0, "bid": 0.0, "buy_zone_high": null, "buy_zone_low": null, "cash_available": 96983.3, "company_name": "T. Rowe Price", "correlation_warning": false, "days_to_earnings": 39, "earnings_blackout": false, "earnings_date": "2026-07-31T00:00:00", "estimated_fees": 0.0, "estimated_slippage": 0.318, "estimated_spread": 0.0848, "executable_entry": 105.99,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105.99, "gross_rr": 0.0, "gross_rr_1": 0.0, "gross_rr_2": 0.0, "gross_rr_decision": 0.0, "highest_correlation_ticker": "XOM", "highest_correlation_value": -0.2817, "initial_action": "SKIP", "market_cap": 22690833902.34,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106.1914, "net_reward_1_per_share": 0.0, "net_reward_2_per_share": 0.0, "net_risk_per_share": 106.3928, "net_rr": 0.0, "net_rr_1": 0.0, "net_rr_2": 0.0, "net_stop_assumption": -0.2014, "net_target_1_assumption": -0.1219, "net_target_2_assumption": -0.1219, "normalized_atr_score": 100.0, "normalized_liquidity_score": 26.9, "normalized_momentum_score": 100, "normalized_quality_score": 78.07,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105.99,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105.99, "ticker": "TROW", "timestamp": "2026-06-08T14:15:34", "warnings": ["Target ATR feasibility unavailable."]}</t>
        </is>
      </c>
    </row>
    <row r="212">
      <c r="A212" t="inlineStr">
        <is>
          <t>2026-06-08T14:15:34</t>
        </is>
      </c>
      <c r="B212" t="inlineStr">
        <is>
          <t>EOG</t>
        </is>
      </c>
      <c r="C212" t="inlineStr">
        <is>
          <t>No Trade</t>
        </is>
      </c>
      <c r="D212" t="n">
        <v>0</v>
      </c>
      <c r="E212" t="n">
        <v>142.17</v>
      </c>
      <c r="H212" t="n">
        <v>0</v>
      </c>
      <c r="K212" t="n">
        <v>0</v>
      </c>
      <c r="L212" t="inlineStr">
        <is>
          <t>No clean technical setup detected. Price in middle of value area or poor risk/reward.</t>
        </is>
      </c>
      <c r="M212" t="inlineStr">
        <is>
          <t>SKIP</t>
        </is>
      </c>
      <c r="N212" t="inlineStr">
        <is>
          <t>SKIP: No Trade result. Market regime NEUTRAL; sector STRONG; net R/R 0.00.</t>
        </is>
      </c>
      <c r="O212" t="inlineStr">
        <is>
          <t>EOG
No Trade
0.00
score
Price
142.17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135.27
Fib Zone
134.33 - 136.22
Swing Low
128.83
Swing High
145.70
Click chart to open full size</t>
        </is>
      </c>
      <c r="P212" t="inlineStr">
        <is>
          <t>agent_results/charts/market_lens_agent_20260608_140702_eog.png</t>
        </is>
      </c>
      <c r="Q212" t="inlineStr">
        <is>
          <t>Smart Universe: broad liquid US universe, diversified by sector | Sector: Energy - Strong (72/100); XLE sector regime is strong: 6.1% 3m return, -3.7% vs SPY | Setup: No Trade; score 0.00; R/R 0.00x; price 142.17 | Market: NEUTRAL; Sector regime: STRONG; Net R/R: 0.00; Factors: Energy | Agent action: SKIP - SKIP: No Trade result. Market regime NEUTRAL; sector STRONG; net R/R 0.00.</t>
        </is>
      </c>
      <c r="R212" t="inlineStr">
        <is>
          <t>{"adjusted_cash_out": 0.0, "adjusted_position_size": 0, "adjusted_risk_amount": 0.0, "ask": 0.0, "bid": 0.0, "buy_zone_high": null, "buy_zone_low": null, "cash_available": 96983.3, "company_name": "EOG Resources, Inc.", "correlation_warning": false, "days_to_earnings": -24, "earnings_blackout": false, "earnings_date": "2026-05-05T00:00:00", "estimated_fees": 0.0, "estimated_slippage": 0.4265, "estimated_spread": 0.1137, "executable_entry": 142.17,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142.17, "gross_rr": 0.0, "gross_rr_1": 0.0, "gross_rr_2": 0.0, "gross_rr_decision": 0.0, "highest_correlation_ticker": "XOM", "highest_correlation_value": 0.788, "initial_action": "SKIP", "market_cap": 75276391120.17,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142.4401, "net_reward_1_per_share": 0.0, "net_reward_2_per_share": 0.0, "net_risk_per_share": 142.7102, "net_rr": 0.0, "net_rr_1": 0.0, "net_rr_2": 0.0, "net_stop_assumption": -0.2701, "net_target_1_assumption": -0.1635, "net_target_2_assumption": -0.1635, "normalized_atr_score": 100.0, "normalized_liquidity_score": 43.55, "normalized_momentum_score": 100, "normalized_quality_score": 83.06,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142.17,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142.17, "ticker": "EOG", "timestamp": "2026-06-08T14:15:34", "warnings": ["Target ATR feasibility unavailable."]}</t>
        </is>
      </c>
    </row>
    <row r="213">
      <c r="A213" t="inlineStr">
        <is>
          <t>2026-06-08T14:15:34</t>
        </is>
      </c>
      <c r="B213" t="inlineStr">
        <is>
          <t>DOC</t>
        </is>
      </c>
      <c r="C213" t="inlineStr">
        <is>
          <t>No Trade</t>
        </is>
      </c>
      <c r="D213" t="n">
        <v>0</v>
      </c>
      <c r="E213" t="n">
        <v>19.83</v>
      </c>
      <c r="H213" t="n">
        <v>0</v>
      </c>
      <c r="K213" t="n">
        <v>0</v>
      </c>
      <c r="L213" t="inlineStr">
        <is>
          <t>No clean technical setup detected. Price in middle of value area or poor risk/reward.</t>
        </is>
      </c>
      <c r="M213" t="inlineStr">
        <is>
          <t>SKIP</t>
        </is>
      </c>
      <c r="N213" t="inlineStr">
        <is>
          <t>SKIP: No Trade result. Market regime NEUTRAL; sector STRONG; net R/R 0.00.</t>
        </is>
      </c>
      <c r="O213" t="inlineStr">
        <is>
          <t>DOC
No Trade
0.00
score
Price
19.83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19.58
Fib Zone
19.46 - 19.70
Swing Low
19.15
Swing High
20.27
Click chart to open full size</t>
        </is>
      </c>
      <c r="P213" t="inlineStr">
        <is>
          <t>agent_results/charts/market_lens_agent_20260608_140702_doc.png</t>
        </is>
      </c>
      <c r="Q213" t="inlineStr">
        <is>
          <t>Smart Universe: broad liquid US universe, diversified by sector | Sector: Real Estate - Strong (69/100); XLRE sector regime is strong: 4.5% 3m return, -5.3% vs SPY | Setup: No Trade; score 0.00; R/R 0.00x; price 19.83 | Market: NEUTRAL; Sector regime: STRONG; Net R/R: 0.00; Factors: Real Estate | Agent action: SKIP - SKIP: No Trade result. Market regime NEUTRAL; sector STRONG; net R/R 0.00.</t>
        </is>
      </c>
      <c r="R213" t="inlineStr">
        <is>
          <t>{"adjusted_cash_out": 0.0, "adjusted_position_size": 0, "adjusted_risk_amount": 0.0, "ask": 0.0, "bid": 0.0, "buy_zone_high": null, "buy_zone_low": null, "cash_available": 96983.3, "company_name": "Healthpeak Properties", "correlation_warning": false, "days_to_earnings": 33, "earnings_blackout": false, "earnings_date": "2026-07-23T00:00:00", "estimated_fees": 0.0, "estimated_slippage": 0.0595, "estimated_spread": 0.0159, "executable_entry": 19.83,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19.83, "gross_rr": 0.0, "gross_rr_1": 0.0, "gross_rr_2": 0.0, "gross_rr_decision": 0.0, "highest_correlation_ticker": "XOM", "highest_correlation_value": -0.2628, "initial_action": "SKIP", "market_cap": 13671192638.06,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19.8677, "net_reward_1_per_share": 0.0, "net_reward_2_per_share": 0.0, "net_risk_per_share": 19.9054, "net_rr": 0.0, "net_rr_1": 0.0, "net_rr_2": 0.0, "net_stop_assumption": -0.0377, "net_target_1_assumption": -0.0228, "net_target_2_assumption": -0.0228, "normalized_atr_score": 100.0, "normalized_liquidity_score": 26.11, "normalized_momentum_score": 100, "normalized_quality_score": 77.83,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19.83,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19.83, "ticker": "DOC", "timestamp": "2026-06-08T14:15:34", "warnings": ["Target ATR feasibility unavailable."]}</t>
        </is>
      </c>
    </row>
    <row r="214">
      <c r="A214" t="inlineStr">
        <is>
          <t>2026-06-08T14:15:34</t>
        </is>
      </c>
      <c r="B214" t="inlineStr">
        <is>
          <t>EQR</t>
        </is>
      </c>
      <c r="C214" t="inlineStr">
        <is>
          <t>No Trade</t>
        </is>
      </c>
      <c r="D214" t="n">
        <v>0</v>
      </c>
      <c r="E214" t="n">
        <v>68.2</v>
      </c>
      <c r="H214" t="n">
        <v>0</v>
      </c>
      <c r="K214" t="n">
        <v>0</v>
      </c>
      <c r="L214" t="inlineStr">
        <is>
          <t>No clean technical setup detected. Price in middle of value area or poor risk/reward.</t>
        </is>
      </c>
      <c r="M214" t="inlineStr">
        <is>
          <t>SKIP</t>
        </is>
      </c>
      <c r="N214" t="inlineStr">
        <is>
          <t>SKIP: No Trade result. Market regime NEUTRAL; sector STRONG; net R/R 0.00.</t>
        </is>
      </c>
      <c r="O214" t="inlineStr">
        <is>
          <t>EQR
No Trade
0.00
score
Price
68.20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65.26
Fib Zone
64.96 - 65.57
Swing Low
63.87
Swing High
67.52
Click chart to open full size</t>
        </is>
      </c>
      <c r="P214" t="inlineStr">
        <is>
          <t>agent_results/charts/market_lens_agent_20260608_140702_eqr.png</t>
        </is>
      </c>
      <c r="Q214" t="inlineStr">
        <is>
          <t>Smart Universe: broad liquid US universe, diversified by sector | Sector: Real Estate - Strong (69/100); XLRE sector regime is strong: 4.5% 3m return, -5.3% vs SPY | Setup: No Trade; score 0.00; R/R 0.00x; price 68.20 | Market: NEUTRAL; Sector regime: STRONG; Net R/R: 0.00; Factors: Real Estate | Agent action: SKIP - SKIP: No Trade result. Market regime NEUTRAL; sector STRONG; net R/R 0.00.</t>
        </is>
      </c>
      <c r="R214" t="inlineStr">
        <is>
          <t>{"adjusted_cash_out": 0.0, "adjusted_position_size": 0, "adjusted_risk_amount": 0.0, "ask": 0.0, "bid": 0.0, "buy_zone_high": null, "buy_zone_low": null, "cash_available": 96983.3, "company_name": "Equity Residential", "correlation_warning": false, "days_to_earnings": -29, "earnings_blackout": false, "earnings_date": "2026-04-28T00:00:00", "estimated_fees": 0.0, "estimated_slippage": 0.2046, "estimated_spread": 0.0546, "executable_entry": 68.2,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68.2, "gross_rr": 0.0, "gross_rr_1": 0.0, "gross_rr_2": 0.0, "gross_rr_decision": 0.0, "highest_correlation_ticker": "XOM", "highest_correlation_value": 0.0316, "initial_action": "SKIP", "market_cap": 25517896434.63,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68.3296, "net_reward_1_per_share": 0.0, "net_reward_2_per_share": 0.0, "net_risk_per_share": 68.4592, "net_rr": 0.0, "net_rr_1": 0.0, "net_rr_2": 0.0, "net_stop_assumption": -0.1296, "net_target_1_assumption": -0.0784, "net_target_2_assumption": -0.0784, "normalized_atr_score": 100.0, "normalized_liquidity_score": 27.27, "normalized_momentum_score": 95.0, "normalized_quality_score": 75.93,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68.2,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68.2, "ticker": "EQR", "timestamp": "2026-06-08T14:15:34", "warnings": ["Target ATR feasibility unavailable."]}</t>
        </is>
      </c>
    </row>
    <row r="215">
      <c r="A215" t="inlineStr">
        <is>
          <t>2026-06-08T14:15:34</t>
        </is>
      </c>
      <c r="B215" t="inlineStr">
        <is>
          <t>CPT</t>
        </is>
      </c>
      <c r="C215" t="inlineStr">
        <is>
          <t>No Trade</t>
        </is>
      </c>
      <c r="D215" t="n">
        <v>0</v>
      </c>
      <c r="E215" t="n">
        <v>112.89</v>
      </c>
      <c r="H215" t="n">
        <v>0</v>
      </c>
      <c r="K215" t="n">
        <v>0</v>
      </c>
      <c r="L215" t="inlineStr">
        <is>
          <t>No clean technical setup detected. Price in middle of value area or poor risk/reward.</t>
        </is>
      </c>
      <c r="M215" t="inlineStr">
        <is>
          <t>SKIP</t>
        </is>
      </c>
      <c r="N215" t="inlineStr">
        <is>
          <t>SKIP: No Trade result. Market regime NEUTRAL; sector STRONG; net R/R 0.00.</t>
        </is>
      </c>
      <c r="O215" t="inlineStr">
        <is>
          <t>CPT
No Trade
0.00
score
Price
112.89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101.70
Fib Zone
101.18 - 102.22
Swing Low
99.69
Swing High
104.95
Click chart to open full size</t>
        </is>
      </c>
      <c r="P215" t="inlineStr">
        <is>
          <t>agent_results/charts/market_lens_agent_20260608_140702_cpt.png</t>
        </is>
      </c>
      <c r="Q215" t="inlineStr">
        <is>
          <t>Smart Universe: broad liquid US universe, diversified by sector | Sector: Real Estate - Strong (69/100); XLRE sector regime is strong: 4.5% 3m return, -5.3% vs SPY | Setup: No Trade; score 0.00; R/R 0.00x; price 112.89 | Market: NEUTRAL; Sector regime: STRONG; Net R/R: 0.00; Factors: Real Estate | Agent action: SKIP - SKIP: No Trade result. Market regime NEUTRAL; sector STRONG; net R/R 0.00.</t>
        </is>
      </c>
      <c r="R215" t="inlineStr">
        <is>
          <t>{"adjusted_cash_out": 0.0, "adjusted_position_size": 0, "adjusted_risk_amount": 0.0, "ask": 0.0, "bid": 0.0, "buy_zone_high": null, "buy_zone_low": null, "cash_available": 96983.3, "company_name": "Camden Property Trust", "correlation_warning": false, "days_to_earnings": 38, "earnings_blackout": false, "earnings_date": "2026-07-30T00:00:00", "estimated_fees": 0.0, "estimated_slippage": 0.3387, "estimated_spread": 0.0903, "executable_entry": 112.89,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112.89, "gross_rr": 0.0, "gross_rr_1": 0.0, "gross_rr_2": 0.0, "gross_rr_decision": 0.0, "highest_correlation_ticker": "XOM", "highest_correlation_value": 0.001, "initial_action": "SKIP", "market_cap": 11210118853.32,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113.1045, "net_reward_1_per_share": 0.0, "net_reward_2_per_share": 0.0, "net_risk_per_share": 113.319, "net_rr": 0.0, "net_rr_1": 0.0, "net_rr_2": 0.0, "net_stop_assumption": -0.2145, "net_target_1_assumption": -0.1298, "net_target_2_assumption": -0.1298, "normalized_atr_score": 100.0, "normalized_liquidity_score": 18.68, "normalized_momentum_score": 97.66, "normalized_quality_score": 74.55,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112.89,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112.89, "ticker": "CPT", "timestamp": "2026-06-08T14:15:34", "warnings": ["Target ATR feasibility unavailable."]}</t>
        </is>
      </c>
    </row>
    <row r="216">
      <c r="A216" t="inlineStr">
        <is>
          <t>2026-06-08T14:15:34</t>
        </is>
      </c>
      <c r="B216" t="inlineStr">
        <is>
          <t>AVB</t>
        </is>
      </c>
      <c r="C216" t="inlineStr">
        <is>
          <t>No Trade</t>
        </is>
      </c>
      <c r="D216" t="n">
        <v>0</v>
      </c>
      <c r="E216" t="n">
        <v>189.98</v>
      </c>
      <c r="H216" t="n">
        <v>0</v>
      </c>
      <c r="K216" t="n">
        <v>0</v>
      </c>
      <c r="L216" t="inlineStr">
        <is>
          <t>No clean technical setup detected. Price in middle of value area or poor risk/reward.</t>
        </is>
      </c>
      <c r="M216" t="inlineStr">
        <is>
          <t>SKIP</t>
        </is>
      </c>
      <c r="N216" t="inlineStr">
        <is>
          <t>SKIP: No Trade result. Market regime NEUTRAL; sector STRONG; net R/R 0.00.</t>
        </is>
      </c>
      <c r="O216" t="inlineStr">
        <is>
          <t>AVB
No Trade
0.00
score
Price
189.98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183.31
Fib Zone
182.52 - 184.10
Swing Low
180.35
Swing High
188.09
Click chart to open full size</t>
        </is>
      </c>
      <c r="P216" t="inlineStr">
        <is>
          <t>agent_results/charts/market_lens_agent_20260608_140702_avb.png</t>
        </is>
      </c>
      <c r="Q216" t="inlineStr">
        <is>
          <t>Smart Universe: broad liquid US universe, diversified by sector | Sector: Real Estate - Strong (69/100); XLRE sector regime is strong: 4.5% 3m return, -5.3% vs SPY | Setup: No Trade; score 0.00; R/R 0.00x; price 189.98 | Market: NEUTRAL; Sector regime: STRONG; Net R/R: 0.00; Factors: Real Estate | Agent action: SKIP - SKIP: No Trade result. Market regime NEUTRAL; sector STRONG; net R/R 0.00.</t>
        </is>
      </c>
      <c r="R216" t="inlineStr">
        <is>
          <t>{"adjusted_cash_out": 0.0, "adjusted_position_size": 0, "adjusted_risk_amount": 0.0, "ask": 0.0, "bid": 0.0, "buy_zone_high": null, "buy_zone_low": null, "cash_available": 96983.3, "company_name": "AvalonBay Communities", "correlation_warning": false, "days_to_earnings": -30, "earnings_blackout": false, "earnings_date": "2026-04-27T00:00:00", "estimated_fees": 0.0, "estimated_slippage": 0.5699, "estimated_spread": 0.152, "executable_entry": 189.98,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189.98, "gross_rr": 0.0, "gross_rr_1": 0.0, "gross_rr_2": 0.0, "gross_rr_decision": 0.0, "highest_correlation_ticker": "XOM", "highest_correlation_value": 0.0211, "initial_action": "SKIP", "market_cap": 26940087095.82,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190.341, "net_reward_1_per_share": 0.0, "net_reward_2_per_share": 0.0, "net_risk_per_share": 190.7019, "net_rr": 0.0, "net_rr_1": 0.0, "net_rr_2": 0.0, "net_stop_assumption": -0.361, "net_target_1_assumption": -0.2185, "net_target_2_assumption": -0.2185, "normalized_atr_score": 100.0, "normalized_liquidity_score": 27.04, "normalized_momentum_score": 87.25, "normalized_quality_score": 72.37,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189.98,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189.98, "ticker": "AVB", "timestamp": "2026-06-08T14:15:34", "warnings": ["Target ATR feasibility unavailable."]}</t>
        </is>
      </c>
    </row>
    <row r="217">
      <c r="A217" t="inlineStr">
        <is>
          <t>2026-06-08T14:15:34</t>
        </is>
      </c>
      <c r="B217" t="inlineStr">
        <is>
          <t>WAB</t>
        </is>
      </c>
      <c r="C217" t="inlineStr">
        <is>
          <t>No Trade</t>
        </is>
      </c>
      <c r="D217" t="n">
        <v>0</v>
      </c>
      <c r="E217" t="n">
        <v>263.19</v>
      </c>
      <c r="H217" t="n">
        <v>0</v>
      </c>
      <c r="K217" t="n">
        <v>0</v>
      </c>
      <c r="L217" t="inlineStr">
        <is>
          <t>No clean technical setup detected. Price in middle of value area or poor risk/reward.</t>
        </is>
      </c>
      <c r="M217" t="inlineStr">
        <is>
          <t>SKIP</t>
        </is>
      </c>
      <c r="N217" t="inlineStr">
        <is>
          <t>SKIP: No Trade result. Market regime NEUTRAL; sector NEUTRAL; net R/R 0.00.</t>
        </is>
      </c>
      <c r="O217" t="inlineStr">
        <is>
          <t>WAB
No Trade
0.00
score
Price
263.19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261.18
Fib Zone
259.62 - 262.75
Swing Low
253.16
Swing High
274.16
Click chart to open full size</t>
        </is>
      </c>
      <c r="P217" t="inlineStr">
        <is>
          <t>agent_results/charts/market_lens_agent_20260608_140702_wab.png</t>
        </is>
      </c>
      <c r="Q217" t="inlineStr">
        <is>
          <t>Smart Universe: broad liquid US universe, diversified by sector | Sector: Industrials - Neutral (67/100); XLI sector regime is neutral: 3.0% 3m return, -6.8% vs SPY | Setup: No Trade; score 0.00; R/R 0.00x; price 263.19 | Market: NEUTRAL; Sector regime: NEUTRAL; Net R/R: 0.00; Factors: Industrials | Agent action: SKIP - SKIP: No Trade result. Market regime NEUTRAL; sector NEUTRAL; net R/R 0.00.</t>
        </is>
      </c>
      <c r="R217" t="inlineStr">
        <is>
          <t>{"adjusted_cash_out": 0.0, "adjusted_position_size": 0, "adjusted_risk_amount": 0.0, "ask": 0.0, "bid": 0.0, "buy_zone_high": null, "buy_zone_low": null, "cash_available": 96983.3, "company_name": "Wabtec", "correlation_warning": false, "days_to_earnings": 33, "earnings_blackout": false, "earnings_date": "2026-07-23T00:00:00", "estimated_fees": 0.0, "estimated_slippage": 0.7896, "estimated_spread": 0.2106, "executable_entry": 263.19,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263.19, "gross_rr": 0.0, "gross_rr_1": 0.0, "gross_rr_2": 0.0, "gross_rr_decision": 0.0, "highest_correlation_ticker": "XOM", "highest_correlation_value": -0.2844, "initial_action": "SKIP", "market_cap": 44650323300.91,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263.6901, "net_reward_1_per_share": 0.0, "net_reward_2_per_share": 0.0, "net_risk_per_share": 264.1901, "net_rr": 0.0, "net_rr_1": 0.0, "net_rr_2": 0.0, "net_stop_assumption": -0.5001, "net_target_1_assumption": -0.3027, "net_target_2_assumption": -0.3027, "normalized_atr_score": 100.0, "normalized_liquidity_score": 30.86, "normalized_momentum_score": 70.33, "normalized_quality_score": 65.91,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263.19,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263.19, "ticker": "WAB", "timestamp": "2026-06-08T14:15:34", "warnings": ["Target ATR feasibility unavailable."]}</t>
        </is>
      </c>
    </row>
    <row r="218">
      <c r="A218" t="inlineStr">
        <is>
          <t>2026-06-08T14:15:34</t>
        </is>
      </c>
      <c r="B218" t="inlineStr">
        <is>
          <t>ETN</t>
        </is>
      </c>
      <c r="C218" t="inlineStr">
        <is>
          <t>No Trade</t>
        </is>
      </c>
      <c r="D218" t="n">
        <v>0</v>
      </c>
      <c r="E218" t="n">
        <v>403.23</v>
      </c>
      <c r="H218" t="n">
        <v>0</v>
      </c>
      <c r="K218" t="n">
        <v>0</v>
      </c>
      <c r="L218" t="inlineStr">
        <is>
          <t>No clean technical setup detected. Price in middle of value area or poor risk/reward.</t>
        </is>
      </c>
      <c r="M218" t="inlineStr">
        <is>
          <t>SKIP</t>
        </is>
      </c>
      <c r="N218" t="inlineStr">
        <is>
          <t>SKIP: No Trade result. Market regime NEUTRAL; sector NEUTRAL; net R/R 0.00.</t>
        </is>
      </c>
      <c r="O218" t="inlineStr">
        <is>
          <t>ETN
No Trade
0.00
score
Price
403.23
R/R
0.00x
Grade
No Trade
Quality
0%
Buy Zone
-
Stop
0.00
Targets
-
Skip
Mixed
Relative Strength
Leadership
100%
Trend Quality
Constructive
76%
Liquidity
Institutional liquidity
100%
Volume
Distribution risk
45%
No actionable setup detected.
No clean technical setup detected. Price in middle of value area or poor risk/reward.
Fib 61.8
376.65
Fib Zone
373.04 - 380.26
Swing Low
341.06
Swing High
434.23
Click chart to open full size</t>
        </is>
      </c>
      <c r="P218" t="inlineStr">
        <is>
          <t>agent_results/charts/market_lens_agent_20260608_140702_etn.png</t>
        </is>
      </c>
      <c r="Q218" t="inlineStr">
        <is>
          <t>Smart Universe: broad liquid US universe, diversified by sector | Sector: Industrials - Neutral (67/100); XLI sector regime is neutral: 3.0% 3m return, -6.8% vs SPY | Setup: No Trade; score 0.00; R/R 0.00x; price 403.23 | Market: NEUTRAL; Sector regime: NEUTRAL; Net R/R: 0.00; Factors: Industrials | Agent action: SKIP - SKIP: No Trade result. Market regime NEUTRAL; sector NEUTRAL; net R/R 0.00.</t>
        </is>
      </c>
      <c r="R218" t="inlineStr">
        <is>
          <t>{"adjusted_cash_out": 0.0, "adjusted_position_size": 0, "adjusted_risk_amount": 0.0, "ask": 0.0, "bid": 0.0, "buy_zone_high": null, "buy_zone_low": null, "cash_available": 96983.3, "company_name": "Eaton Corporation plc", "correlation_warning": false, "days_to_earnings": 41, "earnings_blackout": false, "earnings_date": "2026-08-04T00:00:00", "estimated_fees": 0.0, "estimated_slippage": 0.5645, "estimated_spread": 0.121, "executable_entry": 403.23,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403.23, "gross_rr": 0.0, "gross_rr_1": 0.0, "gross_rr_2": 0.0, "gross_rr_decision": 0.0, "highest_correlation_ticker": "XOM", "highest_correlation_value": -0.1055, "initial_action": "SKIP", "market_cap": 156230563974.0,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403.5727, "net_reward_1_per_share": 0.0, "net_reward_2_per_share": 0.0, "net_risk_per_share": 403.9155, "net_rr": 0.0, "net_rr_1": 0.0, "net_rr_2": 0.0, "net_stop_assumption": -0.3427, "net_target_1_assumption": -0.2016, "net_target_2_assumption": -0.2016, "normalized_atr_score": 100.0, "normalized_liquidity_score": 66.17, "normalized_momentum_score": 88.38, "normalized_quality_score": 84.62,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403.23,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403.23, "ticker": "ETN", "timestamp": "2026-06-08T14:15:34", "warnings": ["Target ATR feasibility unavailable."]}</t>
        </is>
      </c>
    </row>
    <row r="219">
      <c r="A219" t="inlineStr">
        <is>
          <t>2026-06-08T14:15:34</t>
        </is>
      </c>
      <c r="B219" t="inlineStr">
        <is>
          <t>EXR</t>
        </is>
      </c>
      <c r="C219" t="inlineStr">
        <is>
          <t>No Trade</t>
        </is>
      </c>
      <c r="D219" t="n">
        <v>0</v>
      </c>
      <c r="E219" t="n">
        <v>145.17</v>
      </c>
      <c r="H219" t="n">
        <v>0</v>
      </c>
      <c r="K219" t="n">
        <v>0</v>
      </c>
      <c r="L219" t="inlineStr">
        <is>
          <t>No clean technical setup detected. Price in middle of value area or poor risk/reward.</t>
        </is>
      </c>
      <c r="M219" t="inlineStr">
        <is>
          <t>SKIP</t>
        </is>
      </c>
      <c r="N219" t="inlineStr">
        <is>
          <t>SKIP: No Trade result. Market regime NEUTRAL; sector STRONG; net R/R 0.00.</t>
        </is>
      </c>
      <c r="O219" t="inlineStr">
        <is>
          <t>EXR
No Trade
0.00
score
Price
145.17
R/R
0.00x
Grade
No Trade
Quality
0%
Buy Zone
-
Stop
0.00
Targets
-
Skip
Mixed
Relative Strength
Leadership
78%
Trend Quality
Clean uptrend
86%
Liquidity
Institutional liquidity
100%
Volume
Neutral
65%
No actionable setup detected.
No clean technical setup detected. Price in middle of value area or poor risk/reward.
Fib 61.8
140.71
Fib Zone
139.93 - 141.50
Swing Low
136.69
Swing High
147.22
Click chart to open full size</t>
        </is>
      </c>
      <c r="P219" t="inlineStr">
        <is>
          <t>agent_results/charts/market_lens_agent_20260608_140702_exr.png</t>
        </is>
      </c>
      <c r="Q219" t="inlineStr">
        <is>
          <t>Smart Universe: broad liquid US universe, diversified by sector | Sector: Real Estate - Strong (69/100); XLRE sector regime is strong: 4.5% 3m return, -5.3% vs SPY | Setup: No Trade; score 0.00; R/R 0.00x; price 145.17 | Market: NEUTRAL; Sector regime: STRONG; Net R/R: 0.00; Factors: Real Estate | Agent action: SKIP - SKIP: No Trade result. Market regime NEUTRAL; sector STRONG; net R/R 0.00.</t>
        </is>
      </c>
      <c r="R219" t="inlineStr">
        <is>
          <t>{"adjusted_cash_out": 0.0, "adjusted_position_size": 0, "adjusted_risk_amount": 0.0, "ask": 0.0, "bid": 0.0, "buy_zone_high": null, "buy_zone_low": null, "cash_available": 96983.3, "company_name": "Extra Space Storage", "correlation_warning": false, "days_to_earnings": -29, "earnings_blackout": false, "earnings_date": "2026-04-28T00:00:00", "estimated_fees": 0.0, "estimated_slippage": 0.4355, "estimated_spread": 0.1161, "executable_entry": 145.17, "execution_liquidity_bucket": "mid_liquid", "factor_exposure_after": {"Energy": 3009.8}, "factor_exposure_before": {"Energy": 3009.8}, "factor_exposure_cap": 7000.0, "factor_exposure_limit_exceeded": false, "factor_tags": ["Real Estate"], "final_action": "SKIP", "gross_reward_1_per_share": 0.0, "gross_reward_2_per_share": 0.0, "gross_risk_per_share": 145.17, "gross_rr": 0.0, "gross_rr_1": 0.0, "gross_rr_2": 0.0, "gross_rr_decision": 0.0, "highest_correlation_ticker": "XOM", "highest_correlation_value": -0.2993, "initial_action": "SKIP", "market_cap": 30687762402.87,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145.4458, "net_reward_1_per_share": 0.0, "net_reward_2_per_share": 0.0, "net_risk_per_share": 145.7216, "net_rr": 0.0, "net_rr_1": 0.0, "net_rr_2": 0.0, "net_stop_assumption": -0.2758, "net_target_1_assumption": -0.1669, "net_target_2_assumption": -0.1669, "normalized_atr_score": 100.0, "normalized_liquidity_score": 20.85, "normalized_momentum_score": 52.76, "normalized_quality_score": 55.0,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145.17,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68.61, "setup_score": 0.0, "setup_type": "No Trade", "sizing_adjustment_reason": "", "spread_source": "liquidity_fallback", "stock_score": 0.0, "stop_loss": 0.0, "target_1": null, "target_1_atr_distance": 0.0, "target_2": null, "target_2_atr_distance": 0.0, "target_feasibility_status": "UNKNOWN", "theoretical_entry": 145.17, "ticker": "EXR", "timestamp": "2026-06-08T14:15:34", "warnings": ["Target ATR feasibility unavailable."]}</t>
        </is>
      </c>
    </row>
    <row r="220">
      <c r="A220" t="inlineStr">
        <is>
          <t>2026-06-08T14:15:34</t>
        </is>
      </c>
      <c r="B220" t="inlineStr">
        <is>
          <t>EMR</t>
        </is>
      </c>
      <c r="C220" t="inlineStr">
        <is>
          <t>No Trade</t>
        </is>
      </c>
      <c r="D220" t="n">
        <v>0</v>
      </c>
      <c r="E220" t="n">
        <v>139.58</v>
      </c>
      <c r="H220" t="n">
        <v>0</v>
      </c>
      <c r="K220" t="n">
        <v>0</v>
      </c>
      <c r="L220" t="inlineStr">
        <is>
          <t>No clean technical setup detected. Price in middle of value area or poor risk/reward.</t>
        </is>
      </c>
      <c r="M220" t="inlineStr">
        <is>
          <t>SKIP</t>
        </is>
      </c>
      <c r="N220" t="inlineStr">
        <is>
          <t>SKIP: No Trade result. Market regime NEUTRAL; sector NEUTRAL; net R/R 0.00.</t>
        </is>
      </c>
      <c r="O220" t="inlineStr">
        <is>
          <t>EMR
No Trade
0.00
score
Price
139.58
R/R
0.00x
Grade
No Trade
Quality
0%
Buy Zone
-
Stop
0.00
Targets
-
Skip
Mixed
Relative Strength
Leadership
89%
Trend Quality
Constructive
68%
Liquidity
Institutional liquidity
100%
Volume
Confirmed
80%
No actionable setup detected.
No clean technical setup detected. Price in middle of value area or poor risk/reward.
Fib 61.8
134.79
Fib Zone
133.84 - 135.74
Swing Low
128.13
Swing High
145.57
Click chart to open full size</t>
        </is>
      </c>
      <c r="P220" t="inlineStr">
        <is>
          <t>agent_results/charts/market_lens_agent_20260608_140702_emr.png</t>
        </is>
      </c>
      <c r="Q220" t="inlineStr">
        <is>
          <t>Smart Universe: broad liquid US universe, diversified by sector | Sector: Industrials - Neutral (67/100); XLI sector regime is neutral: 3.0% 3m return, -6.8% vs SPY | Setup: No Trade; score 0.00; R/R 0.00x; price 139.58 | Market: NEUTRAL; Sector regime: NEUTRAL; Net R/R: 0.00; Factors: Industrials | Agent action: SKIP - SKIP: No Trade result. Market regime NEUTRAL; sector NEUTRAL; net R/R 0.00.</t>
        </is>
      </c>
      <c r="R220" t="inlineStr">
        <is>
          <t>{"adjusted_cash_out": 0.0, "adjusted_position_size": 0, "adjusted_risk_amount": 0.0, "ask": 0.0, "bid": 0.0, "buy_zone_high": null, "buy_zone_low": null, "cash_available": 96983.3, "company_name": "Emerson Electric Co.", "correlation_warning": false, "days_to_earnings": 42, "earnings_blackout": false, "earnings_date": "2026-08-05T00:00:00", "estimated_fees": 0.0, "estimated_slippage": 0.4187, "estimated_spread": 0.1117, "executable_entry": 139.58,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139.58, "gross_rr": 0.0, "gross_rr_1": 0.0, "gross_rr_2": 0.0, "gross_rr_decision": 0.0, "highest_correlation_ticker": "XOM", "highest_correlation_value": -0.2363, "initial_action": "SKIP", "market_cap": 78145154393.01,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139.8452, "net_reward_1_per_share": 0.0, "net_reward_2_per_share": 0.0, "net_risk_per_share": 140.1104, "net_rr": 0.0, "net_rr_1": 0.0, "net_rr_2": 0.0, "net_stop_assumption": -0.2652, "net_target_1_assumption": -0.1605, "net_target_2_assumption": -0.1605, "normalized_atr_score": 100.0, "normalized_liquidity_score": 40.03, "normalized_momentum_score": 48.57, "normalized_quality_score": 58.87,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139.58, "ticker": "EMR", "timestamp": "2026-06-08T14:15:34", "warnings": ["Target ATR feasibility unavailable."]}</t>
        </is>
      </c>
    </row>
    <row r="221">
      <c r="A221" t="inlineStr">
        <is>
          <t>2026-06-08T14:15:34</t>
        </is>
      </c>
      <c r="B221" t="inlineStr">
        <is>
          <t>GD</t>
        </is>
      </c>
      <c r="C221" t="inlineStr">
        <is>
          <t>No Trade</t>
        </is>
      </c>
      <c r="D221" t="n">
        <v>0</v>
      </c>
      <c r="E221" t="n">
        <v>347</v>
      </c>
      <c r="H221" t="n">
        <v>0</v>
      </c>
      <c r="K221" t="n">
        <v>0</v>
      </c>
      <c r="L221" t="inlineStr">
        <is>
          <t>No clean technical setup detected. Price in middle of value area or poor risk/reward.</t>
        </is>
      </c>
      <c r="M221" t="inlineStr">
        <is>
          <t>SKIP</t>
        </is>
      </c>
      <c r="N221" t="inlineStr">
        <is>
          <t>SKIP: No Trade result. Market regime NEUTRAL; sector NEUTRAL; net R/R 0.00.</t>
        </is>
      </c>
      <c r="O221" t="inlineStr">
        <is>
          <t>GD
No Trade
0.00
score
Price
347.00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340.19
Fib Zone
338.60 - 341.79
Swing Low
333.29
Swing High
351.36
Click chart to open full size</t>
        </is>
      </c>
      <c r="P221" t="inlineStr">
        <is>
          <t>agent_results/charts/market_lens_agent_20260608_140702_gd.png</t>
        </is>
      </c>
      <c r="Q221" t="inlineStr">
        <is>
          <t>Smart Universe: broad liquid US universe, diversified by sector | Sector: Industrials - Neutral (67/100); XLI sector regime is neutral: 3.0% 3m return, -6.8% vs SPY | Setup: No Trade; score 0.00; R/R 0.00x; price 347.00 | Market: NEUTRAL; Sector regime: NEUTRAL; Net R/R: 0.00; Factors: Industrials | Agent action: SKIP - SKIP: No Trade result. Market regime NEUTRAL; sector NEUTRAL; net R/R 0.00.</t>
        </is>
      </c>
      <c r="R221" t="inlineStr">
        <is>
          <t>{"adjusted_cash_out": 0.0, "adjusted_position_size": 0, "adjusted_risk_amount": 0.0, "ask": 0.0, "bid": 0.0, "buy_zone_high": null, "buy_zone_low": null, "cash_available": 96983.3, "company_name": "General Dynamics Corporation", "correlation_warning": false, "days_to_earnings": 32, "earnings_blackout": false, "earnings_date": "2026-07-22T00:00:00", "estimated_fees": 0.0, "estimated_slippage": 1.041, "estimated_spread": 0.2776, "executable_entry": 347.0,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347.0, "gross_rr": 0.0, "gross_rr_1": 0.0, "gross_rr_2": 0.0, "gross_rr_decision": 0.0, "highest_correlation_ticker": "XOM", "highest_correlation_value": 0.0177, "initial_action": "SKIP", "market_cap": 93495831522.54,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347.6593, "net_reward_1_per_share": 0.0, "net_reward_2_per_share": 0.0, "net_risk_per_share": 348.3186, "net_rr": 0.0, "net_rr_1": 0.0, "net_rr_2": 0.0, "net_stop_assumption": -0.6593, "net_target_1_assumption": -0.3991, "net_target_2_assumption": -0.3991, "normalized_atr_score": 100.0, "normalized_liquidity_score": 38.28, "normalized_momentum_score": 42.2, "normalized_quality_score": 55.47,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347.0,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347.0, "ticker": "GD", "timestamp": "2026-06-08T14:15:34", "warnings": ["Target ATR feasibility unavailable."]}</t>
        </is>
      </c>
    </row>
    <row r="222">
      <c r="A222" t="inlineStr">
        <is>
          <t>2026-06-08T14:15:34</t>
        </is>
      </c>
      <c r="B222" t="inlineStr">
        <is>
          <t>WFC</t>
        </is>
      </c>
      <c r="C222" t="inlineStr">
        <is>
          <t>No Trade</t>
        </is>
      </c>
      <c r="D222" t="n">
        <v>0</v>
      </c>
      <c r="E222" t="n">
        <v>82.05</v>
      </c>
      <c r="H222" t="n">
        <v>0</v>
      </c>
      <c r="K222" t="n">
        <v>0</v>
      </c>
      <c r="L222" t="inlineStr">
        <is>
          <t>No clean technical setup detected. Price in middle of value area or poor risk/reward.</t>
        </is>
      </c>
      <c r="M222" t="inlineStr">
        <is>
          <t>SKIP</t>
        </is>
      </c>
      <c r="N222" t="inlineStr">
        <is>
          <t>SKIP: No Trade result. Market regime NEUTRAL; sector STRONG; net R/R 0.00.</t>
        </is>
      </c>
      <c r="O222" t="inlineStr">
        <is>
          <t>WFC
No Trade
0.00
score
Price
82.05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78.42
Fib Zone
77.96 - 78.88
Swing Low
73.61
Swing High
86.21
Click chart to open full size</t>
        </is>
      </c>
      <c r="P222" t="inlineStr">
        <is>
          <t>agent_results/charts/market_lens_agent_20260608_140702_wfc.png</t>
        </is>
      </c>
      <c r="Q222" t="inlineStr">
        <is>
          <t>Smart Universe: broad liquid US universe, diversified by sector | Sector: Financials - Strong (70/100); XLF sector regime is strong: 5.0% 3m return, -4.7% vs SPY | Setup: No Trade; score 0.00; R/R 0.00x; price 82.05 | Market: NEUTRAL; Sector regime: STRONG; Net R/R: 0.00; Factors: Financials | Agent action: SKIP - SKIP: No Trade result. Market regime NEUTRAL; sector STRONG; net R/R 0.00.</t>
        </is>
      </c>
      <c r="R222" t="inlineStr">
        <is>
          <t>{"adjusted_cash_out": 0.0, "adjusted_position_size": 0, "adjusted_risk_amount": 0.0, "ask": 0.0, "bid": 0.0, "buy_zone_high": null, "buy_zone_low": null, "cash_available": 96983.3, "company_name": "Wells Fargo &amp; Company", "correlation_warning": false, "days_to_earnings": 26, "earnings_blackout": false, "earnings_date": "2026-07-14T00:00:00", "estimated_fees": 0.0, "estimated_slippage": 0.1149, "estimated_spread": 0.0246, "executable_entry": 82.05,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82.05, "gross_rr": 0.0, "gross_rr_1": 0.0, "gross_rr_2": 0.0, "gross_rr_decision": 0.0, "highest_correlation_ticker": "XOM", "highest_correlation_value": -0.1561, "initial_action": "SKIP", "market_cap": 250981439482.62,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82.1197, "net_reward_1_per_share": 0.0, "net_reward_2_per_share": 0.0, "net_risk_per_share": 82.1895, "net_rr": 0.0, "net_rr_1": 0.0, "net_rr_2": 0.0, "net_stop_assumption": -0.0697, "net_target_1_assumption": -0.041, "net_target_2_assumption": -0.041, "normalized_atr_score": 100.0, "normalized_liquidity_score": 40.82, "normalized_momentum_score": 82.72, "normalized_quality_score": 74.47,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82.05,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82.05, "ticker": "WFC", "timestamp": "2026-06-08T14:15:34", "warnings": ["Target ATR feasibility unavailable."]}</t>
        </is>
      </c>
    </row>
    <row r="223">
      <c r="A223" t="inlineStr">
        <is>
          <t>2026-06-08T14:15:34</t>
        </is>
      </c>
      <c r="B223" t="inlineStr">
        <is>
          <t>DE</t>
        </is>
      </c>
      <c r="C223" t="inlineStr">
        <is>
          <t>No Trade</t>
        </is>
      </c>
      <c r="D223" t="n">
        <v>0</v>
      </c>
      <c r="E223" t="n">
        <v>587.1799999999999</v>
      </c>
      <c r="H223" t="n">
        <v>0</v>
      </c>
      <c r="K223" t="n">
        <v>0</v>
      </c>
      <c r="L223" t="inlineStr">
        <is>
          <t>No clean technical setup detected. Price in middle of value area or poor risk/reward.</t>
        </is>
      </c>
      <c r="M223" t="inlineStr">
        <is>
          <t>SKIP</t>
        </is>
      </c>
      <c r="N223" t="inlineStr">
        <is>
          <t>SKIP: No Trade result. Market regime NEUTRAL; sector NEUTRAL; net R/R 0.00.</t>
        </is>
      </c>
      <c r="O223" t="inlineStr">
        <is>
          <t>DE
No Trade
0.00
score
Price
587.18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571.60
Fib Zone
567.43 - 575.76
Swing Low
557.76
Swing High
593.98
Click chart to open full size</t>
        </is>
      </c>
      <c r="P223" t="inlineStr">
        <is>
          <t>agent_results/charts/market_lens_agent_20260608_140702_de.png</t>
        </is>
      </c>
      <c r="Q223" t="inlineStr">
        <is>
          <t>Smart Universe: broad liquid US universe, diversified by sector | Sector: Industrials - Neutral (67/100); XLI sector regime is neutral: 3.0% 3m return, -6.8% vs SPY | Setup: No Trade; score 0.00; R/R 0.00x; price 587.18 | Market: NEUTRAL; Sector regime: NEUTRAL; Net R/R: 0.00; Factors: Industrials | Agent action: SKIP - SKIP: No Trade result. Market regime NEUTRAL; sector NEUTRAL; net R/R 0.00.</t>
        </is>
      </c>
      <c r="R223" t="inlineStr">
        <is>
          <t>{"adjusted_cash_out": 0.0, "adjusted_position_size": 0, "adjusted_risk_amount": 0.0, "ask": 0.0, "bid": 0.0, "buy_zone_high": null, "buy_zone_low": null, "cash_available": 96983.3, "company_name": "Deere &amp; Company", "correlation_warning": false, "days_to_earnings": 53, "earnings_blackout": false, "earnings_date": "2026-08-20T00:00:00", "estimated_fees": 0.0, "estimated_slippage": 0.8221, "estimated_spread": 0.1762, "executable_entry": 587.18,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587.18, "gross_rr": 0.0, "gross_rr_1": 0.0, "gross_rr_2": 0.0, "gross_rr_decision": 0.0, "highest_correlation_ticker": "XOM", "highest_correlation_value": 0.0138, "initial_action": "SKIP", "market_cap": 158250815406.25,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587.6791, "net_reward_1_per_share": 0.0, "net_reward_2_per_share": 0.0, "net_risk_per_share": 588.1782, "net_rr": 0.0, "net_rr_1": 0.0, "net_rr_2": 0.0, "net_stop_assumption": -0.4991, "net_target_1_assumption": -0.2936, "net_target_2_assumption": -0.2936, "normalized_atr_score": 100.0, "normalized_liquidity_score": 61.44, "normalized_momentum_score": 50.61, "normalized_quality_score": 66.21,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587.18,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587.18, "ticker": "DE", "timestamp": "2026-06-08T14:15:34", "warnings": ["Target ATR feasibility unavailable."]}</t>
        </is>
      </c>
    </row>
    <row r="224">
      <c r="A224" t="inlineStr">
        <is>
          <t>2026-06-08T14:15:34</t>
        </is>
      </c>
      <c r="B224" t="inlineStr">
        <is>
          <t>BRK-B</t>
        </is>
      </c>
      <c r="C224" t="inlineStr">
        <is>
          <t>No Trade</t>
        </is>
      </c>
      <c r="D224" t="n">
        <v>0</v>
      </c>
      <c r="E224" t="n">
        <v>489.69</v>
      </c>
      <c r="H224" t="n">
        <v>0</v>
      </c>
      <c r="K224" t="n">
        <v>0</v>
      </c>
      <c r="L224" t="inlineStr">
        <is>
          <t>No clean technical setup detected. Price in middle of value area or poor risk/reward.</t>
        </is>
      </c>
      <c r="M224" t="inlineStr">
        <is>
          <t>SKIP</t>
        </is>
      </c>
      <c r="N224" t="inlineStr">
        <is>
          <t>SKIP: No Trade result. Market regime NEUTRAL; sector STRONG; net R/R 0.00.</t>
        </is>
      </c>
      <c r="O224" t="inlineStr">
        <is>
          <t>BRK-B
No Trade
0.00
score
Price
489.69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471.97 - 475.47
Swing Low
464.01
Swing High
489.42
Click chart to open full size</t>
        </is>
      </c>
      <c r="P224" t="inlineStr">
        <is>
          <t>agent_results/charts/market_lens_agent_20260608_140702_brk-b.png</t>
        </is>
      </c>
      <c r="Q224" t="inlineStr">
        <is>
          <t>Smart Universe: broad liquid US universe, diversified by sector | Sector: Financials - Strong (70/100); XLF sector regime is strong: 5.0% 3m return, -4.7% vs SPY | Setup: No Trade; score 0.00; R/R 0.00x; price 489.69 | Market: NEUTRAL; Sector regime: STRONG; Net R/R: 0.00; Factors: Financials | Agent action: SKIP - SKIP: No Trade result. Market regime NEUTRAL; sector STRONG; net R/R 0.00.</t>
        </is>
      </c>
      <c r="R224" t="inlineStr">
        <is>
          <t>{"adjusted_cash_out": 0.0, "adjusted_position_size": 0, "adjusted_risk_amount": 0.0, "ask": 0.0, "bid": 0.0, "buy_zone_high": null, "buy_zone_low": null, "cash_available": 96983.3, "company_name": "Berkshire Hathaway Inc.", "correlation_warning": false, "days_to_earnings": 39, "earnings_blackout": false, "earnings_date": "2026-08-01T00:00:00", "estimated_fees": 0.0, "estimated_slippage": 0.6856, "estimated_spread": 0.1469, "executable_entry": 489.69,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489.69, "gross_rr": 0.0, "gross_rr_1": 0.0, "gross_rr_2": 0.0, "gross_rr_decision": 0.0, "highest_correlation_ticker": "XOM", "highest_correlation_value": -0.0691, "initial_action": "SKIP", "market_cap": 1053666193214.54,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490.1062, "net_reward_1_per_share": 0.0, "net_reward_2_per_share": 0.0, "net_risk_per_share": 490.5225, "net_rr": 0.0, "net_rr_1": 0.0, "net_rr_2": 0.0, "net_stop_assumption": -0.4162, "net_target_1_assumption": -0.2448, "net_target_2_assumption": -0.2448, "normalized_atr_score": 100.0, "normalized_liquidity_score": 56.76, "normalized_momentum_score": 49.9, "normalized_quality_score": 64.48,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489.69,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489.69, "ticker": "BRK-B", "timestamp": "2026-06-08T14:15:34", "warnings": ["Target ATR feasibility unavailable."]}</t>
        </is>
      </c>
    </row>
    <row r="225">
      <c r="A225" t="inlineStr">
        <is>
          <t>2026-06-08T14:15:34</t>
        </is>
      </c>
      <c r="B225" t="inlineStr">
        <is>
          <t>JNJ</t>
        </is>
      </c>
      <c r="C225" t="inlineStr">
        <is>
          <t>No Trade</t>
        </is>
      </c>
      <c r="D225" t="n">
        <v>0</v>
      </c>
      <c r="E225" t="n">
        <v>233.67</v>
      </c>
      <c r="H225" t="n">
        <v>0</v>
      </c>
      <c r="K225" t="n">
        <v>0</v>
      </c>
      <c r="L225" t="inlineStr">
        <is>
          <t>No clean technical setup detected. Price in middle of value area or poor risk/reward.</t>
        </is>
      </c>
      <c r="M225" t="inlineStr">
        <is>
          <t>SKIP</t>
        </is>
      </c>
      <c r="N225" t="inlineStr">
        <is>
          <t>SKIP: No Trade result. Market regime NEUTRAL; sector NEUTRAL; net R/R 0.00.</t>
        </is>
      </c>
      <c r="O225" t="inlineStr">
        <is>
          <t>JNJ
No Trade
0.00
score
Price
233.67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224.86
Fib Zone
223.78 - 225.93
Swing Low
219.11
Swing High
234.15
Click chart to open full size</t>
        </is>
      </c>
      <c r="P225" t="inlineStr">
        <is>
          <t>agent_results/charts/market_lens_agent_20260608_140702_jnj.png</t>
        </is>
      </c>
      <c r="Q225" t="inlineStr">
        <is>
          <t>Smart Universe: broad liquid US universe, diversified by sector | Sector: Healthcare - Neutral (67/100); XLV sector regime is neutral: 0.8% 3m return, -9.0% vs SPY | Setup: No Trade; score 0.00; R/R 0.00x; price 233.67 | Market: NEUTRAL; Sector regime: NEUTRAL; Net R/R: 0.00; Factors: Defensive, Healthcare | Agent action: SKIP - SKIP: No Trade result. Market regime NEUTRAL; sector NEUTRAL; net R/R 0.00.</t>
        </is>
      </c>
      <c r="R225" t="inlineStr">
        <is>
          <t>{"adjusted_cash_out": 0.0, "adjusted_position_size": 0, "adjusted_risk_amount": 0.0, "ask": 0.0, "bid": 0.0, "buy_zone_high": null, "buy_zone_low": null, "cash_available": 96983.3, "company_name": "Johnson &amp; Johnson", "correlation_warning": false, "days_to_earnings": 27, "earnings_blackout": false, "earnings_date": "2026-07-15T00:00:00", "estimated_fees": 0.0, "estimated_slippage": 0.3271, "estimated_spread": 0.0701, "executable_entry": 233.67,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233.67, "gross_rr": 0.0, "gross_rr_1": 0.0, "gross_rr_2": 0.0, "gross_rr_decision": 0.0, "highest_correlation_ticker": "XOM", "highest_correlation_value": 0.0225, "initial_action": "SKIP", "market_cap": 560989874598.95,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233.8686, "net_reward_1_per_share": 0.0, "net_reward_2_per_share": 0.0, "net_risk_per_share": 234.0672, "net_rr": 0.0, "net_rr_1": 0.0, "net_rr_2": 0.0, "net_stop_assumption": -0.1986, "net_target_1_assumption": -0.1168, "net_target_2_assumption": -0.1168, "normalized_atr_score": 100.0, "normalized_liquidity_score": 48.23, "normalized_momentum_score": 45.67, "normalized_quality_score": 60.02,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233.67,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233.67, "ticker": "JNJ", "timestamp": "2026-06-08T14:15:34", "warnings": ["Target ATR feasibility unavailable."]}</t>
        </is>
      </c>
    </row>
    <row r="226">
      <c r="A226" t="inlineStr">
        <is>
          <t>2026-06-08T14:15:34</t>
        </is>
      </c>
      <c r="B226" t="inlineStr">
        <is>
          <t>AMGN</t>
        </is>
      </c>
      <c r="C226" t="inlineStr">
        <is>
          <t>No Trade</t>
        </is>
      </c>
      <c r="D226" t="n">
        <v>0</v>
      </c>
      <c r="E226" t="n">
        <v>348.75</v>
      </c>
      <c r="H226" t="n">
        <v>0</v>
      </c>
      <c r="K226" t="n">
        <v>0</v>
      </c>
      <c r="L226" t="inlineStr">
        <is>
          <t>No clean technical setup detected. Price in middle of value area or poor risk/reward.</t>
        </is>
      </c>
      <c r="M226" t="inlineStr">
        <is>
          <t>SKIP</t>
        </is>
      </c>
      <c r="N226" t="inlineStr">
        <is>
          <t>SKIP: No Trade result. Market regime NEUTRAL; sector NEUTRAL; net R/R 0.00.</t>
        </is>
      </c>
      <c r="O226" t="inlineStr">
        <is>
          <t>AMGN
No Trade
0.00
score
Price
348.75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325.95 - 329.91
Swing Low
318.12
Swing High
343.80
Click chart to open full size</t>
        </is>
      </c>
      <c r="P226" t="inlineStr">
        <is>
          <t>agent_results/charts/market_lens_agent_20260608_140702_amgn.png</t>
        </is>
      </c>
      <c r="Q226" t="inlineStr">
        <is>
          <t>Smart Universe: broad liquid US universe, diversified by sector | Sector: Healthcare - Neutral (67/100); XLV sector regime is neutral: 0.8% 3m return, -9.0% vs SPY | Setup: No Trade; score 0.00; R/R 0.00x; price 348.75 | Market: NEUTRAL; Sector regime: NEUTRAL; Net R/R: 0.00; Factors: Defensive, Healthcare | Agent action: SKIP - SKIP: No Trade result. Market regime NEUTRAL; sector NEUTRAL; net R/R 0.00.</t>
        </is>
      </c>
      <c r="R226" t="inlineStr">
        <is>
          <t>{"adjusted_cash_out": 0.0, "adjusted_position_size": 0, "adjusted_risk_amount": 0.0, "ask": 0.0, "bid": 0.0, "buy_zone_high": null, "buy_zone_low": null, "cash_available": 96983.3, "company_name": "Amgen Inc.", "correlation_warning": false, "days_to_earnings": 41, "earnings_blackout": false, "earnings_date": "2026-08-04T00:00:00", "estimated_fees": 0.0, "estimated_slippage": 0.4883, "estimated_spread": 0.1046, "executable_entry": 348.75, "execution_liquidity_bucket": "large_liquid", "factor_exposure_after": {"Energy": 3009.8}, "factor_exposure_before": {"Energy": 3009.8}, "factor_exposure_cap": 7000.0, "factor_exposure_limit_exceeded": false, "factor_tags": ["Defensive", "Healthcare"], "final_action": "SKIP", "gross_reward_1_per_share": 0.0, "gross_reward_2_per_share": 0.0, "gross_risk_per_share": 348.75, "gross_rr": 0.0, "gross_rr_1": 0.0, "gross_rr_2": 0.0, "gross_rr_decision": 0.0, "highest_correlation_ticker": "XOM", "highest_correlation_value": -0.0466, "initial_action": "SKIP", "market_cap": 187581006393.79,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349.0464, "net_reward_1_per_share": 0.0, "net_reward_2_per_share": 0.0, "net_risk_per_share": 349.3429, "net_rr": 0.0, "net_rr_1": 0.0, "net_rr_2": 0.0, "net_stop_assumption": -0.2964, "net_target_1_assumption": -0.1744, "net_target_2_assumption": -0.1744, "normalized_atr_score": 100.0, "normalized_liquidity_score": 59.64, "normalized_momentum_score": 37.4, "normalized_quality_score": 59.72,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348.75,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348.75, "ticker": "AMGN", "timestamp": "2026-06-08T14:15:34", "warnings": ["Target ATR feasibility unavailable."]}</t>
        </is>
      </c>
    </row>
    <row r="227">
      <c r="A227" t="inlineStr">
        <is>
          <t>2026-06-08T14:15:34</t>
        </is>
      </c>
      <c r="B227" t="inlineStr">
        <is>
          <t>BTU</t>
        </is>
      </c>
      <c r="C227" t="inlineStr">
        <is>
          <t>No Trade</t>
        </is>
      </c>
      <c r="D227" t="n">
        <v>0</v>
      </c>
      <c r="E227" t="n">
        <v>28.57</v>
      </c>
      <c r="H227" t="n">
        <v>0</v>
      </c>
      <c r="K227" t="n">
        <v>0</v>
      </c>
      <c r="L227" t="inlineStr">
        <is>
          <t>No clean technical setup detected. Price in middle of value area or poor risk/reward.</t>
        </is>
      </c>
      <c r="M227" t="inlineStr">
        <is>
          <t>SKIP</t>
        </is>
      </c>
      <c r="N227" t="inlineStr">
        <is>
          <t>SKIP: No Trade result. Market regime NEUTRAL; sector STRONG; net R/R 0.00.</t>
        </is>
      </c>
      <c r="O227" t="inlineStr">
        <is>
          <t>BTU
No Trade
0.00
score
Price
28.57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35.16
Fib Zone
34.75 - 35.58
Swing Low
31.55
Swing High
41.01
Click chart to open full size</t>
        </is>
      </c>
      <c r="P227" t="inlineStr">
        <is>
          <t>agent_results/charts/market_lens_agent_20260608_140702_btu.png</t>
        </is>
      </c>
      <c r="Q227" t="inlineStr">
        <is>
          <t>Smart Universe: broad liquid US universe, diversified by sector | Sector: Energy - Strong (72/100); XLE sector regime is strong: 6.1% 3m return, -3.7% vs SPY | Setup: No Trade; score 0.00; R/R 0.00x; price 28.57 | Market: NEUTRAL; Sector regime: STRONG; Net R/R: 0.00; Factors: Energy | Agent action: SKIP - SKIP: No Trade result. Market regime NEUTRAL; sector STRONG; net R/R 0.00.</t>
        </is>
      </c>
      <c r="R227" t="inlineStr">
        <is>
          <t>{"adjusted_cash_out": 0.0, "adjusted_position_size": 0, "adjusted_risk_amount": 0.0, "ask": 0.0, "bid": 0.0, "buy_zone_high": null, "buy_zone_low": null, "cash_available": 96983.3, "company_name": "Peabody Energy Corporation", "correlation_warning": false, "days_to_earnings": 38, "earnings_blackout": false, "earnings_date": "2026-07-30T00:00:00", "estimated_fees": 0.0, "estimated_slippage": 0.0857, "estimated_spread": 0.0229, "executable_entry": 28.57, "execution_liquidity_bucket": "mid_liquid", "factor_exposure_after": {"Energy": 3009.8}, "factor_exposure_before": {"Energy": 3009.8}, "factor_exposure_cap": 7000.0, "factor_exposure_limit_exceeded": false, "factor_tags": ["Energy"], "final_action": "SKIP", "gross_reward_1_per_share": 0.0, "gross_reward_2_per_share": 0.0, "gross_risk_per_share": 28.57, "gross_rr": 0.0, "gross_rr_1": 0.0, "gross_rr_2": 0.0, "gross_rr_decision": 0.0, "highest_correlation_ticker": "XOM", "highest_correlation_value": 0.3138, "initial_action": "SKIP", "market_cap": 3452167100.17,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28.6243, "net_reward_1_per_share": 0.0, "net_reward_2_per_share": 0.0, "net_risk_per_share": 28.6786, "net_rr": 0.0, "net_rr_1": 0.0, "net_rr_2": 0.0, "net_stop_assumption": -0.0543, "net_target_1_assumption": -0.0329, "net_target_2_assumption": -0.0329, "normalized_atr_score": 100.0, "normalized_liquidity_score": 36.76, "normalized_momentum_score": 48.5, "normalized_quality_score": 57.85,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28.57, "prior_high_20": 0.0, "prior_high_63": 0.0, "reason": "SKIP: No Trade result. Market regime NEUTRAL; sector STRONG; net R/R 0.00.", "risk_amount": 0.0, "scan_source": "Smart Universe: broad liquid US universe filtered and diversified by the Market Lens UI.", "sector": "Energy", "sector_etf": "XLE", "sector_exposure_after": 3009.8, "sector_exposure_before": 3009.8,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28.57, "ticker": "BTU", "timestamp": "2026-06-08T14:15:34", "warnings": ["Target ATR feasibility unavailable."]}</t>
        </is>
      </c>
    </row>
    <row r="228">
      <c r="A228" t="inlineStr">
        <is>
          <t>2026-06-08T14:15:34</t>
        </is>
      </c>
      <c r="B228" t="inlineStr">
        <is>
          <t>CTAS</t>
        </is>
      </c>
      <c r="C228" t="inlineStr">
        <is>
          <t>No Trade</t>
        </is>
      </c>
      <c r="D228" t="n">
        <v>0</v>
      </c>
      <c r="E228" t="n">
        <v>178.13</v>
      </c>
      <c r="H228" t="n">
        <v>0</v>
      </c>
      <c r="K228" t="n">
        <v>0</v>
      </c>
      <c r="L228" t="inlineStr">
        <is>
          <t>No clean technical setup detected. Price in middle of value area or poor risk/reward.</t>
        </is>
      </c>
      <c r="M228" t="inlineStr">
        <is>
          <t>SKIP</t>
        </is>
      </c>
      <c r="N228" t="inlineStr">
        <is>
          <t>SKIP: No Trade result. Market regime NEUTRAL; sector NEUTRAL; net R/R 0.00.</t>
        </is>
      </c>
      <c r="O228" t="inlineStr">
        <is>
          <t>CTAS
No Trade
0.00
score
Price
178.13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166.56
Fib Zone
165.56 - 167.56
Swing Low
160.72
Swing High
176.00
Click chart to open full size</t>
        </is>
      </c>
      <c r="P228" t="inlineStr">
        <is>
          <t>agent_results/charts/market_lens_agent_20260608_140702_ctas.png</t>
        </is>
      </c>
      <c r="Q228" t="inlineStr">
        <is>
          <t>Smart Universe: broad liquid US universe, diversified by sector | Sector: Industrials - Neutral (67/100); XLI sector regime is neutral: 3.0% 3m return, -6.8% vs SPY | Setup: No Trade; score 0.00; R/R 0.00x; price 178.13 | Market: NEUTRAL; Sector regime: NEUTRAL; Net R/R: 0.00; Factors: Industrials | Agent action: SKIP - SKIP: No Trade result. Market regime NEUTRAL; sector NEUTRAL; net R/R 0.00.</t>
        </is>
      </c>
      <c r="R228" t="inlineStr">
        <is>
          <t>{"adjusted_cash_out": 0.0, "adjusted_position_size": 0, "adjusted_risk_amount": 0.0, "ask": 0.0, "bid": 0.0, "buy_zone_high": null, "buy_zone_low": null, "cash_available": 96983.3, "company_name": "Cintas", "correlation_warning": false, "days_to_earnings": -53, "earnings_blackout": false, "earnings_date": "2026-03-25T00:00:00", "estimated_fees": 0.0, "estimated_slippage": 0.5344, "estimated_spread": 0.1425, "executable_entry": 178.13, "execution_liquidity_bucket": "mid_liquid", "factor_exposure_after": {"Energy": 3009.8}, "factor_exposure_before": {"Energy": 3009.8}, "factor_exposure_cap": 7000.0, "factor_exposure_limit_exceeded": false, "factor_tags": ["Industrials"], "final_action": "SKIP", "gross_reward_1_per_share": 0.0, "gross_reward_2_per_share": 0.0, "gross_risk_per_share": 178.13, "gross_rr": 0.0, "gross_rr_1": 0.0, "gross_rr_2": 0.0, "gross_rr_decision": 0.0, "highest_correlation_ticker": "XOM", "highest_correlation_value": 0.0019, "initial_action": "SKIP", "market_cap": 71306393611.28,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178.4684, "net_reward_1_per_share": 0.0, "net_reward_2_per_share": 0.0, "net_risk_per_share": 178.8069, "net_rr": 0.0, "net_rr_1": 0.0, "net_rr_2": 0.0, "net_stop_assumption": -0.3384, "net_target_1_assumption": -0.2048, "net_target_2_assumption": -0.2048, "normalized_atr_score": 100.0, "normalized_liquidity_score": 39.76, "normalized_momentum_score": 32.55, "normalized_quality_score": 51.58,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178.13,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178.13, "ticker": "CTAS", "timestamp": "2026-06-08T14:15:34", "warnings": ["Target ATR feasibility unavailable."]}</t>
        </is>
      </c>
    </row>
    <row r="229">
      <c r="A229" t="inlineStr">
        <is>
          <t>2026-06-08T14:15:34</t>
        </is>
      </c>
      <c r="B229" t="inlineStr">
        <is>
          <t>BLK</t>
        </is>
      </c>
      <c r="C229" t="inlineStr">
        <is>
          <t>No Trade</t>
        </is>
      </c>
      <c r="D229" t="n">
        <v>0</v>
      </c>
      <c r="E229" t="n">
        <v>1000.13</v>
      </c>
      <c r="H229" t="n">
        <v>0</v>
      </c>
      <c r="K229" t="n">
        <v>0</v>
      </c>
      <c r="L229" t="inlineStr">
        <is>
          <t>No clean technical setup detected. Price in middle of value area or poor risk/reward.</t>
        </is>
      </c>
      <c r="M229" t="inlineStr">
        <is>
          <t>SKIP</t>
        </is>
      </c>
      <c r="N229" t="inlineStr">
        <is>
          <t>SKIP: No Trade result. Market regime NEUTRAL; sector STRONG; net R/R 0.00.</t>
        </is>
      </c>
      <c r="O229" t="inlineStr">
        <is>
          <t>BLK
No Trade
0.00
score
Price
1000.13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1045.24
Fib Zone
1039.03 - 1051.44
Swing Low
1024.42
Swing High
1078.92
Click chart to open full size</t>
        </is>
      </c>
      <c r="P229" t="inlineStr">
        <is>
          <t>agent_results/charts/market_lens_agent_20260608_140702_blk.png</t>
        </is>
      </c>
      <c r="Q229" t="inlineStr">
        <is>
          <t>Smart Universe: broad liquid US universe, diversified by sector | Sector: Financials - Strong (70/100); XLF sector regime is strong: 5.0% 3m return, -4.7% vs SPY | Setup: No Trade; score 0.00; R/R 0.00x; price 1000.13 | Market: NEUTRAL; Sector regime: STRONG; Net R/R: 0.00; Factors: Financials | Agent action: SKIP - SKIP: No Trade result. Market regime NEUTRAL; sector STRONG; net R/R 0.00.</t>
        </is>
      </c>
      <c r="R229" t="inlineStr">
        <is>
          <t>{"adjusted_cash_out": 0.0, "adjusted_position_size": 0, "adjusted_risk_amount": 0.0, "ask": 0.0, "bid": 0.0, "buy_zone_high": null, "buy_zone_low": null, "cash_available": 96983.3, "company_name": "BlackRock, Inc.", "correlation_warning": false, "days_to_earnings": 27, "earnings_blackout": false, "earnings_date": "2026-07-15T00:00:00", "estimated_fees": 0.0, "estimated_slippage": 1.4002, "estimated_spread": 0.3, "executable_entry": 1000.13,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1000.13, "gross_rr": 0.0, "gross_rr_1": 0.0, "gross_rr_2": 0.0, "gross_rr_decision": 0.0, "highest_correlation_ticker": "XOM", "highest_correlation_value": -0.3752, "initial_action": "SKIP", "market_cap": 155176553182.05,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1000.9801, "net_reward_1_per_share": 0.0, "net_reward_2_per_share": 0.0, "net_risk_per_share": 1001.8302, "net_rr": 0.0, "net_rr_1": 0.0, "net_rr_2": 0.0, "net_stop_assumption": -0.8501, "net_target_1_assumption": -0.5001, "net_target_2_assumption": -0.5001, "normalized_atr_score": 100.0, "normalized_liquidity_score": 56.39, "normalized_momentum_score": 50.95, "normalized_quality_score": 64.84,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1000.13,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1000.13, "ticker": "BLK", "timestamp": "2026-06-08T14:15:34", "warnings": ["Target ATR feasibility unavailable."]}</t>
        </is>
      </c>
    </row>
    <row r="230">
      <c r="A230" t="inlineStr">
        <is>
          <t>2026-06-08T14:15:34</t>
        </is>
      </c>
      <c r="B230" t="inlineStr">
        <is>
          <t>UPST</t>
        </is>
      </c>
      <c r="C230" t="inlineStr">
        <is>
          <t>No Trade</t>
        </is>
      </c>
      <c r="D230" t="n">
        <v>0</v>
      </c>
      <c r="E230" t="n">
        <v>30.2</v>
      </c>
      <c r="H230" t="n">
        <v>0</v>
      </c>
      <c r="K230" t="n">
        <v>0</v>
      </c>
      <c r="L230" t="inlineStr">
        <is>
          <t>No clean technical setup detected. Price in middle of value area or poor risk/reward.</t>
        </is>
      </c>
      <c r="M230" t="inlineStr">
        <is>
          <t>SKIP</t>
        </is>
      </c>
      <c r="N230" t="inlineStr">
        <is>
          <t>SKIP: No Trade result. Market regime NEUTRAL; sector STRONG; net R/R 0.00.</t>
        </is>
      </c>
      <c r="O230" t="inlineStr">
        <is>
          <t>UPST
No Trade
0.00
score
Price
30.20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27.92
Fib Zone
27.42 - 28.42
Swing Low
26.22
Swing High
30.67
Click chart to open full size</t>
        </is>
      </c>
      <c r="P230" t="inlineStr">
        <is>
          <t>agent_results/charts/market_lens_agent_20260608_140702_upst.png</t>
        </is>
      </c>
      <c r="Q230" t="inlineStr">
        <is>
          <t>Smart Universe: broad liquid US universe, diversified by sector | Sector: Financials - Strong (70/100); XLF sector regime is strong: 5.0% 3m return, -4.7% vs SPY | Setup: No Trade; score 0.00; R/R 0.00x; price 30.20 | Market: NEUTRAL; Sector regime: STRONG; Net R/R: 0.00; Factors: Financials | Agent action: SKIP - SKIP: No Trade result. Market regime NEUTRAL; sector STRONG; net R/R 0.00.</t>
        </is>
      </c>
      <c r="R230" t="inlineStr">
        <is>
          <t>{"adjusted_cash_out": 0.0, "adjusted_position_size": 0, "adjusted_risk_amount": 0.0, "ask": 0.0, "bid": 0.0, "buy_zone_high": null, "buy_zone_low": null, "cash_available": 96983.3, "company_name": "Upstart Holdings Inc. Common stock", "correlation_warning": false, "days_to_earnings": 41, "earnings_blackout": false, "earnings_date": "2026-08-04T00:00:00", "estimated_fees": 0.0, "estimated_slippage": 0.1042, "estimated_spread": 0.0242, "executable_entry": 30.2, "execution_liquidity_bucket": "mid_liquid", "factor_exposure_after": {"Energy": 3009.8}, "factor_exposure_before": {"Energy": 3009.8}, "factor_exposure_cap": 7000.0, "factor_exposure_limit_exceeded": false, "factor_tags": ["Financials"], "final_action": "SKIP", "gross_reward_1_per_share": 0.0, "gross_reward_2_per_share": 0.0, "gross_risk_per_share": 30.2, "gross_rr": 0.0, "gross_rr_1": 0.0, "gross_rr_2": 0.0, "gross_rr_decision": 0.0, "highest_correlation_ticker": "XOM", "highest_correlation_value": -0.2006, "initial_action": "SKIP", "market_cap": 2905803293.26, "market_cap_bucket": "Mid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30.2642, "net_reward_1_per_share": 0.0, "net_reward_2_per_share": 0.0, "net_risk_per_share": 30.3284, "net_rr": 0.0, "net_rr_1": 0.0, "net_rr_2": 0.0, "net_stop_assumption": -0.0642, "net_target_1_assumption": -0.0381, "net_target_2_assumption": -0.0381, "normalized_atr_score": 99.71, "normalized_liquidity_score": 42.82, "normalized_momentum_score": 78.83, "normalized_quality_score": 73.25,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30.2, "ticker": "UPST", "timestamp": "2026-06-08T14:15:34", "warnings": ["Target ATR feasibility unavailable."]}</t>
        </is>
      </c>
    </row>
    <row r="231">
      <c r="A231" t="inlineStr">
        <is>
          <t>2026-06-08T14:15:34</t>
        </is>
      </c>
      <c r="B231" t="inlineStr">
        <is>
          <t>BA</t>
        </is>
      </c>
      <c r="C231" t="inlineStr">
        <is>
          <t>No Trade</t>
        </is>
      </c>
      <c r="D231" t="n">
        <v>0</v>
      </c>
      <c r="E231" t="n">
        <v>216.86</v>
      </c>
      <c r="H231" t="n">
        <v>0</v>
      </c>
      <c r="K231" t="n">
        <v>0</v>
      </c>
      <c r="L231" t="inlineStr">
        <is>
          <t>No clean technical setup detected. Price in middle of value area or poor risk/reward.</t>
        </is>
      </c>
      <c r="M231" t="inlineStr">
        <is>
          <t>SKIP</t>
        </is>
      </c>
      <c r="N231" t="inlineStr">
        <is>
          <t>SKIP: No Trade result. Market regime NEUTRAL; sector NEUTRAL; net R/R 0.00.</t>
        </is>
      </c>
      <c r="O231" t="inlineStr">
        <is>
          <t>BA
No Trade
0.00
score
Price
216.86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220.99
Fib Zone
219.24 - 222.74
Swing Low
214.00
Swing High
232.30
Click chart to open full size</t>
        </is>
      </c>
      <c r="P231" t="inlineStr">
        <is>
          <t>agent_results/charts/market_lens_agent_20260608_140702_ba.png</t>
        </is>
      </c>
      <c r="Q231" t="inlineStr">
        <is>
          <t>Smart Universe: broad liquid US universe, diversified by sector | Sector: Industrials - Neutral (67/100); XLI sector regime is neutral: 3.0% 3m return, -6.8% vs SPY | Setup: No Trade; score 0.00; R/R 0.00x; price 216.86 | Market: NEUTRAL; Sector regime: NEUTRAL; Net R/R: 0.00; Factors: Industrials | Agent action: SKIP - SKIP: No Trade result. Market regime NEUTRAL; sector NEUTRAL; net R/R 0.00.</t>
        </is>
      </c>
      <c r="R231" t="inlineStr">
        <is>
          <t>{"adjusted_cash_out": 0.0, "adjusted_position_size": 0, "adjusted_risk_amount": 0.0, "ask": 0.0, "bid": 0.0, "buy_zone_high": null, "buy_zone_low": null, "cash_available": 96983.3, "company_name": "Boeing Company", "correlation_warning": false, "days_to_earnings": 36, "earnings_blackout": false, "earnings_date": "2026-07-28T00:00:00", "estimated_fees": 0.0, "estimated_slippage": 0.3036, "estimated_spread": 0.0651, "executable_entry": 216.86, "execution_liquidity_bucket": "large_liquid", "factor_exposure_after": {"Energy": 3009.8}, "factor_exposure_before": {"Energy": 3009.8}, "factor_exposure_cap": 7000.0, "factor_exposure_limit_exceeded": false, "factor_tags": ["Industrials"], "final_action": "SKIP", "gross_reward_1_per_share": 0.0, "gross_reward_2_per_share": 0.0, "gross_risk_per_share": 216.86, "gross_rr": 0.0, "gross_rr_1": 0.0, "gross_rr_2": 0.0, "gross_rr_decision": 0.0, "highest_correlation_ticker": "XOM", "highest_correlation_value": -0.4128, "initial_action": "SKIP", "market_cap": 170762047092.09,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217.0443, "net_reward_1_per_share": 0.0, "net_reward_2_per_share": 0.0, "net_risk_per_share": 217.2287, "net_rr": 0.0, "net_rr_1": 0.0, "net_rr_2": 0.0, "net_stop_assumption": -0.1843, "net_target_1_assumption": -0.1084, "net_target_2_assumption": -0.1084, "normalized_atr_score": 100.0, "normalized_liquidity_score": 80.65, "normalized_momentum_score": 34.34, "normalized_quality_score": 64.65,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216.86,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216.86, "ticker": "BA", "timestamp": "2026-06-08T14:15:34", "warnings": ["Target ATR feasibility unavailable."]}</t>
        </is>
      </c>
    </row>
    <row r="232">
      <c r="A232" t="inlineStr">
        <is>
          <t>2026-06-08T14:15:34</t>
        </is>
      </c>
      <c r="B232" t="inlineStr">
        <is>
          <t>MA</t>
        </is>
      </c>
      <c r="C232" t="inlineStr">
        <is>
          <t>No Trade</t>
        </is>
      </c>
      <c r="D232" t="n">
        <v>0</v>
      </c>
      <c r="E232" t="n">
        <v>486.95</v>
      </c>
      <c r="H232" t="n">
        <v>0</v>
      </c>
      <c r="K232" t="n">
        <v>0</v>
      </c>
      <c r="L232" t="inlineStr">
        <is>
          <t>No clean technical setup detected. Price in middle of value area or poor risk/reward.</t>
        </is>
      </c>
      <c r="M232" t="inlineStr">
        <is>
          <t>SKIP</t>
        </is>
      </c>
      <c r="N232" t="inlineStr">
        <is>
          <t>SKIP: No Trade result. Market regime NEUTRAL; sector STRONG; net R/R 0.00.</t>
        </is>
      </c>
      <c r="O232" t="inlineStr">
        <is>
          <t>MA
No Trade
0.00
score
Price
486.95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497.52
Fib Zone
494.72 - 500.31
Swing Low
488.01
Swing High
512.90
Click chart to open full size</t>
        </is>
      </c>
      <c r="P232" t="inlineStr">
        <is>
          <t>agent_results/charts/market_lens_agent_20260608_140702_ma.png</t>
        </is>
      </c>
      <c r="Q232" t="inlineStr">
        <is>
          <t>Smart Universe: broad liquid US universe, diversified by sector | Sector: Financials - Strong (70/100); XLF sector regime is strong: 5.0% 3m return, -4.7% vs SPY | Setup: No Trade; score 0.00; R/R 0.00x; price 486.95 | Market: NEUTRAL; Sector regime: STRONG; Net R/R: 0.00; Factors: Financials | Agent action: SKIP - SKIP: No Trade result. Market regime NEUTRAL; sector STRONG; net R/R 0.00.</t>
        </is>
      </c>
      <c r="R232" t="inlineStr">
        <is>
          <t>{"adjusted_cash_out": 0.0, "adjusted_position_size": 0, "adjusted_risk_amount": 0.0, "ask": 0.0, "bid": 0.0, "buy_zone_high": null, "buy_zone_low": null, "cash_available": 96983.3, "company_name": "Mastercard Incorporated", "correlation_warning": false, "days_to_earnings": 38, "earnings_blackout": false, "earnings_date": "2026-07-30T00:00:00", "estimated_fees": 0.0, "estimated_slippage": 0.6817, "estimated_spread": 0.1461, "executable_entry": 486.95, "execution_liquidity_bucket": "large_liquid", "factor_exposure_after": {"Energy": 3009.8}, "factor_exposure_before": {"Energy": 3009.8}, "factor_exposure_cap": 7000.0, "factor_exposure_limit_exceeded": false, "factor_tags": ["Financials"], "final_action": "SKIP", "gross_reward_1_per_share": 0.0, "gross_reward_2_per_share": 0.0, "gross_risk_per_share": 486.95, "gross_rr": 0.0, "gross_rr_1": 0.0, "gross_rr_2": 0.0, "gross_rr_decision": 0.0, "highest_correlation_ticker": "XOM", "highest_correlation_value": -0.0295, "initial_action": "SKIP", "market_cap": 430791297719.31,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487.3639, "net_reward_1_per_share": 0.0, "net_reward_2_per_share": 0.0, "net_risk_per_share": 487.7778, "net_rr": 0.0, "net_rr_1": 0.0, "net_rr_2": 0.0, "net_stop_assumption": -0.4139, "net_target_1_assumption": -0.2435, "net_target_2_assumption": -0.2435, "normalized_atr_score": 100.0, "normalized_liquidity_score": 48.65, "normalized_momentum_score": 28.85, "normalized_quality_score": 52.58,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486.95, "ticker": "MA", "timestamp": "2026-06-08T14:15:34", "warnings": ["Target ATR feasibility unavailable."]}</t>
        </is>
      </c>
    </row>
    <row r="233">
      <c r="A233" t="inlineStr">
        <is>
          <t>2026-06-08T14:15:34</t>
        </is>
      </c>
      <c r="B233" t="inlineStr">
        <is>
          <t>XOM</t>
        </is>
      </c>
      <c r="C233" t="inlineStr">
        <is>
          <t>No Trade</t>
        </is>
      </c>
      <c r="D233" t="n">
        <v>0</v>
      </c>
      <c r="E233" t="n">
        <v>153.43</v>
      </c>
      <c r="H233" t="n">
        <v>0</v>
      </c>
      <c r="K233" t="n">
        <v>0</v>
      </c>
      <c r="L233" t="inlineStr">
        <is>
          <t>No clean technical setup detected. Price in middle of value area or poor risk/reward.</t>
        </is>
      </c>
      <c r="M233" t="inlineStr">
        <is>
          <t>HOLD</t>
        </is>
      </c>
      <c r="N233" t="inlineStr">
        <is>
          <t>HOLD: Existing simulated position remains open. NEUTRAL regime recorded.</t>
        </is>
      </c>
      <c r="O233" t="inlineStr">
        <is>
          <t>XOM
No Trade
0.00
score
Price
153.43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150.87
Fib Zone
149.87 - 151.87
Swing Low
142.95
Swing High
163.68
Click chart to open full size</t>
        </is>
      </c>
      <c r="P233" t="inlineStr">
        <is>
          <t>agent_results/charts/market_lens_agent_20260608_140702_xom.png</t>
        </is>
      </c>
      <c r="Q233" t="inlineStr">
        <is>
          <t>Smart Universe: broad liquid US universe, diversified by sector | Sector: Energy - Strong (72/100); XLE sector regime is strong: 6.1% 3m return, -3.7% vs SPY | Setup: No Trade; score 0.00; R/R 0.00x; price 153.43 | Market: NEUTRAL; Sector regime: STRONG; Net R/R: 0.00; Factors: Energy | Agent action: HOLD - HOLD: Existing simulated position remains open. NEUTRAL regime recorded.</t>
        </is>
      </c>
      <c r="R233" t="inlineStr">
        <is>
          <t>{"adjusted_cash_out": 0.0, "adjusted_position_size": 0, "adjusted_risk_amount": 0.0, "ask": 0.0, "bid": 0.0, "buy_zone_high": null, "buy_zone_low": null, "cash_available": 96983.3, "company_name": "Exxon Mobil Corporation", "correlation_warning": false, "days_to_earnings": 39, "earnings_blackout": false, "earnings_date": "2026-07-31T00:00:00", "estimated_fees": 0.0, "estimated_slippage": 0.2148, "estimated_spread": 0.046, "executable_entry": 153.43, "execution_liquidity_bucket": "large_liquid", "factor_exposure_after": {}, "factor_exposure_before": {}, "factor_exposure_cap": 7000.0, "factor_exposure_limit_exceeded": false, "factor_tags": ["Energy"], "final_action": "HOLD", "gross_reward_1_per_share": 0.0, "gross_reward_2_per_share": 0.0, "gross_risk_per_share": 153.43, "gross_rr": 0.0, "gross_rr_1": 0.0, "gross_rr_2": 0.0, "gross_rr_decision": 0.0, "highest_correlation_ticker": "", "highest_correlation_value": null, "initial_action": "HOLD", "market_cap": 632042270527.44,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153.5604, "net_reward_1_per_share": 0.0, "net_reward_2_per_share": 0.0, "net_risk_per_share": 153.6908, "net_rr": 0.0, "net_rr_1": 0.0, "net_rr_2": 0.0, "net_stop_assumption": -0.1304, "net_target_1_assumption": -0.0767, "net_target_2_assumption": -0.0767, "normalized_atr_score": 100.0, "normalized_liquidity_score": 57.63, "normalized_momentum_score": 73.02, "normalized_quality_score": 75.15,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153.43, "prior_high_20": 0.0, "prior_high_63": 0.0,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153.43, "ticker": "XOM", "timestamp": "2026-06-08T14:15:34", "warnings": ["Target ATR feasibility unavailable."]}</t>
        </is>
      </c>
    </row>
    <row r="234">
      <c r="A234" t="inlineStr">
        <is>
          <t>2026-06-08T14:15:34</t>
        </is>
      </c>
      <c r="B234" t="inlineStr">
        <is>
          <t>OKE</t>
        </is>
      </c>
      <c r="C234" t="inlineStr">
        <is>
          <t>No Trade</t>
        </is>
      </c>
      <c r="D234" t="n">
        <v>0</v>
      </c>
      <c r="E234" t="n">
        <v>89.34999999999999</v>
      </c>
      <c r="H234" t="n">
        <v>0</v>
      </c>
      <c r="K234" t="n">
        <v>0</v>
      </c>
      <c r="L234" t="inlineStr">
        <is>
          <t>No clean technical setup detected. Price in middle of value area or poor risk/reward.</t>
        </is>
      </c>
      <c r="M234" t="inlineStr">
        <is>
          <t>SKIP</t>
        </is>
      </c>
      <c r="N234" t="inlineStr">
        <is>
          <t>SKIP: No Trade result. Market regime NEUTRAL; sector STRONG; net R/R 0.00.</t>
        </is>
      </c>
      <c r="O234" t="inlineStr">
        <is>
          <t>OKE
No Trade
0.00
score
Price
89.35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88.40
Fib Zone
87.81 - 88.99
Swing Low
83.66
Swing High
96.07
Click chart to open full size</t>
        </is>
      </c>
      <c r="P234" t="inlineStr">
        <is>
          <t>agent_results/charts/market_lens_agent_20260608_140702_oke.png</t>
        </is>
      </c>
      <c r="Q234" t="inlineStr">
        <is>
          <t>Smart Universe: broad liquid US universe, diversified by sector | Sector: Energy - Strong (72/100); XLE sector regime is strong: 6.1% 3m return, -3.7% vs SPY | Setup: No Trade; score 0.00; R/R 0.00x; price 89.35 | Market: NEUTRAL; Sector regime: STRONG; Net R/R: 0.00; Factors: Energy | Agent action: SKIP - SKIP: No Trade result. Market regime NEUTRAL; sector STRONG; net R/R 0.00.</t>
        </is>
      </c>
      <c r="R234" t="inlineStr">
        <is>
          <t>{"adjusted_cash_out": 0.0, "adjusted_position_size": 0, "adjusted_risk_amount": 0.0, "ask": 0.0, "bid": 0.0, "buy_zone_high": null, "buy_zone_low": null, "cash_available": 96983.3, "company_name": "ONEOK, Inc.", "correlation_warning": false, "days_to_earnings": -29, "earnings_blackout": false, "earnings_date": "2026-04-28T00:00:00", "estimated_fees": 0.0, "estimated_slippage": 0.2681, "estimated_spread": 0.0715, "executable_entry": 89.35,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89.35, "gross_rr": 0.0, "gross_rr_1": 0.0, "gross_rr_2": 0.0, "gross_rr_decision": 0.0, "highest_correlation_ticker": "XOM", "highest_correlation_value": 0.6335, "initial_action": "SKIP", "market_cap": 56129624477.43,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89.5198, "net_reward_1_per_share": 0.0, "net_reward_2_per_share": 0.0, "net_risk_per_share": 89.6895, "net_rr": 0.0, "net_rr_1": 0.0, "net_rr_2": 0.0, "net_stop_assumption": -0.1698, "net_target_1_assumption": -0.1028, "net_target_2_assumption": -0.1028, "normalized_atr_score": 100.0, "normalized_liquidity_score": 37.48, "normalized_momentum_score": 78.08, "normalized_quality_score": 71.38,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89.35,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89.35, "ticker": "OKE", "timestamp": "2026-06-08T14:15:34", "warnings": ["Target ATR feasibility unavailable."]}</t>
        </is>
      </c>
    </row>
    <row r="235">
      <c r="A235" t="inlineStr">
        <is>
          <t>2026-06-08T14:15:34</t>
        </is>
      </c>
      <c r="B235" t="inlineStr">
        <is>
          <t>CVX</t>
        </is>
      </c>
      <c r="C235" t="inlineStr">
        <is>
          <t>No Trade</t>
        </is>
      </c>
      <c r="D235" t="n">
        <v>0</v>
      </c>
      <c r="E235" t="n">
        <v>190.72</v>
      </c>
      <c r="H235" t="n">
        <v>0</v>
      </c>
      <c r="K235" t="n">
        <v>0</v>
      </c>
      <c r="L235" t="inlineStr">
        <is>
          <t>No clean technical setup detected. Price in middle of value area or poor risk/reward.</t>
        </is>
      </c>
      <c r="M235" t="inlineStr">
        <is>
          <t>SKIP</t>
        </is>
      </c>
      <c r="N235" t="inlineStr">
        <is>
          <t>SKIP: No Trade result. Market regime NEUTRAL; sector STRONG; net R/R 0.00.</t>
        </is>
      </c>
      <c r="O235" t="inlineStr">
        <is>
          <t>CVX
No Trade
0.00
score
Price
190.72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185.91
Fib Zone
184.86 - 186.96
Swing Low
177.90
Swing High
198.87
Click chart to open full size</t>
        </is>
      </c>
      <c r="P235" t="inlineStr">
        <is>
          <t>agent_results/charts/market_lens_agent_20260608_140702_cvx.png</t>
        </is>
      </c>
      <c r="Q235" t="inlineStr">
        <is>
          <t>Smart Universe: broad liquid US universe, diversified by sector | Sector: Energy - Strong (72/100); XLE sector regime is strong: 6.1% 3m return, -3.7% vs SPY | Setup: No Trade; score 0.00; R/R 0.00x; price 190.72 | Market: NEUTRAL; Sector regime: STRONG; Net R/R: 0.00; Factors: Energy | Agent action: SKIP - SKIP: No Trade result. Market regime NEUTRAL; sector STRONG; net R/R 0.00.</t>
        </is>
      </c>
      <c r="R235" t="inlineStr">
        <is>
          <t>{"adjusted_cash_out": 0.0, "adjusted_position_size": 0, "adjusted_risk_amount": 0.0, "ask": 0.0, "bid": 0.0, "buy_zone_high": null, "buy_zone_low": null, "cash_available": 96983.3, "company_name": "Chevron Corporation", "correlation_warning": true, "days_to_earnings": 39, "earnings_blackout": false, "earnings_date": "2026-07-31T00:00:00", "estimated_fees": 0.0, "estimated_slippage": 0.267, "estimated_spread": 0.0572, "executable_entry": 190.72,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190.72, "gross_rr": 0.0, "gross_rr_1": 0.0, "gross_rr_2": 0.0, "gross_rr_decision": 0.0, "highest_correlation_ticker": "XOM", "highest_correlation_value": 0.8609, "initial_action": "SKIP", "market_cap": 378154619363.5,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190.8821, "net_reward_1_per_share": 0.0, "net_reward_2_per_share": 0.0, "net_risk_per_share": 191.0442, "net_rr": 0.0, "net_rr_1": 0.0, "net_rr_2": 0.0, "net_stop_assumption": -0.1621, "net_target_1_assumption": -0.0954, "net_target_2_assumption": -0.0954, "normalized_atr_score": 100.0, "normalized_liquidity_score": 48.18, "normalized_momentum_score": 69.09, "normalized_quality_score": 70.54,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190.72,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190.72, "ticker": "CVX", "timestamp": "2026-06-08T14:15:34", "warnings": ["Target ATR feasibility unavailable."]}</t>
        </is>
      </c>
    </row>
    <row r="236">
      <c r="A236" t="inlineStr">
        <is>
          <t>2026-06-08T14:15:34</t>
        </is>
      </c>
      <c r="B236" t="inlineStr">
        <is>
          <t>ELAN</t>
        </is>
      </c>
      <c r="C236" t="inlineStr">
        <is>
          <t>No Trade</t>
        </is>
      </c>
      <c r="D236" t="n">
        <v>0</v>
      </c>
      <c r="E236" t="n">
        <v>23.8</v>
      </c>
      <c r="H236" t="n">
        <v>0</v>
      </c>
      <c r="K236" t="n">
        <v>0</v>
      </c>
      <c r="L236" t="inlineStr">
        <is>
          <t>No clean technical setup detected. Price in middle of value area or poor risk/reward.</t>
        </is>
      </c>
      <c r="M236" t="inlineStr">
        <is>
          <t>SKIP</t>
        </is>
      </c>
      <c r="N236" t="inlineStr">
        <is>
          <t>SKIP: No Trade result. Market regime NEUTRAL; sector NEUTRAL; net R/R 0.00.</t>
        </is>
      </c>
      <c r="O236" t="inlineStr">
        <is>
          <t>ELAN
No Trade
0.00
score
Price
23.80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23.40
Fib Zone
23.12 - 23.68
Swing Low
21.62
Swing High
26.29
Click chart to open full size</t>
        </is>
      </c>
      <c r="P236" t="inlineStr">
        <is>
          <t>agent_results/charts/market_lens_agent_20260608_140702_elan.png</t>
        </is>
      </c>
      <c r="Q236" t="inlineStr">
        <is>
          <t>Smart Universe: broad liquid US universe, diversified by sector | Sector: Unknown | Setup: No Trade; score 0.00; R/R 0.00x; price 23.80 | Market: NEUTRAL; Sector regime: NEUTRAL; Net R/R: 0.00 | Agent action: SKIP - SKIP: No Trade result. Market regime NEUTRAL; sector NEUTRAL; net R/R 0.00.</t>
        </is>
      </c>
      <c r="R236" t="inlineStr">
        <is>
          <t>{"adjusted_cash_out": 0.0, "adjusted_position_size": 0, "adjusted_risk_amount": 0.0, "ask": 0.0, "bid": 0.0, "buy_zone_high": null, "buy_zone_low": null, "cash_available": 96983.3, "company_name": "ELAN", "correlation_warning": false, "days_to_earnings": 43, "earnings_blackout": false, "earnings_date": "2026-08-06T00:00:00", "estimated_fees": 0.0, "estimated_slippage": 0.0714, "estimated_spread": 0.019, "executable_entry": 23.8,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23.8, "gross_rr": 0.0, "gross_rr_1": 0.0, "gross_rr_2": 0.0, "gross_rr_decision": 0.0, "highest_correlation_ticker": "XOM", "highest_correlation_value": -0.2966, "initial_action": "SKIP", "market_cap": 11831960888.0,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23.8452, "net_reward_1_per_share": 0.0, "net_reward_2_per_share": 0.0, "net_risk_per_share": 23.8904, "net_rr": 0.0, "net_rr_1": 0.0, "net_rr_2": 0.0, "net_stop_assumption": -0.0452, "net_target_1_assumption": -0.0274, "net_target_2_assumption": -0.0274, "normalized_atr_score": 100.0, "normalized_liquidity_score": 22.92, "normalized_momentum_score": 50.54, "normalized_quality_score": 54.62,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23.8,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23.8, "ticker": "ELAN", "timestamp": "2026-06-08T14:15:34", "warnings": ["Target ATR feasibility unavailable."]}</t>
        </is>
      </c>
    </row>
    <row r="237">
      <c r="A237" t="inlineStr">
        <is>
          <t>2026-06-08T14:15:34</t>
        </is>
      </c>
      <c r="B237" t="inlineStr">
        <is>
          <t>MSFT</t>
        </is>
      </c>
      <c r="C237" t="inlineStr">
        <is>
          <t>No Trade</t>
        </is>
      </c>
      <c r="D237" t="n">
        <v>0</v>
      </c>
      <c r="E237" t="n">
        <v>411.75</v>
      </c>
      <c r="H237" t="n">
        <v>0</v>
      </c>
      <c r="K237" t="n">
        <v>0</v>
      </c>
      <c r="L237" t="inlineStr">
        <is>
          <t>No clean technical setup detected. Price in middle of value area or poor risk/reward.</t>
        </is>
      </c>
      <c r="M237" t="inlineStr">
        <is>
          <t>SKIP</t>
        </is>
      </c>
      <c r="N237" t="inlineStr">
        <is>
          <t>SKIP: No Trade result. Market regime NEUTRAL; sector STRONG; net R/R 0.00.</t>
        </is>
      </c>
      <c r="O237" t="inlineStr">
        <is>
          <t>MSFT
No Trade
0.00
score
Price
411.75
R/R
0.00x
Grade
No Trade
Quality
0%
Buy Zone
-
Stop
0.00
Targets
-
Skip
Mixed
Relative Strength
Lagging
3%
Trend Quality
Constructive
68%
Liquidity
Institutional liquidity
100%
Volume
Confirmed
80%
No actionable setup detected.
No clean technical setup detected. Price in middle of value area or poor risk/reward.
Fib 61.8
431.25
Fib Zone
428.16 - 434.35
Swing Low
409.58
Swing High
466.32
Click chart to open full size</t>
        </is>
      </c>
      <c r="P237" t="inlineStr">
        <is>
          <t>agent_results/charts/market_lens_agent_20260608_140702_msft.png</t>
        </is>
      </c>
      <c r="Q237" t="inlineStr">
        <is>
          <t>Smart Universe: broad liquid US universe, diversified by sector | Sector: Technology - Strong (97/100); XLK sector regime is strong: 31.8% 3m return, 22.0% vs SPY | Setup: No Trade; score 0.00; R/R 0.00x; price 411.75 | Market: NEUTRAL; Sector regime: STRONG; Net R/R: 0.00; Factors: Mega Cap Tech, Rates-sensitive Growth, Technology | Agent action: SKIP - SKIP: No Trade result. Market regime NEUTRAL; sector STRONG; net R/R 0.00.</t>
        </is>
      </c>
      <c r="R237" t="inlineStr">
        <is>
          <t>{"adjusted_cash_out": 0.0, "adjusted_position_size": 0, "adjusted_risk_amount": 0.0, "ask": 0.0, "bid": 0.0, "buy_zone_high": null, "buy_zone_low": null, "cash_available": 96983.3, "company_name": "Microsoft Corporation", "correlation_warning": false, "days_to_earnings": 37, "earnings_blackout": false, "earnings_date": "2026-07-29T00:00:00", "estimated_fees": 0.0, "estimated_slippage": 0.5765, "estimated_spread": 0.1235, "executable_entry": 411.75, "execution_liquidity_bucket": "large_liquid", "factor_exposure_after": {"Energy": 3068.6}, "factor_exposure_before": {"Energy": 3068.6}, "factor_exposure_cap": 7000.0, "factor_exposure_limit_exceeded": false, "factor_tags": ["Mega Cap Tech", "Rates-sensitive Growth", "Technology"], "final_action": "SKIP", "gross_reward_1_per_share": 0.0, "gross_reward_2_per_share": 0.0, "gross_risk_per_share": 411.75, "gross_rr": 0.0, "gross_rr_1": 0.0, "gross_rr_2": 0.0, "gross_rr_decision": 0.0, "highest_correlation_ticker": "XOM", "highest_correlation_value": -0.1629, "initial_action": "SKIP", "market_cap": 3063300761062.0,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412.1, "net_reward_1_per_share": 0.0, "net_reward_2_per_share": 0.0, "net_risk_per_share": 412.45, "net_rr": 0.0, "net_rr_1": 0.0, "net_rr_2": 0.0, "net_stop_assumption": -0.35, "net_target_1_assumption": -0.2059, "net_target_2_assumption": -0.2059, "normalized_atr_score": 100.0, "normalized_liquidity_score": 100, "normalized_momentum_score": 55.95, "normalized_quality_score": 80.18,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411.75,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97.37, "setup_score": 0.0, "setup_type": "No Trade", "sizing_adjustment_reason": "", "spread_source": "liquidity_fallback", "stock_score": 0.0, "stop_loss": 0.0, "target_1": null, "target_1_atr_distance": 0.0, "target_2": null, "target_2_atr_distance": 0.0, "target_feasibility_status": "UNKNOWN", "theoretical_entry": 411.75, "ticker": "MSFT", "timestamp": "2026-06-08T14:15:34", "warnings": ["Target ATR feasibility unavailable."]}</t>
        </is>
      </c>
    </row>
    <row r="238">
      <c r="A238" t="inlineStr">
        <is>
          <t>2026-06-08T14:15:34</t>
        </is>
      </c>
      <c r="B238" t="inlineStr">
        <is>
          <t>AIG</t>
        </is>
      </c>
      <c r="C238" t="inlineStr">
        <is>
          <t>No Trade</t>
        </is>
      </c>
      <c r="D238" t="n">
        <v>0</v>
      </c>
      <c r="E238" t="n">
        <v>74.47</v>
      </c>
      <c r="H238" t="n">
        <v>0</v>
      </c>
      <c r="K238" t="n">
        <v>0</v>
      </c>
      <c r="L238" t="inlineStr">
        <is>
          <t>No clean technical setup detected. Price in middle of value area or poor risk/reward.</t>
        </is>
      </c>
      <c r="M238" t="inlineStr">
        <is>
          <t>SKIP</t>
        </is>
      </c>
      <c r="N238" t="inlineStr">
        <is>
          <t>SKIP: No Trade result. Market regime NEUTRAL; sector STRONG; net R/R 0.00.</t>
        </is>
      </c>
      <c r="O238" t="inlineStr">
        <is>
          <t>AIG
No Trade
0.00
score
Price
74.47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76.47
Fib Zone
76.04 - 76.90
Swing Low
74.95
Swing High
78.92
Click chart to open full size</t>
        </is>
      </c>
      <c r="P238" t="inlineStr">
        <is>
          <t>agent_results/charts/market_lens_agent_20260608_140702_aig.png</t>
        </is>
      </c>
      <c r="Q238" t="inlineStr">
        <is>
          <t>Smart Universe: broad liquid US universe, diversified by sector | Sector: Financials - Strong (70/100); XLF sector regime is strong: 5.0% 3m return, -4.7% vs SPY | Setup: No Trade; score 0.00; R/R 0.00x; price 74.47 | Market: NEUTRAL; Sector regime: STRONG; Net R/R: 0.00; Factors: Financials | Agent action: SKIP - SKIP: No Trade result. Market regime NEUTRAL; sector STRONG; net R/R 0.00.</t>
        </is>
      </c>
      <c r="R238" t="inlineStr">
        <is>
          <t>{"adjusted_cash_out": 0.0, "adjusted_position_size": 0, "adjusted_risk_amount": 0.0, "ask": 0.0, "bid": 0.0, "buy_zone_high": null, "buy_zone_low": null, "cash_available": 96983.3, "company_name": "American International Group, Inc.", "correlation_warning": false, "days_to_earnings": -27, "earnings_blackout": false, "earnings_date": "2026-04-30T00:00:00", "estimated_fees": 0.0, "estimated_slippage": 0.2234, "estimated_spread": 0.0596, "executable_entry": 74.47, "execution_liquidity_bucket": "mid_liquid", "factor_exposure_after": {"Energy": 3068.6}, "factor_exposure_before": {"Energy": 3068.6}, "factor_exposure_cap": 7000.0, "factor_exposure_limit_exceeded": false, "factor_tags": ["Financials"], "final_action": "SKIP", "gross_reward_1_per_share": 0.0, "gross_reward_2_per_share": 0.0, "gross_risk_per_share": 74.47, "gross_rr": 0.0, "gross_rr_1": 0.0, "gross_rr_2": 0.0, "gross_rr_decision": 0.0, "highest_correlation_ticker": "XOM", "highest_correlation_value": 0.0159, "initial_action": "SKIP", "market_cap": 39434087686.88,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74.6115, "net_reward_1_per_share": 0.0, "net_reward_2_per_share": 0.0, "net_risk_per_share": 74.753, "net_rr": 0.0, "net_rr_1": 0.0, "net_rr_2": 0.0, "net_stop_assumption": -0.1415, "net_target_1_assumption": -0.0856, "net_target_2_assumption": -0.0856, "normalized_atr_score": 100.0, "normalized_liquidity_score": 32.24, "normalized_momentum_score": 32.57, "normalized_quality_score": 49.33,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74.47,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74.47, "ticker": "AIG", "timestamp": "2026-06-08T14:15:34", "warnings": ["Target ATR feasibility unavailable."]}</t>
        </is>
      </c>
    </row>
    <row r="239">
      <c r="A239" t="inlineStr">
        <is>
          <t>2026-06-08T14:15:34</t>
        </is>
      </c>
      <c r="B239" t="inlineStr">
        <is>
          <t>BKR</t>
        </is>
      </c>
      <c r="C239" t="inlineStr">
        <is>
          <t>No Trade</t>
        </is>
      </c>
      <c r="D239" t="n">
        <v>0</v>
      </c>
      <c r="E239" t="n">
        <v>65.17</v>
      </c>
      <c r="H239" t="n">
        <v>0</v>
      </c>
      <c r="K239" t="n">
        <v>0</v>
      </c>
      <c r="L239" t="inlineStr">
        <is>
          <t>No clean technical setup detected. Price in middle of value area or poor risk/reward.</t>
        </is>
      </c>
      <c r="M239" t="inlineStr">
        <is>
          <t>SKIP</t>
        </is>
      </c>
      <c r="N239" t="inlineStr">
        <is>
          <t>SKIP: No Trade result. Market regime NEUTRAL; sector STRONG; net R/R 0.00.</t>
        </is>
      </c>
      <c r="O239" t="inlineStr">
        <is>
          <t>BKR
No Trade
0.00
score
Price
65.17
R/R
0.00x
Grade
No Trade
Quality
0%
Buy Zone
-
Stop
0.00
Targets
-
Skip
Mixed
Relative Strength
Leadership
100%
Trend Quality
Constructive
76%
Liquidity
Institutional liquidity
100%
Volume
Neutral
65%
No actionable setup detected.
No clean technical setup detected. Price in middle of value area or poor risk/reward.
Fib 61.8
64.55
Fib Zone
64.02 - 65.07
Swing Low
62.46
Swing High
67.92
Click chart to open full size</t>
        </is>
      </c>
      <c r="P239" t="inlineStr">
        <is>
          <t>agent_results/charts/market_lens_agent_20260608_140702_bkr.png</t>
        </is>
      </c>
      <c r="Q239" t="inlineStr">
        <is>
          <t>Smart Universe: broad liquid US universe, diversified by sector | Sector: Energy - Strong (72/100); XLE sector regime is strong: 6.1% 3m return, -3.7% vs SPY | Setup: No Trade; score 0.00; R/R 0.00x; price 65.17 | Market: NEUTRAL; Sector regime: STRONG; Net R/R: 0.00; Factors: Energy | Agent action: SKIP - SKIP: No Trade result. Market regime NEUTRAL; sector STRONG; net R/R 0.00.</t>
        </is>
      </c>
      <c r="R239" t="inlineStr">
        <is>
          <t>{"adjusted_cash_out": 0.0, "adjusted_position_size": 0, "adjusted_risk_amount": 0.0, "ask": 0.0, "bid": 0.0, "buy_zone_high": null, "buy_zone_low": null, "cash_available": 96983.3, "company_name": "Baker Hughes Company", "correlation_warning": false, "days_to_earnings": 31, "earnings_blackout": false, "earnings_date": "2026-07-21T00:00:00", "estimated_fees": 0.0, "estimated_slippage": 0.1955, "estimated_spread": 0.0521, "executable_entry": 65.17,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65.17, "gross_rr": 0.0, "gross_rr_1": 0.0, "gross_rr_2": 0.0, "gross_rr_decision": 0.0, "highest_correlation_ticker": "XOM", "highest_correlation_value": 0.2278, "initial_action": "SKIP", "market_cap": 64164521030.93,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65.2938, "net_reward_1_per_share": 0.0, "net_reward_2_per_share": 0.0, "net_risk_per_share": 65.4176, "net_rr": 0.0, "net_rr_1": 0.0, "net_rr_2": 0.0, "net_stop_assumption": -0.1238, "net_target_1_assumption": -0.0749, "net_target_2_assumption": -0.0749, "normalized_atr_score": 100.0, "normalized_liquidity_score": 46.34, "normalized_momentum_score": 81.9, "normalized_quality_score": 75.76,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65.17,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65.17, "ticker": "BKR", "timestamp": "2026-06-08T14:15:34", "warnings": ["Target ATR feasibility unavailable."]}</t>
        </is>
      </c>
    </row>
    <row r="240">
      <c r="A240" t="inlineStr">
        <is>
          <t>2026-06-08T14:15:34</t>
        </is>
      </c>
      <c r="B240" t="inlineStr">
        <is>
          <t>COP</t>
        </is>
      </c>
      <c r="C240" t="inlineStr">
        <is>
          <t>No Trade</t>
        </is>
      </c>
      <c r="D240" t="n">
        <v>0</v>
      </c>
      <c r="E240" t="n">
        <v>119.83</v>
      </c>
      <c r="H240" t="n">
        <v>0</v>
      </c>
      <c r="K240" t="n">
        <v>0</v>
      </c>
      <c r="L240" t="inlineStr">
        <is>
          <t>No clean technical setup detected. Price in middle of value area or poor risk/reward.</t>
        </is>
      </c>
      <c r="M240" t="inlineStr">
        <is>
          <t>SKIP</t>
        </is>
      </c>
      <c r="N240" t="inlineStr">
        <is>
          <t>SKIP: No Trade result. Market regime NEUTRAL; sector STRONG; net R/R 0.00.</t>
        </is>
      </c>
      <c r="O240" t="inlineStr">
        <is>
          <t>COP
No Trade
0.00
score
Price
119.83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117.48
Fib Zone
116.71 - 118.24
Swing Low
111.38
Swing High
127.33
Click chart to open full size</t>
        </is>
      </c>
      <c r="P240" t="inlineStr">
        <is>
          <t>agent_results/charts/market_lens_agent_20260608_140702_cop.png</t>
        </is>
      </c>
      <c r="Q240" t="inlineStr">
        <is>
          <t>Smart Universe: broad liquid US universe, diversified by sector | Sector: Energy - Strong (72/100); XLE sector regime is strong: 6.1% 3m return, -3.7% vs SPY | Setup: No Trade; score 0.00; R/R 0.00x; price 119.83 | Market: NEUTRAL; Sector regime: STRONG; Net R/R: 0.00; Factors: Energy | Agent action: SKIP - SKIP: No Trade result. Market regime NEUTRAL; sector STRONG; net R/R 0.00.</t>
        </is>
      </c>
      <c r="R240" t="inlineStr">
        <is>
          <t>{"adjusted_cash_out": 0.0, "adjusted_position_size": 0, "adjusted_risk_amount": 0.0, "ask": 0.0, "bid": 0.0, "buy_zone_high": null, "buy_zone_low": null, "cash_available": 96983.3, "company_name": "ConocoPhillips", "correlation_warning": false, "days_to_earnings": 43, "earnings_blackout": false, "earnings_date": "2026-08-06T00:00:00", "estimated_fees": 0.0, "estimated_slippage": 0.1678, "estimated_spread": 0.0359, "executable_entry": 119.83, "execution_liquidity_bucket": "large_liquid", "factor_exposure_after": {"Energy": 3068.6}, "factor_exposure_before": {"Energy": 3068.6}, "factor_exposure_cap": 7000.0, "factor_exposure_limit_exceeded": false, "factor_tags": ["Energy"], "final_action": "SKIP", "gross_reward_1_per_share": 0.0, "gross_reward_2_per_share": 0.0, "gross_risk_per_share": 119.83, "gross_rr": 0.0, "gross_rr_1": 0.0, "gross_rr_2": 0.0, "gross_rr_decision": 0.0, "highest_correlation_ticker": "XOM", "highest_correlation_value": 0.8118, "initial_action": "SKIP", "market_cap": 145683599587.82,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119.9319, "net_reward_1_per_share": 0.0, "net_reward_2_per_share": 0.0, "net_risk_per_share": 120.0337, "net_rr": 0.0, "net_rr_1": 0.0, "net_rr_2": 0.0, "net_stop_assumption": -0.1019, "net_target_1_assumption": -0.0599, "net_target_2_assumption": -0.0599, "normalized_atr_score": 100.0, "normalized_liquidity_score": 57.6, "normalized_momentum_score": 76.99, "normalized_quality_score": 76.93,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119.83,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119.83, "ticker": "COP", "timestamp": "2026-06-08T14:15:34", "warnings": ["Target ATR feasibility unavailable."]}</t>
        </is>
      </c>
    </row>
    <row r="241">
      <c r="A241" t="inlineStr">
        <is>
          <t>2026-06-08T14:15:34</t>
        </is>
      </c>
      <c r="B241" t="inlineStr">
        <is>
          <t>AXP</t>
        </is>
      </c>
      <c r="C241" t="inlineStr">
        <is>
          <t>No Trade</t>
        </is>
      </c>
      <c r="D241" t="n">
        <v>0</v>
      </c>
      <c r="E241" t="n">
        <v>313.48</v>
      </c>
      <c r="H241" t="n">
        <v>0</v>
      </c>
      <c r="K241" t="n">
        <v>0</v>
      </c>
      <c r="L241" t="inlineStr">
        <is>
          <t>No clean technical setup detected. Price in middle of value area or poor risk/reward.</t>
        </is>
      </c>
      <c r="M241" t="inlineStr">
        <is>
          <t>SKIP</t>
        </is>
      </c>
      <c r="N241" t="inlineStr">
        <is>
          <t>SKIP: No Trade result. Market regime NEUTRAL; sector STRONG; net R/R 0.00.</t>
        </is>
      </c>
      <c r="O241" t="inlineStr">
        <is>
          <t>AXP
No Trade
0.00
score
Price
313.48
R/R
0.00x
Grade
No Trade
Quality
0%
Buy Zone
-
Stop
0.00
Targets
-
Skip
Mixed
Relative Strength
Leadership
74%
Trend Quality
Messy
18%
Liquidity
Institutional liquidity
100%
Volume
Neutral
65%
No actionable setup detected.
No clean technical setup detected. Price in middle of value area or poor risk/reward.
Fib 61.8
309.23
Fib Zone
307.50 - 310.96
Swing Low
303.04
Swing High
319.24
Click chart to open full size</t>
        </is>
      </c>
      <c r="P241" t="inlineStr">
        <is>
          <t>agent_results/charts/market_lens_agent_20260608_140702_axp.png</t>
        </is>
      </c>
      <c r="Q241" t="inlineStr">
        <is>
          <t>Smart Universe: broad liquid US universe, diversified by sector | Sector: Financials - Strong (70/100); XLF sector regime is strong: 5.0% 3m return, -4.7% vs SPY | Setup: No Trade; score 0.00; R/R 0.00x; price 313.48 | Market: NEUTRAL; Sector regime: STRONG; Net R/R: 0.00; Factors: Financials | Agent action: SKIP - SKIP: No Trade result. Market regime NEUTRAL; sector STRONG; net R/R 0.00.</t>
        </is>
      </c>
      <c r="R241" t="inlineStr">
        <is>
          <t>{"adjusted_cash_out": 0.0, "adjusted_position_size": 0, "adjusted_risk_amount": 0.0, "ask": 0.0, "bid": 0.0, "buy_zone_high": null, "buy_zone_low": null, "cash_available": 96983.3, "company_name": "American Express Company", "correlation_warning": false, "days_to_earnings": 34, "earnings_blackout": false, "earnings_date": "2026-07-24T00:00:00", "estimated_fees": 0.0, "estimated_slippage": 0.4389, "estimated_spread": 0.094, "executable_entry": 313.48,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313.48, "gross_rr": 0.0, "gross_rr_1": 0.0, "gross_rr_2": 0.0, "gross_rr_decision": 0.0, "highest_correlation_ticker": "XOM", "highest_correlation_value": -0.2753, "initial_action": "SKIP", "market_cap": 213806995078.64,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313.7465, "net_reward_1_per_share": 0.0, "net_reward_2_per_share": 0.0, "net_risk_per_share": 314.0129, "net_rr": 0.0, "net_rr_1": 0.0, "net_rr_2": 0.0, "net_stop_assumption": -0.2665, "net_target_1_assumption": -0.1567, "net_target_2_assumption": -0.1567, "normalized_atr_score": 100.0, "normalized_liquidity_score": 32.93, "normalized_momentum_score": 61.93, "normalized_quality_score": 62.75,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313.48,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313.48, "ticker": "AXP", "timestamp": "2026-06-08T14:15:34", "warnings": ["Target ATR feasibility unavailable."]}</t>
        </is>
      </c>
    </row>
    <row r="242">
      <c r="A242" t="inlineStr">
        <is>
          <t>2026-06-08T14:15:34</t>
        </is>
      </c>
      <c r="B242" t="inlineStr">
        <is>
          <t>DHR</t>
        </is>
      </c>
      <c r="C242" t="inlineStr">
        <is>
          <t>No Trade</t>
        </is>
      </c>
      <c r="D242" t="n">
        <v>0</v>
      </c>
      <c r="E242" t="n">
        <v>186.62</v>
      </c>
      <c r="H242" t="n">
        <v>0</v>
      </c>
      <c r="K242" t="n">
        <v>0</v>
      </c>
      <c r="L242" t="inlineStr">
        <is>
          <t>No clean technical setup detected. Price in middle of value area or poor risk/reward.</t>
        </is>
      </c>
      <c r="M242" t="inlineStr">
        <is>
          <t>SKIP</t>
        </is>
      </c>
      <c r="N242" t="inlineStr">
        <is>
          <t>SKIP: No Trade result. Market regime NEUTRAL; sector NEUTRAL; net R/R 0.00.</t>
        </is>
      </c>
      <c r="O242" t="inlineStr">
        <is>
          <t>DHR
No Trade
0.00
score
Price
186.62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188.46
Fib Zone
187.16 - 189.75
Swing Low
181.01
Swing High
200.50
Click chart to open full size</t>
        </is>
      </c>
      <c r="P242" t="inlineStr">
        <is>
          <t>agent_results/charts/market_lens_agent_20260608_140702_dhr.png</t>
        </is>
      </c>
      <c r="Q242" t="inlineStr">
        <is>
          <t>Smart Universe: broad liquid US universe, diversified by sector | Sector: Healthcare - Neutral (67/100); XLV sector regime is neutral: 0.8% 3m return, -9.0% vs SPY | Setup: No Trade; score 0.00; R/R 0.00x; price 186.62 | Market: NEUTRAL; Sector regime: NEUTRAL; Net R/R: 0.00; Factors: Defensive, Healthcare | Agent action: SKIP - SKIP: No Trade result. Market regime NEUTRAL; sector NEUTRAL; net R/R 0.00.</t>
        </is>
      </c>
      <c r="R242" t="inlineStr">
        <is>
          <t>{"adjusted_cash_out": 0.0, "adjusted_position_size": 0, "adjusted_risk_amount": 0.0, "ask": 0.0, "bid": 0.0, "buy_zone_high": null, "buy_zone_low": null, "cash_available": 96983.3, "company_name": "Danaher Corporation", "correlation_warning": false, "days_to_earnings": 31, "earnings_blackout": false, "earnings_date": "2026-07-21T00:00:00", "estimated_fees": 0.0, "estimated_slippage": 0.2613, "estimated_spread": 0.056, "executable_entry": 186.62,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186.62, "gross_rr": 0.0, "gross_rr_1": 0.0, "gross_rr_2": 0.0, "gross_rr_decision": 0.0, "highest_correlation_ticker": "XOM", "highest_correlation_value": -0.1824, "initial_action": "SKIP", "market_cap": 131238370671.42,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186.7786, "net_reward_1_per_share": 0.0, "net_reward_2_per_share": 0.0, "net_risk_per_share": 186.9373, "net_rr": 0.0, "net_rr_1": 0.0, "net_rr_2": 0.0, "net_stop_assumption": -0.1586, "net_target_1_assumption": -0.0933, "net_target_2_assumption": -0.0933, "normalized_atr_score": 100.0, "normalized_liquidity_score": 59.42, "normalized_momentum_score": 47.93, "normalized_quality_score": 64.39,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186.62,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186.62, "ticker": "DHR", "timestamp": "2026-06-08T14:15:34", "warnings": ["Target ATR feasibility unavailable."]}</t>
        </is>
      </c>
    </row>
    <row r="243">
      <c r="A243" t="inlineStr">
        <is>
          <t>2026-06-08T14:15:34</t>
        </is>
      </c>
      <c r="B243" t="inlineStr">
        <is>
          <t>PFE</t>
        </is>
      </c>
      <c r="C243" t="inlineStr">
        <is>
          <t>No Trade</t>
        </is>
      </c>
      <c r="D243" t="n">
        <v>0</v>
      </c>
      <c r="E243" t="n">
        <v>26.2</v>
      </c>
      <c r="H243" t="n">
        <v>0</v>
      </c>
      <c r="K243" t="n">
        <v>0</v>
      </c>
      <c r="L243" t="inlineStr">
        <is>
          <t>No clean technical setup detected. Price in middle of value area or poor risk/reward.</t>
        </is>
      </c>
      <c r="M243" t="inlineStr">
        <is>
          <t>SKIP</t>
        </is>
      </c>
      <c r="N243" t="inlineStr">
        <is>
          <t>SKIP: No Trade result. Market regime NEUTRAL; sector NEUTRAL; net R/R 0.00.</t>
        </is>
      </c>
      <c r="O243" t="inlineStr">
        <is>
          <t>PFE
No Trade
0.00
score
Price
26.20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25.71
Fib Zone
25.59 - 25.82
Swing Low
25.19
Swing High
26.54
Click chart to open full size</t>
        </is>
      </c>
      <c r="P243" t="inlineStr">
        <is>
          <t>agent_results/charts/market_lens_agent_20260608_140702_pfe.png</t>
        </is>
      </c>
      <c r="Q243" t="inlineStr">
        <is>
          <t>Smart Universe: broad liquid US universe, diversified by sector | Sector: Healthcare - Neutral (67/100); XLV sector regime is neutral: 0.8% 3m return, -9.0% vs SPY | Setup: No Trade; score 0.00; R/R 0.00x; price 26.20 | Market: NEUTRAL; Sector regime: NEUTRAL; Net R/R: 0.00; Factors: Defensive, Healthcare | Agent action: SKIP - SKIP: No Trade result. Market regime NEUTRAL; sector NEUTRAL; net R/R 0.00.</t>
        </is>
      </c>
      <c r="R243" t="inlineStr">
        <is>
          <t>{"adjusted_cash_out": 0.0, "adjusted_position_size": 0, "adjusted_risk_amount": 0.0, "ask": 0.0, "bid": 0.0, "buy_zone_high": null, "buy_zone_low": null, "cash_available": 96983.3, "company_name": "Pfizer Inc.", "correlation_warning": false, "days_to_earnings": 37, "earnings_blackout": false, "earnings_date": "2026-07-29T00:00:00", "estimated_fees": 0.0, "estimated_slippage": 0.0367, "estimated_spread": 0.0079, "executable_entry": 26.2,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26.2, "gross_rr": 0.0, "gross_rr_1": 0.0, "gross_rr_2": 0.0, "gross_rr_decision": 0.0, "highest_correlation_ticker": "XOM", "highest_correlation_value": -0.116, "initial_action": "SKIP", "market_cap": 148413531378.76,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26.2223, "net_reward_1_per_share": 0.0, "net_reward_2_per_share": 0.0, "net_risk_per_share": 26.2445, "net_rr": 0.0, "net_rr_1": 0.0, "net_rr_2": 0.0, "net_stop_assumption": -0.0223, "net_target_1_assumption": -0.0131, "net_target_2_assumption": -0.0131, "normalized_atr_score": 100.0, "normalized_liquidity_score": 60.72, "normalized_momentum_score": 44.11, "normalized_quality_score": 63.07,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26.2,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26.2, "ticker": "PFE", "timestamp": "2026-06-08T14:15:34", "warnings": ["Target ATR feasibility unavailable."]}</t>
        </is>
      </c>
    </row>
    <row r="244">
      <c r="A244" t="inlineStr">
        <is>
          <t>2026-06-08T14:15:34</t>
        </is>
      </c>
      <c r="B244" t="inlineStr">
        <is>
          <t>WMB</t>
        </is>
      </c>
      <c r="C244" t="inlineStr">
        <is>
          <t>No Trade</t>
        </is>
      </c>
      <c r="D244" t="n">
        <v>0</v>
      </c>
      <c r="E244" t="n">
        <v>72.22</v>
      </c>
      <c r="H244" t="n">
        <v>0</v>
      </c>
      <c r="K244" t="n">
        <v>0</v>
      </c>
      <c r="L244" t="inlineStr">
        <is>
          <t>No clean technical setup detected. Price in middle of value area or poor risk/reward.</t>
        </is>
      </c>
      <c r="M244" t="inlineStr">
        <is>
          <t>SKIP</t>
        </is>
      </c>
      <c r="N244" t="inlineStr">
        <is>
          <t>SKIP: No Trade result. Market regime NEUTRAL; sector STRONG; net R/R 0.00.</t>
        </is>
      </c>
      <c r="O244" t="inlineStr">
        <is>
          <t>WMB
No Trade
0.00
score
Price
72.22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74.96
Fib Zone
74.56 - 75.35
Swing Low
71.79
Swing High
80.08
Click chart to open full size</t>
        </is>
      </c>
      <c r="P244" t="inlineStr">
        <is>
          <t>agent_results/charts/market_lens_agent_20260608_140702_wmb.png</t>
        </is>
      </c>
      <c r="Q244" t="inlineStr">
        <is>
          <t>Smart Universe: broad liquid US universe, diversified by sector | Sector: Energy - Strong (72/100); XLE sector regime is strong: 6.1% 3m return, -3.7% vs SPY | Setup: No Trade; score 0.00; R/R 0.00x; price 72.22 | Market: NEUTRAL; Sector regime: STRONG; Net R/R: 0.00; Factors: Energy | Agent action: SKIP - SKIP: No Trade result. Market regime NEUTRAL; sector STRONG; net R/R 0.00.</t>
        </is>
      </c>
      <c r="R244" t="inlineStr">
        <is>
          <t>{"adjusted_cash_out": 0.0, "adjusted_position_size": 0, "adjusted_risk_amount": 0.0, "ask": 0.0, "bid": 0.0, "buy_zone_high": null, "buy_zone_low": null, "cash_available": 96983.3, "company_name": "Williams Companies, Inc.", "correlation_warning": false, "days_to_earnings": 40, "earnings_blackout": false, "earnings_date": "2026-08-03T00:00:00", "estimated_fees": 0.0, "estimated_slippage": 0.2167, "estimated_spread": 0.0578, "executable_entry": 72.22, "execution_liquidity_bucket": "mid_liquid", "factor_exposure_after": {"Energy": 3068.6}, "factor_exposure_before": {"Energy": 3068.6}, "factor_exposure_cap": 7000.0, "factor_exposure_limit_exceeded": false, "factor_tags": ["Energy"], "final_action": "SKIP", "gross_reward_1_per_share": 0.0, "gross_reward_2_per_share": 0.0, "gross_risk_per_share": 72.22, "gross_rr": 0.0, "gross_rr_1": 0.0, "gross_rr_2": 0.0, "gross_rr_decision": 0.0, "highest_correlation_ticker": "XOM", "highest_correlation_value": 0.3648, "initial_action": "SKIP", "market_cap": 88092563535.03,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72.3572, "net_reward_1_per_share": 0.0, "net_reward_2_per_share": 0.0, "net_risk_per_share": 72.4944, "net_rr": 0.0, "net_rr_1": 0.0, "net_rr_2": 0.0, "net_stop_assumption": -0.1372, "net_target_1_assumption": -0.0831, "net_target_2_assumption": -0.0831, "normalized_atr_score": 100.0, "normalized_liquidity_score": 46.88, "normalized_momentum_score": 44.56, "normalized_quality_score": 59.12,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72.22, "prior_high_20": 0.0, "prior_high_63": 0.0, "reason": "SKIP: No Trade result. Market regime NEUTRAL; sector STRONG; net R/R 0.00.", "risk_amount": 0.0, "scan_source": "Smart Universe: broad liquid US universe filtered and diversified by the Market Lens UI.", "sector": "Energy", "sector_etf": "XLE", "sector_exposure_after": 3068.6, "sector_exposure_before": 3068.6, "sector_exposure_cap": 6000.0, "sector_exposure_limit_exceeded": false, "sector_regime": "STRONG", "sector_score": 72.03, "setup_score": 0.0, "setup_type": "No Trade", "sizing_adjustment_reason": "", "spread_source": "liquidity_fallback", "stock_score": 0.0, "stop_loss": 0.0, "target_1": null, "target_1_atr_distance": 0.0, "target_2": null, "target_2_atr_distance": 0.0, "target_feasibility_status": "UNKNOWN", "theoretical_entry": 72.22, "ticker": "WMB", "timestamp": "2026-06-08T14:15:34", "warnings": ["Target ATR feasibility unavailable."]}</t>
        </is>
      </c>
    </row>
    <row r="245">
      <c r="A245" t="inlineStr">
        <is>
          <t>2026-06-08T14:15:34</t>
        </is>
      </c>
      <c r="B245" t="inlineStr">
        <is>
          <t>OHI</t>
        </is>
      </c>
      <c r="C245" t="inlineStr">
        <is>
          <t>No Trade</t>
        </is>
      </c>
      <c r="D245" t="n">
        <v>0</v>
      </c>
      <c r="E245" t="n">
        <v>44.28</v>
      </c>
      <c r="H245" t="n">
        <v>0</v>
      </c>
      <c r="K245" t="n">
        <v>0</v>
      </c>
      <c r="L245" t="inlineStr">
        <is>
          <t>No clean technical setup detected. Price in middle of value area or poor risk/reward.</t>
        </is>
      </c>
      <c r="M245" t="inlineStr">
        <is>
          <t>SKIP</t>
        </is>
      </c>
      <c r="N245" t="inlineStr">
        <is>
          <t>SKIP: No Trade result. Market regime NEUTRAL; sector NEUTRAL; net R/R 0.00.</t>
        </is>
      </c>
      <c r="O245" t="inlineStr">
        <is>
          <t>OHI
No Trade
0.00
score
Price
44.28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46.86
Fib Zone
46.61 - 47.12
Swing Low
45.34
Swing High
49.33
Click chart to open full size</t>
        </is>
      </c>
      <c r="P245" t="inlineStr">
        <is>
          <t>agent_results/charts/market_lens_agent_20260608_140702_ohi.png</t>
        </is>
      </c>
      <c r="Q245" t="inlineStr">
        <is>
          <t>Smart Universe: broad liquid US universe, diversified by sector | Sector: Unknown | Setup: No Trade; score 0.00; R/R 0.00x; price 44.28 | Market: NEUTRAL; Sector regime: NEUTRAL; Net R/R: 0.00 | Agent action: SKIP - SKIP: No Trade result. Market regime NEUTRAL; sector NEUTRAL; net R/R 0.00.</t>
        </is>
      </c>
      <c r="R245" t="inlineStr">
        <is>
          <t>{"adjusted_cash_out": 0.0, "adjusted_position_size": 0, "adjusted_risk_amount": 0.0, "ask": 0.0, "bid": 0.0, "buy_zone_high": null, "buy_zone_low": null, "cash_available": 96983.3, "company_name": "OHI", "correlation_warning": false, "days_to_earnings": -29, "earnings_blackout": false, "earnings_date": "2026-04-28T00:00:00", "estimated_fees": 0.0, "estimated_slippage": 0.1328, "estimated_spread": 0.0354, "executable_entry": 44.28, "execution_liquidity_bucket": "mid_liquid", "factor_exposure_after": {"Energy": 3068.6}, "factor_exposure_before": {"Energy": 3068.6}, "factor_exposure_cap": 7000.0, "factor_exposure_limit_exceeded": false, "factor_tags": [], "final_action": "SKIP", "gross_reward_1_per_share": 0.0, "gross_reward_2_per_share": 0.0, "gross_risk_per_share": 44.28, "gross_rr": 0.0, "gross_rr_1": 0.0, "gross_rr_2": 0.0, "gross_rr_decision": 0.0, "highest_correlation_ticker": "XOM", "highest_correlation_value": -0.1889, "initial_action": "SKIP", "market_cap": 13136046401.76,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44.3641, "net_reward_1_per_share": 0.0, "net_reward_2_per_share": 0.0, "net_risk_per_share": 44.4483, "net_rr": 0.0, "net_rr_1": 0.0, "net_rr_2": 0.0, "net_stop_assumption": -0.0841, "net_target_1_assumption": -0.0509, "net_target_2_assumption": -0.0509, "normalized_atr_score": 100.0, "normalized_liquidity_score": 17.44, "normalized_momentum_score": 15.96, "normalized_quality_score": 37.41,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44.28, "prior_high_20": 0.0, "prior_high_63": 0.0, "reason": "SKIP: No Trade result. Market regime NEUTRAL; sector NEUTRAL; net R/R 0.00.", "risk_amount": 0.0, "scan_source": "Smart Universe: broad liquid US universe filtered and diversified by the Market Lens UI.", "sector": "Unknown", "sector_etf": "SPY", "sector_exposure_after": 0.0, "sector_exposure_before": 0.0, "sector_exposure_cap": 6000.0, "sector_exposure_limit_exceeded": false, "sector_regime": "NEUTRAL", "sector_score": 55.0, "setup_score": 0.0, "setup_type": "No Trade", "sizing_adjustment_reason": "", "spread_source": "liquidity_fallback", "stock_score": 0.0, "stop_loss": 0.0, "target_1": null, "target_1_atr_distance": 0.0, "target_2": null, "target_2_atr_distance": 0.0, "target_feasibility_status": "UNKNOWN", "theoretical_entry": 44.28, "ticker": "OHI", "timestamp": "2026-06-08T14:15:34", "warnings": ["Target ATR feasibility unavailable."]}</t>
        </is>
      </c>
    </row>
    <row r="246">
      <c r="A246" t="inlineStr">
        <is>
          <t>2026-06-08T14:15:34</t>
        </is>
      </c>
      <c r="B246" t="inlineStr">
        <is>
          <t>INSM</t>
        </is>
      </c>
      <c r="C246" t="inlineStr">
        <is>
          <t>No Trade</t>
        </is>
      </c>
      <c r="D246" t="n">
        <v>0</v>
      </c>
      <c r="E246" t="n">
        <v>92.47</v>
      </c>
      <c r="H246" t="n">
        <v>0</v>
      </c>
      <c r="K246" t="n">
        <v>0</v>
      </c>
      <c r="L246" t="inlineStr">
        <is>
          <t>No clean technical setup detected. Price in middle of value area or poor risk/reward.</t>
        </is>
      </c>
      <c r="M246" t="inlineStr">
        <is>
          <t>SKIP</t>
        </is>
      </c>
      <c r="N246" t="inlineStr">
        <is>
          <t>SKIP: No Trade result. Market regime NEUTRAL; sector NEUTRAL; net R/R 0.00.</t>
        </is>
      </c>
      <c r="O246" t="inlineStr">
        <is>
          <t>INSM
No Trade
0.00
score
Price
92.47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147.37
Fib Zone
145.94 - 148.79
Swing Low
135.73
Swing High
166.19
Click chart to open full size</t>
        </is>
      </c>
      <c r="P246" t="inlineStr">
        <is>
          <t>agent_results/charts/market_lens_agent_20260608_140702_insm.png</t>
        </is>
      </c>
      <c r="Q246" t="inlineStr">
        <is>
          <t>Smart Universe: broad liquid US universe, diversified by sector | Sector: Healthcare - Neutral (67/100); XLV sector regime is neutral: 0.8% 3m return, -9.0% vs SPY | Setup: No Trade; score 0.00; R/R 0.00x; price 92.47 | Market: NEUTRAL; Sector regime: NEUTRAL; Net R/R: 0.00; Factors: Defensive, Healthcare | Agent action: SKIP - SKIP: No Trade result. Market regime NEUTRAL; sector NEUTRAL; net R/R 0.00.</t>
        </is>
      </c>
      <c r="R246" t="inlineStr">
        <is>
          <t>{"adjusted_cash_out": 0.0, "adjusted_position_size": 0, "adjusted_risk_amount": 0.0, "ask": 0.0, "bid": 0.0, "buy_zone_high": null, "buy_zone_low": null, "cash_available": 96983.3, "company_name": "Insmed Incorporated", "correlation_warning": false, "days_to_earnings": 43, "earnings_blackout": false, "earnings_date": "2026-08-06T00:00:00", "estimated_fees": 0.0, "estimated_slippage": 0.319, "estimated_spread": 0.074, "executable_entry": 92.47,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92.47, "gross_rr": 0.0, "gross_rr_1": 0.0, "gross_rr_2": 0.0, "gross_rr_decision": 0.0, "highest_correlation_ticker": "XOM", "highest_correlation_value": 0.0036, "initial_action": "SKIP", "market_cap": 20229506648.72,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92.6665, "net_reward_1_per_share": 0.0, "net_reward_2_per_share": 0.0, "net_risk_per_share": 92.863, "net_rr": 0.0, "net_rr_1": 0.0, "net_rr_2": 0.0, "net_stop_assumption": -0.1965, "net_target_1_assumption": -0.1167, "net_target_2_assumption": -0.1167, "normalized_atr_score": 94.64, "normalized_liquidity_score": 43.23, "normalized_momentum_score": 0, "normalized_quality_score": 36.63,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92.47,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92.47, "ticker": "INSM", "timestamp": "2026-06-08T14:15:34", "warnings": ["Target ATR feasibility unavailable."]}</t>
        </is>
      </c>
    </row>
    <row r="247">
      <c r="A247" t="inlineStr">
        <is>
          <t>2026-06-08T14:15:34</t>
        </is>
      </c>
      <c r="B247" t="inlineStr">
        <is>
          <t>RTX</t>
        </is>
      </c>
      <c r="C247" t="inlineStr">
        <is>
          <t>No Trade</t>
        </is>
      </c>
      <c r="D247" t="n">
        <v>0</v>
      </c>
      <c r="E247" t="n">
        <v>181.42</v>
      </c>
      <c r="H247" t="n">
        <v>0</v>
      </c>
      <c r="K247" t="n">
        <v>0</v>
      </c>
      <c r="L247" t="inlineStr">
        <is>
          <t>No clean technical setup detected. Price in middle of value area or poor risk/reward.</t>
        </is>
      </c>
      <c r="M247" t="inlineStr">
        <is>
          <t>SKIP</t>
        </is>
      </c>
      <c r="N247" t="inlineStr">
        <is>
          <t>SKIP: No Trade result. Market regime NEUTRAL; sector NEUTRAL; net R/R 0.00.</t>
        </is>
      </c>
      <c r="O247" t="inlineStr">
        <is>
          <t>RTX
No Trade
0.00
score
Price
181.42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173.40 - 175.51
Swing Low
170.07
Swing High
181.55
Click chart to open full size</t>
        </is>
      </c>
      <c r="P247" t="inlineStr">
        <is>
          <t>agent_results/charts/market_lens_agent_20260608_140702_rtx.png</t>
        </is>
      </c>
      <c r="Q247" t="inlineStr">
        <is>
          <t>Smart Universe: broad liquid US universe, diversified by sector | Sector: Industrials - Neutral (67/100); XLI sector regime is neutral: 3.0% 3m return, -6.8% vs SPY | Setup: No Trade; score 0.00; R/R 0.00x; price 181.42 | Market: NEUTRAL; Sector regime: NEUTRAL; Net R/R: 0.00; Factors: Industrials | Agent action: SKIP - SKIP: No Trade result. Market regime NEUTRAL; sector NEUTRAL; net R/R 0.00.</t>
        </is>
      </c>
      <c r="R247" t="inlineStr">
        <is>
          <t>{"adjusted_cash_out": 0.0, "adjusted_position_size": 0, "adjusted_risk_amount": 0.0, "ask": 0.0, "bid": 0.0, "buy_zone_high": null, "buy_zone_low": null, "cash_available": 96983.3, "company_name": "RTX Corporation", "correlation_warning": false, "days_to_earnings": 31, "earnings_blackout": false, "earnings_date": "2026-07-21T00:00:00", "estimated_fees": 0.0, "estimated_slippage": 0.254, "estimated_spread": 0.0544, "executable_entry": 181.42,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181.42, "gross_rr": 0.0, "gross_rr_1": 0.0, "gross_rr_2": 0.0, "gross_rr_decision": 0.0, "highest_correlation_ticker": "XOM", "highest_correlation_value": -0.2317, "initial_action": "SKIP", "market_cap": 243361308386.2, "market_cap_bucket": "Mega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181.5742, "net_reward_1_per_share": 0.0, "net_reward_2_per_share": 0.0, "net_risk_per_share": 181.7284, "net_rr": 0.0, "net_rr_1": 0.0, "net_rr_2": 0.0, "net_stop_assumption": -0.1542, "net_target_1_assumption": -0.0907, "net_target_2_assumption": -0.0907, "normalized_atr_score": 100.0, "normalized_liquidity_score": 34.93, "normalized_momentum_score": 10.47, "normalized_quality_score": 40.19,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181.42,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181.42, "ticker": "RTX", "timestamp": "2026-06-08T14:15:34", "warnings": ["Target ATR feasibility unavailable."]}</t>
        </is>
      </c>
    </row>
    <row r="248">
      <c r="A248" t="inlineStr">
        <is>
          <t>2026-06-08T14:15:34</t>
        </is>
      </c>
      <c r="B248" t="inlineStr">
        <is>
          <t>SCHW</t>
        </is>
      </c>
      <c r="C248" t="inlineStr">
        <is>
          <t>No Trade</t>
        </is>
      </c>
      <c r="D248" t="n">
        <v>0</v>
      </c>
      <c r="E248" t="n">
        <v>88.67</v>
      </c>
      <c r="H248" t="n">
        <v>0</v>
      </c>
      <c r="K248" t="n">
        <v>0</v>
      </c>
      <c r="L248" t="inlineStr">
        <is>
          <t>No clean technical setup detected. Price in middle of value area or poor risk/reward.</t>
        </is>
      </c>
      <c r="M248" t="inlineStr">
        <is>
          <t>SKIP</t>
        </is>
      </c>
      <c r="N248" t="inlineStr">
        <is>
          <t>SKIP: No Trade result. Market regime NEUTRAL; sector STRONG; net R/R 0.00.</t>
        </is>
      </c>
      <c r="O248" t="inlineStr">
        <is>
          <t>SCHW
No Trade
0.00
score
Price
88.67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89.29 - 90.38
Swing Low
87.61
Swing High
93.43
Click chart to open full size</t>
        </is>
      </c>
      <c r="P248" t="inlineStr">
        <is>
          <t>agent_results/charts/market_lens_agent_20260608_140702_schw.png</t>
        </is>
      </c>
      <c r="Q248" t="inlineStr">
        <is>
          <t>Smart Universe: broad liquid US universe, diversified by sector | Sector: Financials - Strong (70/100); XLF sector regime is strong: 5.0% 3m return, -4.7% vs SPY | Setup: No Trade; score 0.00; R/R 0.00x; price 88.67 | Market: NEUTRAL; Sector regime: STRONG; Net R/R: 0.00; Factors: Financials | Agent action: SKIP - SKIP: No Trade result. Market regime NEUTRAL; sector STRONG; net R/R 0.00.</t>
        </is>
      </c>
      <c r="R248" t="inlineStr">
        <is>
          <t>{"adjusted_cash_out": 0.0, "adjusted_position_size": 0, "adjusted_risk_amount": 0.0, "ask": 0.0, "bid": 0.0, "buy_zone_high": null, "buy_zone_low": null, "cash_available": 96983.3, "company_name": "Charles Schwab Corporation", "correlation_warning": false, "days_to_earnings": 28, "earnings_blackout": false, "earnings_date": "2026-07-16T00:00:00", "estimated_fees": 0.0, "estimated_slippage": 0.1241, "estimated_spread": 0.0266, "executable_entry": 88.67,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88.67, "gross_rr": 0.0, "gross_rr_1": 0.0, "gross_rr_2": 0.0, "gross_rr_decision": 0.0, "highest_correlation_ticker": "XOM", "highest_correlation_value": -0.0278, "initial_action": "SKIP", "market_cap": 154296104304.01,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88.7454, "net_reward_1_per_share": 0.0, "net_reward_2_per_share": 0.0, "net_risk_per_share": 88.8207, "net_rr": 0.0, "net_rr_1": 0.0, "net_rr_2": 0.0, "net_stop_assumption": -0.0754, "net_target_1_assumption": -0.0443, "net_target_2_assumption": -0.0443, "normalized_atr_score": 100.0, "normalized_liquidity_score": 66.64, "normalized_momentum_score": 36.01, "normalized_quality_score": 61.2,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88.67,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88.67, "ticker": "SCHW", "timestamp": "2026-06-08T14:15:34", "warnings": ["Target ATR feasibility unavailable."]}</t>
        </is>
      </c>
    </row>
    <row r="249">
      <c r="A249" t="inlineStr">
        <is>
          <t>2026-06-08T14:15:34</t>
        </is>
      </c>
      <c r="B249" t="inlineStr">
        <is>
          <t>HON</t>
        </is>
      </c>
      <c r="C249" t="inlineStr">
        <is>
          <t>No Trade</t>
        </is>
      </c>
      <c r="D249" t="n">
        <v>0</v>
      </c>
      <c r="E249" t="n">
        <v>213.45</v>
      </c>
      <c r="H249" t="n">
        <v>0</v>
      </c>
      <c r="K249" t="n">
        <v>0</v>
      </c>
      <c r="L249" t="inlineStr">
        <is>
          <t>No clean technical setup detected. Price in middle of value area or poor risk/reward.</t>
        </is>
      </c>
      <c r="M249" t="inlineStr">
        <is>
          <t>SKIP</t>
        </is>
      </c>
      <c r="N249" t="inlineStr">
        <is>
          <t>SKIP: No Trade result. Market regime NEUTRAL; sector NEUTRAL; net R/R 0.00.</t>
        </is>
      </c>
      <c r="O249" t="inlineStr">
        <is>
          <t>HON
No Trade
0.00
score
Price
213.45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222.36
Fib Zone
220.81 - 223.92
Swing Low
211.50
Swing High
239.94
Click chart to open full size</t>
        </is>
      </c>
      <c r="P249" t="inlineStr">
        <is>
          <t>agent_results/charts/market_lens_agent_20260608_140702_hon.png</t>
        </is>
      </c>
      <c r="Q249" t="inlineStr">
        <is>
          <t>Smart Universe: broad liquid US universe, diversified by sector | Sector: Industrials - Neutral (67/100); XLI sector regime is neutral: 3.0% 3m return, -6.8% vs SPY | Setup: No Trade; score 0.00; R/R 0.00x; price 213.45 | Market: NEUTRAL; Sector regime: NEUTRAL; Net R/R: 0.00; Factors: Industrials | Agent action: SKIP - SKIP: No Trade result. Market regime NEUTRAL; sector NEUTRAL; net R/R 0.00.</t>
        </is>
      </c>
      <c r="R249" t="inlineStr">
        <is>
          <t>{"adjusted_cash_out": 0.0, "adjusted_position_size": 0, "adjusted_risk_amount": 0.0, "ask": 0.0, "bid": 0.0, "buy_zone_high": null, "buy_zone_low": null, "cash_available": 96983.3, "company_name": "Honeywell International Inc.", "correlation_warning": false, "days_to_earnings": 33, "earnings_blackout": false, "earnings_date": "2026-07-23T00:00:00", "estimated_fees": 0.0, "estimated_slippage": 0.2988, "estimated_spread": 0.064, "executable_entry": 213.45,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213.45, "gross_rr": 0.0, "gross_rr_1": 0.0, "gross_rr_2": 0.0, "gross_rr_decision": 0.0, "highest_correlation_ticker": "XOM", "highest_correlation_value": -0.2134, "initial_action": "SKIP", "market_cap": 134575252507.23,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213.6314, "net_reward_1_per_share": 0.0, "net_reward_2_per_share": 0.0, "net_risk_per_share": 213.8129, "net_rr": 0.0, "net_rr_1": 0.0, "net_rr_2": 0.0, "net_stop_assumption": -0.1814, "net_target_1_assumption": -0.1067, "net_target_2_assumption": -0.1067, "normalized_atr_score": 100.0, "normalized_liquidity_score": 67.49, "normalized_momentum_score": 14.11, "normalized_quality_score": 51.6,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213.45,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213.45, "ticker": "HON", "timestamp": "2026-06-08T14:15:34", "warnings": ["Target ATR feasibility unavailable."]}</t>
        </is>
      </c>
    </row>
    <row r="250">
      <c r="A250" t="inlineStr">
        <is>
          <t>2026-06-08T14:15:34</t>
        </is>
      </c>
      <c r="B250" t="inlineStr">
        <is>
          <t>LMT</t>
        </is>
      </c>
      <c r="C250" t="inlineStr">
        <is>
          <t>No Trade</t>
        </is>
      </c>
      <c r="D250" t="n">
        <v>0</v>
      </c>
      <c r="E250" t="n">
        <v>526.73</v>
      </c>
      <c r="H250" t="n">
        <v>0</v>
      </c>
      <c r="K250" t="n">
        <v>0</v>
      </c>
      <c r="L250" t="inlineStr">
        <is>
          <t>No clean technical setup detected. Price in middle of value area or poor risk/reward.</t>
        </is>
      </c>
      <c r="M250" t="inlineStr">
        <is>
          <t>SKIP</t>
        </is>
      </c>
      <c r="N250" t="inlineStr">
        <is>
          <t>SKIP: No Trade result. Market regime NEUTRAL; sector NEUTRAL; net R/R 0.00.</t>
        </is>
      </c>
      <c r="O250" t="inlineStr">
        <is>
          <t>LMT
No Trade
0.00
score
Price
526.73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509.88 - 515.28
Swing Low
497.06
Swing High
537.69
Click chart to open full size</t>
        </is>
      </c>
      <c r="P250" t="inlineStr">
        <is>
          <t>agent_results/charts/market_lens_agent_20260608_140702_lmt.png</t>
        </is>
      </c>
      <c r="Q250" t="inlineStr">
        <is>
          <t>Smart Universe: broad liquid US universe, diversified by sector | Sector: Industrials - Neutral (67/100); XLI sector regime is neutral: 3.0% 3m return, -6.8% vs SPY | Setup: No Trade; score 0.00; R/R 0.00x; price 526.73 | Market: NEUTRAL; Sector regime: NEUTRAL; Net R/R: 0.00; Factors: Industrials | Agent action: SKIP - SKIP: No Trade result. Market regime NEUTRAL; sector NEUTRAL; net R/R 0.00.</t>
        </is>
      </c>
      <c r="R250" t="inlineStr">
        <is>
          <t>{"adjusted_cash_out": 0.0, "adjusted_position_size": 0, "adjusted_risk_amount": 0.0, "ask": 0.0, "bid": 0.0, "buy_zone_high": null, "buy_zone_low": null, "cash_available": 96983.3, "company_name": "Lockheed Martin Corporation", "correlation_warning": false, "days_to_earnings": 31, "earnings_blackout": false, "earnings_date": "2026-07-21T00:00:00", "estimated_fees": 0.0, "estimated_slippage": 0.7374, "estimated_spread": 0.158, "executable_entry": 526.73, "execution_liquidity_bucket": "large_liquid", "factor_exposure_after": {"Energy": 3068.6}, "factor_exposure_before": {"Energy": 3068.6}, "factor_exposure_cap": 7000.0, "factor_exposure_limit_exceeded": false, "factor_tags": ["Industrials"], "final_action": "SKIP", "gross_reward_1_per_share": 0.0, "gross_reward_2_per_share": 0.0, "gross_risk_per_share": 526.73, "gross_rr": 0.0, "gross_rr_1": 0.0, "gross_rr_2": 0.0, "gross_rr_decision": 0.0, "highest_correlation_ticker": "XOM", "highest_correlation_value": -0.0133, "initial_action": "SKIP", "market_cap": 121119676243.26,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527.1777, "net_reward_1_per_share": 0.0, "net_reward_2_per_share": 0.0, "net_risk_per_share": 527.6254, "net_rr": 0.0, "net_rr_1": 0.0, "net_rr_2": 0.0, "net_stop_assumption": -0.4477, "net_target_1_assumption": -0.2634, "net_target_2_assumption": -0.2634, "normalized_atr_score": 100.0, "normalized_liquidity_score": 52.22, "normalized_momentum_score": 0, "normalized_quality_score": 40.67,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526.73,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67.08, "setup_score": 0.0, "setup_type": "No Trade", "sizing_adjustment_reason": "", "spread_source": "liquidity_fallback", "stock_score": 0.0, "stop_loss": 0.0, "target_1": null, "target_1_atr_distance": 0.0, "target_2": null, "target_2_atr_distance": 0.0, "target_feasibility_status": "UNKNOWN", "theoretical_entry": 526.73, "ticker": "LMT", "timestamp": "2026-06-08T14:15:34", "warnings": ["Target ATR feasibility unavailable."]}</t>
        </is>
      </c>
    </row>
    <row r="251">
      <c r="A251" t="inlineStr">
        <is>
          <t>2026-06-08T14:15:34</t>
        </is>
      </c>
      <c r="B251" t="inlineStr">
        <is>
          <t>MTD</t>
        </is>
      </c>
      <c r="C251" t="inlineStr">
        <is>
          <t>No Trade</t>
        </is>
      </c>
      <c r="D251" t="n">
        <v>0</v>
      </c>
      <c r="E251" t="n">
        <v>1147.68</v>
      </c>
      <c r="H251" t="n">
        <v>0</v>
      </c>
      <c r="K251" t="n">
        <v>0</v>
      </c>
      <c r="L251" t="inlineStr">
        <is>
          <t>No clean technical setup detected. Price in middle of value area or poor risk/reward.</t>
        </is>
      </c>
      <c r="M251" t="inlineStr">
        <is>
          <t>SKIP</t>
        </is>
      </c>
      <c r="N251" t="inlineStr">
        <is>
          <t>SKIP: No Trade result. Market regime NEUTRAL; sector NEUTRAL; net R/R 0.00.</t>
        </is>
      </c>
      <c r="O251" t="inlineStr">
        <is>
          <t>MTD
No Trade
0.00
score
Price
1147.68
R/R
0.00x
Grade
No Trade
Quality
0%
Buy Zone
-
Stop
0.00
Targets
-
Skip
Mixed
Relative Strength
Leadership
100%
Trend Quality
Messy
18%
Liquidity
Institutional liquidity
100%
Volume
Confirmed
80%
No actionable setup detected.
No clean technical setup detected. Price in middle of value area or poor risk/reward.
Fib 61.8
1273.82
Fib Zone
1264.16 - 1283.48
Swing Low
1228.57
Swing High
1347.03
Click chart to open full size</t>
        </is>
      </c>
      <c r="P251" t="inlineStr">
        <is>
          <t>agent_results/charts/market_lens_agent_20260608_140702_mtd.png</t>
        </is>
      </c>
      <c r="Q251" t="inlineStr">
        <is>
          <t>Smart Universe: broad liquid US universe, diversified by sector | Sector: Healthcare - Neutral (67/100); XLV sector regime is neutral: 0.8% 3m return, -9.0% vs SPY | Setup: No Trade; score 0.00; R/R 0.00x; price 1147.68 | Market: NEUTRAL; Sector regime: NEUTRAL; Net R/R: 0.00; Factors: Defensive, Healthcare | Agent action: SKIP - SKIP: No Trade result. Market regime NEUTRAL; sector NEUTRAL; net R/R 0.00.</t>
        </is>
      </c>
      <c r="R251" t="inlineStr">
        <is>
          <t>{"adjusted_cash_out": 0.0, "adjusted_position_size": 0, "adjusted_risk_amount": 0.0, "ask": 0.0, "bid": 0.0, "buy_zone_high": null, "buy_zone_low": null, "cash_available": 96983.3, "company_name": "Mettler Toledo", "correlation_warning": false, "days_to_earnings": 38, "earnings_blackout": false, "earnings_date": "2026-07-30T00:00:00", "estimated_fees": 0.0, "estimated_slippage": 3.443, "estimated_spread": 0.9181, "executable_entry": 1147.68, "execution_liquidity_bucket": "mid_liquid", "factor_exposure_after": {"Energy": 3068.6}, "factor_exposure_before": {"Energy": 3068.6}, "factor_exposure_cap": 7000.0, "factor_exposure_limit_exceeded": false, "factor_tags": ["Defensive", "Healthcare"], "final_action": "SKIP", "gross_reward_1_per_share": 0.0, "gross_reward_2_per_share": 0.0, "gross_risk_per_share": 1147.68, "gross_rr": 0.0, "gross_rr_1": 0.0, "gross_rr_2": 0.0, "gross_rr_decision": 0.0, "highest_correlation_ticker": "XOM", "highest_correlation_value": -0.1437, "initial_action": "SKIP", "market_cap": 23186909837.47,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1149.8606, "net_reward_1_per_share": 0.0, "net_reward_2_per_share": 0.0, "net_risk_per_share": 1152.0412, "net_rr": 0.0, "net_rr_1": 0.0, "net_rr_2": 0.0, "net_stop_assumption": -2.1806, "net_target_1_assumption": -1.3198, "net_target_2_assumption": -1.3198, "normalized_atr_score": 100.0, "normalized_liquidity_score": 32.38, "normalized_momentum_score": 31.37, "normalized_quality_score": 48.83,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1147.68,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1147.68, "ticker": "MTD", "timestamp": "2026-06-08T14:15:34", "warnings": ["Target ATR feasibility unavailable."]}</t>
        </is>
      </c>
    </row>
    <row r="252">
      <c r="A252" t="inlineStr">
        <is>
          <t>2026-06-08T14:15:34</t>
        </is>
      </c>
      <c r="B252" t="inlineStr">
        <is>
          <t>ISRG</t>
        </is>
      </c>
      <c r="C252" t="inlineStr">
        <is>
          <t>No Trade</t>
        </is>
      </c>
      <c r="D252" t="n">
        <v>0</v>
      </c>
      <c r="E252" t="n">
        <v>420.67</v>
      </c>
      <c r="H252" t="n">
        <v>0</v>
      </c>
      <c r="K252" t="n">
        <v>0</v>
      </c>
      <c r="L252" t="inlineStr">
        <is>
          <t>No clean technical setup detected. Price in middle of value area or poor risk/reward.</t>
        </is>
      </c>
      <c r="M252" t="inlineStr">
        <is>
          <t>SKIP</t>
        </is>
      </c>
      <c r="N252" t="inlineStr">
        <is>
          <t>SKIP: No Trade result. Market regime NEUTRAL; sector NEUTRAL; net R/R 0.00.</t>
        </is>
      </c>
      <c r="O252" t="inlineStr">
        <is>
          <t>ISRG
No Trade
0.00
score
Price
420.67
R/R
0.00x
Grade
No Trade
Quality
0%
Buy Zone
-
Stop
0.00
Targets
-
Skip
Mixed
Relative Strength
In line
49%
Trend Quality
Messy
0%
Liquidity
Institutional liquidity
100%
Volume
Distribution risk
30%
No actionable setup detected.
No clean technical setup detected. Price in middle of value area or poor risk/reward.
Fib 61.8
429.98
Fib Zone
426.81 - 433.14
Swing Low
417.74
Swing High
449.77
Click chart to open full size</t>
        </is>
      </c>
      <c r="P252" t="inlineStr">
        <is>
          <t>agent_results/charts/market_lens_agent_20260608_140702_isrg.png</t>
        </is>
      </c>
      <c r="Q252" t="inlineStr">
        <is>
          <t>Smart Universe: broad liquid US universe, diversified by sector | Sector: Healthcare - Neutral (67/100); XLV sector regime is neutral: 0.8% 3m return, -9.0% vs SPY | Setup: No Trade; score 0.00; R/R 0.00x; price 420.67 | Market: NEUTRAL; Sector regime: NEUTRAL; Net R/R: 0.00; Factors: Defensive, Healthcare | Agent action: SKIP - SKIP: No Trade result. Market regime NEUTRAL; sector NEUTRAL; net R/R 0.00.</t>
        </is>
      </c>
      <c r="R252" t="inlineStr">
        <is>
          <t>{"adjusted_cash_out": 0.0, "adjusted_position_size": 0, "adjusted_risk_amount": 0.0, "ask": 0.0, "bid": 0.0, "buy_zone_high": null, "buy_zone_low": null, "cash_available": 96983.3, "company_name": "Intuitive Surgical, Inc.", "correlation_warning": false, "days_to_earnings": 31, "earnings_blackout": false, "earnings_date": "2026-07-21T00:00:00", "estimated_fees": 0.0, "estimated_slippage": 0.5889, "estimated_spread": 0.1262, "executable_entry": 420.67,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420.67, "gross_rr": 0.0, "gross_rr_1": 0.0, "gross_rr_2": 0.0, "gross_rr_decision": 0.0, "highest_correlation_ticker": "XOM", "highest_correlation_value": -0.266, "initial_action": "SKIP", "market_cap": 149385882432.32,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421.0276, "net_reward_1_per_share": 0.0, "net_reward_2_per_share": 0.0, "net_risk_per_share": 421.3851, "net_rr": 0.0, "net_rr_1": 0.0, "net_rr_2": 0.0, "net_stop_assumption": -0.3576, "net_target_1_assumption": -0.2103, "net_target_2_assumption": -0.2103, "normalized_atr_score": 100.0, "normalized_liquidity_score": 67.59, "normalized_momentum_score": 0, "normalized_quality_score": 45.28,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420.67,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420.67, "ticker": "ISRG", "timestamp": "2026-06-08T14:15:34", "warnings": ["Target ATR feasibility unavailable."]}</t>
        </is>
      </c>
    </row>
    <row r="253">
      <c r="A253" t="inlineStr">
        <is>
          <t>2026-06-08T14:15:34</t>
        </is>
      </c>
      <c r="B253" t="inlineStr">
        <is>
          <t>BSX</t>
        </is>
      </c>
      <c r="C253" t="inlineStr">
        <is>
          <t>No Trade</t>
        </is>
      </c>
      <c r="D253" t="n">
        <v>0</v>
      </c>
      <c r="E253" t="n">
        <v>48.69</v>
      </c>
      <c r="H253" t="n">
        <v>0</v>
      </c>
      <c r="K253" t="n">
        <v>0</v>
      </c>
      <c r="L253" t="inlineStr">
        <is>
          <t>No clean technical setup detected. Price in middle of value area or poor risk/reward.</t>
        </is>
      </c>
      <c r="M253" t="inlineStr">
        <is>
          <t>SKIP</t>
        </is>
      </c>
      <c r="N253" t="inlineStr">
        <is>
          <t>SKIP: No Trade result. Market regime NEUTRAL; sector NEUTRAL; net R/R 0.00.</t>
        </is>
      </c>
      <c r="O253" t="inlineStr">
        <is>
          <t>BSX
No Trade
0.00
score
Price
48.69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54.34 - 55.28
Swing Low
52.52
Swing High
58.51
Click chart to open full size</t>
        </is>
      </c>
      <c r="P253" t="inlineStr">
        <is>
          <t>agent_results/charts/market_lens_agent_20260608_140702_bsx.png</t>
        </is>
      </c>
      <c r="Q253" t="inlineStr">
        <is>
          <t>Smart Universe: broad liquid US universe, diversified by sector | Sector: Healthcare - Neutral (67/100); XLV sector regime is neutral: 0.8% 3m return, -9.0% vs SPY | Setup: No Trade; score 0.00; R/R 0.00x; price 48.69 | Market: NEUTRAL; Sector regime: NEUTRAL; Net R/R: 0.00; Factors: Defensive, Healthcare | Agent action: SKIP - SKIP: No Trade result. Market regime NEUTRAL; sector NEUTRAL; net R/R 0.00.</t>
        </is>
      </c>
      <c r="R253" t="inlineStr">
        <is>
          <t>{"adjusted_cash_out": 0.0, "adjusted_position_size": 0, "adjusted_risk_amount": 0.0, "ask": 0.0, "bid": 0.0, "buy_zone_high": null, "buy_zone_low": null, "cash_available": 96983.3, "company_name": "Boston Scientific Corporation", "correlation_warning": false, "days_to_earnings": 37, "earnings_blackout": false, "earnings_date": "2026-07-29T00:00:00", "estimated_fees": 0.0, "estimated_slippage": 0.0682, "estimated_spread": 0.0146, "executable_entry": 48.69,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48.69, "gross_rr": 0.0, "gross_rr_1": 0.0, "gross_rr_2": 0.0, "gross_rr_decision": 0.0, "highest_correlation_ticker": "XOM", "highest_correlation_value": -0.0748, "initial_action": "SKIP", "market_cap": 72586153805.67,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48.7314, "net_reward_1_per_share": 0.0, "net_reward_2_per_share": 0.0, "net_risk_per_share": 48.7728, "net_rr": 0.0, "net_rr_1": 0.0, "net_rr_2": 0.0, "net_stop_assumption": -0.0414, "net_target_1_assumption": -0.0243, "net_target_2_assumption": -0.0243, "normalized_atr_score": 100.0, "normalized_liquidity_score": 69.58, "normalized_momentum_score": 0, "normalized_quality_score": 45.87,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48.69,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48.69, "ticker": "BSX", "timestamp": "2026-06-08T14:15:34", "warnings": ["Target ATR feasibility unavailable."]}</t>
        </is>
      </c>
    </row>
    <row r="254">
      <c r="A254" t="inlineStr">
        <is>
          <t>2026-06-08T14:15:34</t>
        </is>
      </c>
      <c r="B254" t="inlineStr">
        <is>
          <t>SYK</t>
        </is>
      </c>
      <c r="C254" t="inlineStr">
        <is>
          <t>No Trade</t>
        </is>
      </c>
      <c r="D254" t="n">
        <v>0</v>
      </c>
      <c r="E254" t="n">
        <v>303.04</v>
      </c>
      <c r="H254" t="n">
        <v>0</v>
      </c>
      <c r="K254" t="n">
        <v>0</v>
      </c>
      <c r="L254" t="inlineStr">
        <is>
          <t>No clean technical setup detected. Price in middle of value area or poor risk/reward.</t>
        </is>
      </c>
      <c r="M254" t="inlineStr">
        <is>
          <t>SKIP</t>
        </is>
      </c>
      <c r="N254" t="inlineStr">
        <is>
          <t>SKIP: No Trade result. Market regime NEUTRAL; sector NEUTRAL; net R/R 0.00.</t>
        </is>
      </c>
      <c r="O254" t="inlineStr">
        <is>
          <t>SYK
No Trade
0.00
score
Price
303.04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296.99
Fib Zone
294.90 - 299.09
Swing Low
281.00
Swing High
322.87
Click chart to open full size</t>
        </is>
      </c>
      <c r="P254" t="inlineStr">
        <is>
          <t>agent_results/charts/market_lens_agent_20260608_140702_syk.png</t>
        </is>
      </c>
      <c r="Q254" t="inlineStr">
        <is>
          <t>Smart Universe: broad liquid US universe, diversified by sector | Sector: Healthcare - Neutral (67/100); XLV sector regime is neutral: 0.8% 3m return, -9.0% vs SPY | Setup: No Trade; score 0.00; R/R 0.00x; price 303.04 | Market: NEUTRAL; Sector regime: NEUTRAL; Net R/R: 0.00; Factors: Defensive, Healthcare | Agent action: SKIP - SKIP: No Trade result. Market regime NEUTRAL; sector NEUTRAL; net R/R 0.00.</t>
        </is>
      </c>
      <c r="R254" t="inlineStr">
        <is>
          <t>{"adjusted_cash_out": 0.0, "adjusted_position_size": 0, "adjusted_risk_amount": 0.0, "ask": 0.0, "bid": 0.0, "buy_zone_high": null, "buy_zone_low": null, "cash_available": 96983.3, "company_name": "Stryker Corporation", "correlation_warning": false, "days_to_earnings": 38, "earnings_blackout": false, "earnings_date": "2026-07-30T00:00:00", "estimated_fees": 0.0, "estimated_slippage": 0.4243, "estimated_spread": 0.0909, "executable_entry": 303.04,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303.04, "gross_rr": 0.0, "gross_rr_1": 0.0, "gross_rr_2": 0.0, "gross_rr_decision": 0.0, "highest_correlation_ticker": "XOM", "highest_correlation_value": -0.0981, "initial_action": "SKIP", "market_cap": 116633674487.12,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303.2976, "net_reward_1_per_share": 0.0, "net_reward_2_per_share": 0.0, "net_risk_per_share": 303.5552, "net_rr": 0.0, "net_rr_1": 0.0, "net_rr_2": 0.0, "net_stop_assumption": -0.2576, "net_target_1_assumption": -0.1515, "net_target_2_assumption": -0.1515, "normalized_atr_score": 100.0, "normalized_liquidity_score": 63.63, "normalized_momentum_score": 12.71, "normalized_quality_score": 49.81,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303.04,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303.04, "ticker": "SYK", "timestamp": "2026-06-08T14:15:34", "warnings": ["Target ATR feasibility unavailable."]}</t>
        </is>
      </c>
    </row>
    <row r="255">
      <c r="A255" t="inlineStr">
        <is>
          <t>2026-06-08T14:15:34</t>
        </is>
      </c>
      <c r="B255" t="inlineStr">
        <is>
          <t>ABT</t>
        </is>
      </c>
      <c r="C255" t="inlineStr">
        <is>
          <t>No Trade</t>
        </is>
      </c>
      <c r="D255" t="n">
        <v>0</v>
      </c>
      <c r="E255" t="n">
        <v>90.61</v>
      </c>
      <c r="H255" t="n">
        <v>0</v>
      </c>
      <c r="K255" t="n">
        <v>0</v>
      </c>
      <c r="L255" t="inlineStr">
        <is>
          <t>No clean technical setup detected. Price in middle of value area or poor risk/reward.</t>
        </is>
      </c>
      <c r="M255" t="inlineStr">
        <is>
          <t>SKIP</t>
        </is>
      </c>
      <c r="N255" t="inlineStr">
        <is>
          <t>SKIP: No Trade result. Market regime NEUTRAL; sector NEUTRAL; net R/R 0.00.</t>
        </is>
      </c>
      <c r="O255" t="inlineStr">
        <is>
          <t>ABT
No Trade
0.00
score
Price
90.61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84.79
Fib Zone
84.27 - 85.30
Swing Low
81.97
Swing High
89.34
Click chart to open full size</t>
        </is>
      </c>
      <c r="P255" t="inlineStr">
        <is>
          <t>agent_results/charts/market_lens_agent_20260608_140702_abt.png</t>
        </is>
      </c>
      <c r="Q255" t="inlineStr">
        <is>
          <t>Smart Universe: broad liquid US universe, diversified by sector | Sector: Healthcare - Neutral (67/100); XLV sector regime is neutral: 0.8% 3m return, -9.0% vs SPY | Setup: No Trade; score 0.00; R/R 0.00x; price 90.61 | Market: NEUTRAL; Sector regime: NEUTRAL; Net R/R: 0.00; Factors: Defensive, Healthcare | Agent action: SKIP - SKIP: No Trade result. Market regime NEUTRAL; sector NEUTRAL; net R/R 0.00.</t>
        </is>
      </c>
      <c r="R255" t="inlineStr">
        <is>
          <t>{"adjusted_cash_out": 0.0, "adjusted_position_size": 0, "adjusted_risk_amount": 0.0, "ask": 0.0, "bid": 0.0, "buy_zone_high": null, "buy_zone_low": null, "cash_available": 96983.3, "company_name": "Abbott Laboratories", "correlation_warning": false, "days_to_earnings": 28, "earnings_blackout": false, "earnings_date": "2026-07-16T00:00:00", "estimated_fees": 0.0, "estimated_slippage": 0.1269, "estimated_spread": 0.0272, "executable_entry": 90.61, "execution_liquidity_bucket": "large_liquid", "factor_exposure_after": {"Energy": 3068.6}, "factor_exposure_before": {"Energy": 3068.6}, "factor_exposure_cap": 7000.0, "factor_exposure_limit_exceeded": false, "factor_tags": ["Defensive", "Healthcare"], "final_action": "SKIP", "gross_reward_1_per_share": 0.0, "gross_reward_2_per_share": 0.0, "gross_risk_per_share": 90.61, "gross_rr": 0.0, "gross_rr_1": 0.0, "gross_rr_2": 0.0, "gross_rr_decision": 0.0, "highest_correlation_ticker": "XOM", "highest_correlation_value": 0.0088, "initial_action": "SKIP", "market_cap": 158365648772.32,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2.5, "net_entry": 90.687, "net_reward_1_per_share": 0.0, "net_reward_2_per_share": 0.0, "net_risk_per_share": 90.764, "net_rr": 0.0, "net_rr_1": 0.0, "net_rr_2": 0.0, "net_stop_assumption": -0.077, "net_target_1_assumption": -0.0453, "net_target_2_assumption": -0.0453, "normalized_atr_score": 100.0, "normalized_liquidity_score": 66.27, "normalized_momentum_score": 7.35, "normalized_quality_score": 48.19,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90.61,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66.85, "setup_score": 0.0, "setup_type": "No Trade", "sizing_adjustment_reason": "", "spread_source": "liquidity_fallback", "stock_score": 0.0, "stop_loss": 0.0, "target_1": null, "target_1_atr_distance": 0.0, "target_2": null, "target_2_atr_distance": 0.0, "target_feasibility_status": "UNKNOWN", "theoretical_entry": 90.61, "ticker": "ABT", "timestamp": "2026-06-08T14:15:34", "warnings": ["Target ATR feasibility unavailable."]}</t>
        </is>
      </c>
    </row>
    <row r="256">
      <c r="A256" t="inlineStr">
        <is>
          <t>2026-06-08T14:15:34</t>
        </is>
      </c>
      <c r="B256" t="inlineStr">
        <is>
          <t>ICE</t>
        </is>
      </c>
      <c r="C256" t="inlineStr">
        <is>
          <t>No Trade</t>
        </is>
      </c>
      <c r="D256" t="n">
        <v>0</v>
      </c>
      <c r="E256" t="n">
        <v>139.52</v>
      </c>
      <c r="H256" t="n">
        <v>0</v>
      </c>
      <c r="K256" t="n">
        <v>0</v>
      </c>
      <c r="L256" t="inlineStr">
        <is>
          <t>No clean technical setup detected. Price in middle of value area or poor risk/reward.</t>
        </is>
      </c>
      <c r="M256" t="inlineStr">
        <is>
          <t>SKIP</t>
        </is>
      </c>
      <c r="N256" t="inlineStr">
        <is>
          <t>SKIP: No Trade result. Market regime NEUTRAL; sector STRONG; net R/R 0.00.</t>
        </is>
      </c>
      <c r="O256" t="inlineStr">
        <is>
          <t>ICE
No Trade
0.00
score
Price
139.52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157.44 - 159.41
Swing Low
152.38
Swing High
168.20
Click chart to open full size</t>
        </is>
      </c>
      <c r="P256" t="inlineStr">
        <is>
          <t>agent_results/charts/market_lens_agent_20260608_140702_ice.png</t>
        </is>
      </c>
      <c r="Q256" t="inlineStr">
        <is>
          <t>Smart Universe: broad liquid US universe, diversified by sector | Sector: Financials - Strong (70/100); XLF sector regime is strong: 5.0% 3m return, -4.7% vs SPY | Setup: No Trade; score 0.00; R/R 0.00x; price 139.52 | Market: NEUTRAL; Sector regime: STRONG; Net R/R: 0.00; Factors: Financials | Agent action: SKIP - SKIP: No Trade result. Market regime NEUTRAL; sector STRONG; net R/R 0.00.</t>
        </is>
      </c>
      <c r="R256" t="inlineStr">
        <is>
          <t>{"adjusted_cash_out": 0.0, "adjusted_position_size": 0, "adjusted_risk_amount": 0.0, "ask": 0.0, "bid": 0.0, "buy_zone_high": null, "buy_zone_low": null, "cash_available": 96983.3, "company_name": "Intercontinental Exchange, Inc.", "correlation_warning": false, "days_to_earnings": 38, "earnings_blackout": false, "earnings_date": "2026-07-30T00:00:00", "estimated_fees": 0.0, "estimated_slippage": 0.1953, "estimated_spread": 0.0419, "executable_entry": 139.52, "execution_liquidity_bucket": "large_liquid", "factor_exposure_after": {"Energy": 3068.6}, "factor_exposure_before": {"Energy": 3068.6}, "factor_exposure_cap": 7000.0, "factor_exposure_limit_exceeded": false, "factor_tags": ["Financials"], "final_action": "SKIP", "gross_reward_1_per_share": 0.0, "gross_reward_2_per_share": 0.0, "gross_risk_per_share": 139.52, "gross_rr": 0.0, "gross_rr_1": 0.0, "gross_rr_2": 0.0, "gross_rr_decision": 0.0, "highest_correlation_ticker": "XOM", "highest_correlation_value": -0.0946, "initial_action": "SKIP", "market_cap": 78809821648.36, "market_cap_bucket": "Large Cap", "market_regime": "NEUTRAL", "market_regime_indicators": {"DXY": {"ema20": 99.2089, "ema200": 98.7984, "ema50": 98.9468, "price": 99.929, "return_1m": 2.14, "return_3m": 1.11, "trend": "bullish"}, "IWM": {"ema20": 284.8288, "ema200": 267.0294, "ema50": 277.1576, "price": 284.78, "return_1m": 0.21, "return_3m": 12.6, "trend": "mixed"}, "QQQ": {"ema20": 717.3638, "ema200": 650.6579, "ema50": 684.348, "price": 715.37, "return_1m": 0.58, "return_3m": 17.85, "trend": "mixed"}, "SPY": {"ema20": 743.4601, "ema200": 702.8015, "ema50": 723.8072, "price": 741.38, "return_1m": 0.51, "return_3m": 9.78, "trend": "mixed"}, "US10Y": {"ema20": 4.4872, "ema200": 4.3151, "ema50": 4.4163, "price": 4.536, "return_1m": 3.94, "return_3m": 9.67, "trend": "bullish"}, "VIX": {"ema20": 17.3858, "ema200": 18.7872, "ema50": 18.4132, "price": 19.07, "return_1m": 3.75, "return_3m": -21.3, "trend": "mixed"}}, "market_regime_reason": "Market regime is mixed; use lower exposure and higher net R/R.", "market_regime_score": 0.52, "market_structure_status": "UNKNOWN", "minimum_net_rr_required": 2.2, "net_entry": 139.6386, "net_reward_1_per_share": 0.0, "net_reward_2_per_share": 0.0, "net_risk_per_share": 139.7572, "net_rr": 0.0, "net_rr_1": 0.0, "net_rr_2": 0.0, "net_stop_assumption": -0.1186, "net_target_1_assumption": -0.0698, "net_target_2_assumption": -0.0698, "normalized_atr_score": 100.0, "normalized_liquidity_score": 52.07, "normalized_momentum_score": 0, "normalized_quality_score": 40.62, "original_cash_out": 0.0, "original_position_size": 0, "original_risk_amount": 0.0, "portfolio_exposure_after": 3009.8, "portfolio_exposure_before": 3009.8, "position_size": 0, "position_size_adjusted": false, "position_sizing_explanation": "No new position size was calculated because the base decision did not open a simulated buy.", "previous_resistance": 0.0, "price": 139.52,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69.81, "setup_score": 0.0, "setup_type": "No Trade", "sizing_adjustment_reason": "", "spread_source": "liquidity_fallback", "stock_score": 0.0, "stop_loss": 0.0, "target_1": null, "target_1_atr_distance": 0.0, "target_2": null, "target_2_atr_distance": 0.0, "target_feasibility_status": "UNKNOWN", "theoretical_entry": 139.52, "ticker": "ICE", "timestamp": "2026-06-08T14:15:34", "warnings": ["Target ATR feasibility unavailable."]}</t>
        </is>
      </c>
    </row>
    <row r="257">
      <c r="A257" t="inlineStr">
        <is>
          <t>2026-06-08T15:11:24</t>
        </is>
      </c>
      <c r="B257" t="inlineStr">
        <is>
          <t>CB</t>
        </is>
      </c>
      <c r="C257" t="inlineStr">
        <is>
          <t>Fib 61.8 Confluence Buy Zone</t>
        </is>
      </c>
      <c r="D257" t="n">
        <v>0.43</v>
      </c>
      <c r="E257" t="n">
        <v>323.56</v>
      </c>
      <c r="F257" t="n">
        <v>320.73</v>
      </c>
      <c r="G257" t="n">
        <v>323.86</v>
      </c>
      <c r="H257" t="n">
        <v>318.48</v>
      </c>
      <c r="I257" t="n">
        <v>324.19</v>
      </c>
      <c r="J257" t="n">
        <v>334.03</v>
      </c>
      <c r="K257" t="n">
        <v>0.8</v>
      </c>
      <c r="L257" t="inlineStr">
        <is>
          <t>Price at 61.8% fib retracement (322.29) with confluence at POC, VAL, VWAP. Planned entry at zone low 320.73; executable entry 323.57, stop below fib 78.6% at 318.48.</t>
        </is>
      </c>
      <c r="M257" t="inlineStr">
        <is>
          <t>WATCH</t>
        </is>
      </c>
      <c r="N257" t="inlineStr">
        <is>
          <t>WATCH: Technical setup detected, but weighted risk/reward 0.80 is below minimum 2.00. Market regime BULL; sector STRONG; net R/R 0.65.</t>
        </is>
      </c>
      <c r="O257" t="inlineStr">
        <is>
          <t>CB
Fib 61.8 Confluence Buy Zone
0.43
score
Price
323.56
R/R
0.80x
Grade
C
Quality
56%
Buy Zone
320.73 - 323.86
Stop
318.48
Targets
324.19 / 334.03
Watch only; needs confirmation
Mixed
Relative Strength
Leadership
81%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323.57, stop below fib 78.6% at 318.48.
Fib 61.8
322.29
Fib Zone
320.73 - 323.86
Swing Low
315.04
Swing High
334.03
Save setup
Click chart to open full size</t>
        </is>
      </c>
      <c r="P257" t="inlineStr">
        <is>
          <t>agent_results/charts/market_lens_agent_20260608_150453_cb.png</t>
        </is>
      </c>
      <c r="Q257" t="inlineStr">
        <is>
          <t>Smart Universe: broad liquid US universe, diversified by sector | Sector: Financials - Strong (69/100); XLF sector regime is strong: 5.1% 3m return, -5.2% vs SPY | Setup: Fib 61.8 Confluence Buy Zone; score 0.43; R/R 0.80x; price 323.56 | Market: BULL; Sector regime: STRONG; Net R/R: 0.65; Factors: Financials | Agent action: WATCH - WATCH: Technical setup detected, but weighted risk/reward 0.80 is below minimum 2.00. Market regime BULL; sector STRONG; net R/R 0.65.</t>
        </is>
      </c>
      <c r="R257" t="inlineStr">
        <is>
          <t>{"adjusted_cash_out": 0.0, "adjusted_position_size": 0, "adjusted_risk_amount": 0.0, "ask": 0.0, "bid": 0.0, "buy_zone_high": 323.86, "buy_zone_low": 320.73, "cash_available": 96983.3, "company_name": "Chubb Limited", "correlation_warning": false, "days_to_earnings": 36, "earnings_blackout": false, "earnings_date": "2026-07-28T00:00:00", "estimated_fees": 0.0, "estimated_slippage": 0.453, "estimated_spread": 0.0971, "executable_entry": 323.56, "execution_liquidity_bucket": "large_liquid", "factor_exposure_after": {"Energy": 3068.6}, "factor_exposure_before": {"Energy": 3068.6}, "factor_exposure_cap": 20000.0, "factor_exposure_limit_exceeded": false, "factor_tags": ["Financials"], "final_action": "WATCH", "gross_reward_1_per_share": 0.63, "gross_reward_2_per_share": 10.47, "gross_risk_per_share": 5.08, "gross_rr": 0.802, "gross_rr_1": 0.124, "gross_rr_2": 2.061, "gross_rr_decision": 0.802, "highest_correlation_ticker": "XOM", "highest_correlation_value": 0.0877, "initial_action": "WATCH", "market_cap": 125583285841.6,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323.835, "net_reward_1_per_share": 0.1932, "net_reward_2_per_share": 10.0332, "net_risk_per_share": 5.6301, "net_rr": 0.646, "net_rr_1": 0.0343, "net_rr_2": 1.7821, "net_stop_assumption": 318.205, "net_target_1_assumption": 324.0282, "net_target_2_assumption": 333.8682, "normalized_atr_score": 100.0, "normalized_liquidity_score": 49.32, "normalized_momentum_score": 51.58, "normalized_quality_score": 63.01,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334.03, "price": 323.56, "prior_high_20": 334.03, "prior_high_63": 336.14, "reason": "WATCH: Technical setup detected, but weighted risk/reward 0.80 is below minimum 2.00. Market regime BULL; sector STRONG; net R/R 0.65.",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0.43, "setup_type": "Fib 61.8 Confluence Buy Zone", "sizing_adjustment_reason": "", "spread_source": "liquidity_fallback", "stock_score": 0.43, "stop_loss": 318.48, "target_1": 324.19, "target_1_atr_distance": 0.1008, "target_2": 334.03, "target_2_atr_distance": 1.6756, "target_feasibility_status": "LOW_REWARD_DISTANCE", "theoretical_entry": 320.73, "ticker": "CB", "timestamp": "2026-06-08T15:11:24", "warnings": ["Target 1 is close versus daily ATR."]}</t>
        </is>
      </c>
    </row>
    <row r="258">
      <c r="A258" t="inlineStr">
        <is>
          <t>2026-06-08T15:11:24</t>
        </is>
      </c>
      <c r="B258" t="inlineStr">
        <is>
          <t>INTC</t>
        </is>
      </c>
      <c r="C258" t="inlineStr">
        <is>
          <t>Fib 61.8 Confluence Buy Zone</t>
        </is>
      </c>
      <c r="D258" t="n">
        <v>0.41</v>
      </c>
      <c r="E258" t="n">
        <v>111.59</v>
      </c>
      <c r="F258" t="n">
        <v>109.47</v>
      </c>
      <c r="G258" t="n">
        <v>113.85</v>
      </c>
      <c r="H258" t="n">
        <v>106.71</v>
      </c>
      <c r="I258" t="n">
        <v>114.52</v>
      </c>
      <c r="J258" t="n">
        <v>126.64</v>
      </c>
      <c r="K258" t="n">
        <v>1.47</v>
      </c>
      <c r="L258" t="inlineStr">
        <is>
          <t>Price at 61.8% fib retracement (111.66) with confluence at POC, VWAP. Planned entry at zone low 109.47; executable entry 111.59, stop below fib 78.6% at 106.71. Structural confluence: swing low at 40.63 aligns with VAL (42.49).</t>
        </is>
      </c>
      <c r="M258" t="inlineStr">
        <is>
          <t>WATCH</t>
        </is>
      </c>
      <c r="N258" t="inlineStr">
        <is>
          <t>WATCH: Technical setup detected, but weighted risk/reward 1.47 is below minimum 2.00. Market regime BULL; sector STRONG; net R/R 1.38.</t>
        </is>
      </c>
      <c r="O258" t="inlineStr">
        <is>
          <t>INTC
Fib 61.8 Confluence Buy Zone
0.41
score
Price
111.59
R/R
1.47x
Grade
C
Quality
55%
Buy Zone
109.47 - 113.85
Stop
106.71
Targets
114.52 / 126.64
Watch only; needs confirmation
Mixed
Relative Strength
In line
56%
Trend Quality
Constructive
68%
Liquidity
Institutional liquidity
100%
Volume
Distribution risk
30%
Trigger
Break above prior-day high at 111.59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109.47; executable entry 111.59, stop below fib 78.6% at 106.71. Structural confluence: swing low at 40.63 aligns with VAL (42.49).
Fib 61.8
111.66
Fib Zone
109.47 - 113.85
Swing Low
102.40
Swing High
126.64
Save setup
Click chart to open full size</t>
        </is>
      </c>
      <c r="P258" t="inlineStr">
        <is>
          <t>agent_results/charts/market_lens_agent_20260608_150453_intc.png</t>
        </is>
      </c>
      <c r="Q258" t="inlineStr">
        <is>
          <t>Smart Universe: broad liquid US universe, diversified by sector | Sector: Technology - Strong (98/100); XLK sector regime is strong: 33.6% 3m return, 23.2% vs SPY | Setup: Fib 61.8 Confluence Buy Zone; score 0.41; R/R 1.47x; price 111.59 | Market: BULL; Sector regime: STRONG; Net R/R: 1.38; Factors: AI / Semiconductors, Technology | Agent action: WATCH - WATCH: Technical setup detected, but weighted risk/reward 1.47 is below minimum 2.00. Market regime BULL; sector STRONG; net R/R 1.38.</t>
        </is>
      </c>
      <c r="R258" t="inlineStr">
        <is>
          <t>{"adjusted_cash_out": 0.0, "adjusted_position_size": 0, "adjusted_risk_amount": 0.0, "ask": 0.0, "bid": 0.0, "buy_zone_high": 113.85, "buy_zone_low": 109.47, "cash_available": 96983.3, "company_name": "Intel Corporation", "correlation_warning": false, "days_to_earnings": 33, "earnings_blackout": false, "earnings_date": "2026-07-23T00:00:00", "estimated_fees": 0.0, "estimated_slippage": 0.1797, "estimated_spread": 0.0335, "executable_entry": 111.59, "execution_liquidity_bucket": "large_liquid", "factor_exposure_after": {"Energy": 3068.6}, "factor_exposure_before": {"Energy": 3068.6}, "factor_exposure_cap": 20000.0, "factor_exposure_limit_exceeded": false, "factor_tags": ["AI / Semiconductors", "Technology"], "final_action": "WATCH", "gross_reward_1_per_share": 2.93, "gross_reward_2_per_share": 15.05, "gross_risk_per_share": 4.88, "gross_rr": 1.4697, "gross_rr_1": 0.6004, "gross_rr_2": 3.084, "gross_rr_decision": 1.4697, "highest_correlation_ticker": "XOM", "highest_correlation_value": -0.2137, "initial_action": "WATCH", "market_cap": 561957047729.49,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111.6966, "net_reward_1_per_share": 2.7618, "net_reward_2_per_share": 14.8818, "net_risk_per_share": 5.0931, "net_rr": 1.3751, "net_rr_1": 0.5423, "net_rr_2": 2.9219, "net_stop_assumption": 106.6034, "net_target_1_assumption": 114.4583, "net_target_2_assumption": 126.5783, "normalized_atr_score": 68.43, "normalized_liquidity_score": 100, "normalized_momentum_score": 100, "normalized_quality_score": 92.11,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132.75, "price": 111.59, "prior_high_20": 132.75, "prior_high_63": 132.75, "reason": "WATCH: Technical setup detected, but weighted risk/reward 1.47 is below minimum 2.00. Market regime BULL; sector STRONG; net R/R 1.38.",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0.41, "setup_type": "Fib 61.8 Confluence Buy Zone", "sizing_adjustment_reason": "", "spread_source": "liquidity_fallback", "stock_score": 0.41, "stop_loss": 106.71, "target_1": 114.52, "target_1_atr_distance": 0.3346, "target_2": 126.64, "target_2_atr_distance": 1.7188, "target_feasibility_status": "LOW_REWARD_DISTANCE", "theoretical_entry": 109.47, "ticker": "INTC", "timestamp": "2026-06-08T15:11:24", "warnings": ["Target 1 is close versus daily ATR."]}</t>
        </is>
      </c>
    </row>
    <row r="259">
      <c r="A259" t="inlineStr">
        <is>
          <t>2026-06-08T15:11:24</t>
        </is>
      </c>
      <c r="B259" t="inlineStr">
        <is>
          <t>CRM</t>
        </is>
      </c>
      <c r="C259" t="inlineStr">
        <is>
          <t>Breakout + Retest</t>
        </is>
      </c>
      <c r="D259" t="n">
        <v>0.4</v>
      </c>
      <c r="E259" t="n">
        <v>183.82</v>
      </c>
      <c r="F259" t="n">
        <v>178.24</v>
      </c>
      <c r="G259" t="n">
        <v>187.44</v>
      </c>
      <c r="H259" t="n">
        <v>173.65</v>
      </c>
      <c r="I259" t="n">
        <v>191.15</v>
      </c>
      <c r="J259" t="n">
        <v>211.34</v>
      </c>
      <c r="K259" t="n">
        <v>1.42</v>
      </c>
      <c r="L259" t="inlineStr">
        <is>
          <t>Price (183.82) retesting broken resistance (187.44) as support. Breakout on 2026-05-29 with 2.6× avg volume. Volume confirmed breakout. Entry at 183.82, stop at 173.65.</t>
        </is>
      </c>
      <c r="M259" t="inlineStr">
        <is>
          <t>WATCH</t>
        </is>
      </c>
      <c r="N259" t="inlineStr">
        <is>
          <t>WATCH: Technical setup detected, but weighted risk/reward 1.42 is below minimum 2.00. Market regime BULL; sector STRONG; net R/R 1.28.</t>
        </is>
      </c>
      <c r="O259" t="inlineStr">
        <is>
          <t>CRM
Breakout + Retest
0.40
score
Price
183.82
R/R
1.42x
Grade
A
Quality
79%
Buy Zone
178.24 - 187.44
Stop
173.65
Targets
191.15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(183.82) retesting broken resistance (187.44) as support. Breakout on 2026-05-29 with 2.6× avg volume. Volume confirmed breakout. Entry at 183.82, stop at 173.65.
Fib 61.8
186.81
Fib Zone
184.51 - 189.11
Swing Low
171.65
Swing High
211.34
Save setup
Click chart to open full size</t>
        </is>
      </c>
      <c r="P259" t="inlineStr">
        <is>
          <t>agent_results/charts/market_lens_agent_20260608_150453_crm.png</t>
        </is>
      </c>
      <c r="Q259" t="inlineStr">
        <is>
          <t>Smart Universe: broad liquid US universe, diversified by sector | Sector: Technology - Strong (98/100); XLK sector regime is strong: 33.6% 3m return, 23.2% vs SPY | Setup: Breakout + Retest; score 0.40; R/R 1.42x; price 183.82 | Market: BULL; Sector regime: STRONG; Net R/R: 1.28; Factors: Technology | Agent action: WATCH - WATCH: Technical setup detected, but weighted risk/reward 1.42 is below minimum 2.00. Market regime BULL; sector STRONG; net R/R 1.28.</t>
        </is>
      </c>
      <c r="R259" t="inlineStr">
        <is>
          <t>{"adjusted_cash_out": 0.0, "adjusted_position_size": 0, "adjusted_risk_amount": 0.0, "ask": 0.0, "bid": 0.0, "buy_zone_high": 187.44, "buy_zone_low": 178.24, "cash_available": 96983.3, "company_name": "Salesforce, Inc.", "correlation_warning": false, "days_to_earnings": 62, "earnings_blackout": false, "earnings_date": "2026-09-02T00:00:00", "estimated_fees": 0.0, "estimated_slippage": 0.625, "estimated_spread": 0.0551, "executable_entry": 183.82, "execution_liquidity_bucket": "large_liquid", "factor_exposure_after": {"Energy": 3068.6}, "factor_exposure_before": {"Energy": 3068.6}, "factor_exposure_cap": 20000.0, "factor_exposure_limit_exceeded": false, "factor_tags": ["Technology"], "final_action": "WATCH", "gross_reward_1_per_share": 7.33, "gross_reward_2_per_share": 27.52, "gross_risk_per_share": 10.17, "gross_rr": 1.4156, "gross_rr_1": 0.7207, "gross_rr_2": 2.706, "gross_rr_decision": 1.4156, "highest_correlation_ticker": "XOM", "highest_correlation_value": -0.0382, "initial_action": "WATCH", "market_cap": 150253745498.66,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184.1601, "net_reward_1_per_share": 6.8061, "net_reward_2_per_share": 26.9961, "net_risk_per_share": 10.8501, "net_rr": 1.2786, "net_rr_1": 0.6273, "net_rr_2": 2.4881, "net_stop_assumption": 173.3099, "net_target_1_assumption": 190.9662, "net_target_2_assumption": 211.1562, "normalized_atr_score": 100.0, "normalized_liquidity_score": 96.92, "normalized_momentum_score": 33.4, "normalized_quality_score": 69.11,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211.34, "price": 183.82, "prior_high_20": 211.34, "prior_high_63": 211.34, "reason": "WATCH: Technical setup detected, but weighted risk/reward 1.42 is below minimum 2.00. Market regime BULL; sector STRONG; net R/R 1.28.",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"Breakout + Retest", "sizing_adjustment_reason": "", "spread_source": "liquidity_fallback", "stock_score": 0.4, "stop_loss": 173.65, "target_1": 191.15, "target_1_atr_distance": 0.7972, "target_2": 211.34, "target_2_atr_distance": 2.9929, "target_feasibility_status": "OK", "theoretical_entry": 178.24, "ticker": "CRM", "timestamp": "2026-06-08T15:11:24", "warnings": []}</t>
        </is>
      </c>
    </row>
    <row r="260">
      <c r="A260" t="inlineStr">
        <is>
          <t>2026-06-08T15:11:24</t>
        </is>
      </c>
      <c r="B260" t="inlineStr">
        <is>
          <t>QCOM</t>
        </is>
      </c>
      <c r="C260" t="inlineStr">
        <is>
          <t>Fib 61.8 Confluence Buy Zone</t>
        </is>
      </c>
      <c r="D260" t="n">
        <v>0.4</v>
      </c>
      <c r="E260" t="n">
        <v>220.77</v>
      </c>
      <c r="F260" t="n">
        <v>212.27</v>
      </c>
      <c r="G260" t="n">
        <v>220.81</v>
      </c>
      <c r="H260" t="n">
        <v>203.3</v>
      </c>
      <c r="I260" t="n">
        <v>224.64</v>
      </c>
      <c r="J260" t="n">
        <v>258.96</v>
      </c>
      <c r="K260" t="n">
        <v>0.91</v>
      </c>
      <c r="L260" t="inlineStr">
        <is>
          <t>Price at 61.8% fib retracement (216.54) with confluence at VWAP. Planned entry at zone low 212.27; executable entry 220.77, stop below fib 78.6% at 203.30. Structural confluence: swing low at 121.54 aligns with VAL (125.53).</t>
        </is>
      </c>
      <c r="M260" t="inlineStr">
        <is>
          <t>WATCH</t>
        </is>
      </c>
      <c r="N260" t="inlineStr">
        <is>
          <t>WATCH: Technical setup detected, but weighted risk/reward 0.91 is below minimum 2.00. Market regime BULL; sector STRONG; net R/R 0.87.</t>
        </is>
      </c>
      <c r="O260" t="inlineStr">
        <is>
          <t>QCOM
Fib 61.8 Confluence Buy Zone
0.40
score
Price
220.77
R/R
0.91x
Grade
B
Quality
69%
Buy Zone
212.27 - 220.81
Stop
203.30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203.30 or setup support fails.
Market regime: Mixed.
Relative strength: In line.
Price at 61.8% fib retracement (216.54) with confluence at VWAP. Planned entry at zone low 212.27; executable entry 220.77, stop below fib 78.6% at 203.30. Structural confluence: swing low at 121.54 aligns with VAL (125.53).
Fib 61.8
216.54
Fib Zone
212.27 - 220.81
Swing Low
190.32
Swing High
258.96
Save setup
Click chart to open full size</t>
        </is>
      </c>
      <c r="P260" t="inlineStr">
        <is>
          <t>agent_results/charts/market_lens_agent_20260608_150453_qcom.png</t>
        </is>
      </c>
      <c r="Q260" t="inlineStr">
        <is>
          <t>Smart Universe: broad liquid US universe, diversified by sector | Sector: Technology - Strong (98/100); XLK sector regime is strong: 33.6% 3m return, 23.2% vs SPY | Setup: Fib 61.8 Confluence Buy Zone; score 0.40; R/R 0.91x; price 220.77 | Market: BULL; Sector regime: STRONG; Net R/R: 0.87; Factors: AI / Semiconductors, Technology | Agent action: WATCH - WATCH: Technical setup detected, but weighted risk/reward 0.91 is below minimum 2.00. Market regime BULL; sector STRONG; net R/R 0.87.</t>
        </is>
      </c>
      <c r="R260" t="inlineStr">
        <is>
          <t>{"adjusted_cash_out": 0.0, "adjusted_position_size": 0, "adjusted_risk_amount": 0.0, "ask": 0.0, "bid": 0.0, "buy_zone_high": 220.81, "buy_zone_low": 212.27, "cash_available": 96983.3, "company_name": "QUALCOMM Incorporated", "correlation_warning": false, "days_to_earnings": 37, "earnings_blackout": false, "earnings_date": "2026-07-29T00:00:00", "estimated_fees": 0.0, "estimated_slippage": 0.3554, "estimated_spread": 0.0662, "executable_entry": 220.77, "execution_liquidity_bucket": "large_liquid", "factor_exposure_after": {"Energy": 3068.6}, "factor_exposure_before": {"Energy": 3068.6}, "factor_exposure_cap": 20000.0, "factor_exposure_limit_exceeded": false, "factor_tags": ["AI / Semiconductors", "Technology"], "final_action": "WATCH", "gross_reward_1_per_share": 3.87, "gross_reward_2_per_share": 38.19, "gross_risk_per_share": 17.47, "gross_rr": 0.9091, "gross_rr_1": 0.2215, "gross_rr_2": 2.186, "gross_rr_decision": 0.9091, "highest_correlation_ticker": "XOM", "highest_correlation_value": -0.1282, "initial_action": "WATCH", "market_cap": 233208034210.21,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220.9808, "net_reward_1_per_share": 3.5372, "net_reward_2_per_share": 37.8572, "net_risk_per_share": 17.8917, "net_rr": 0.8691, "net_rr_1": 0.1977, "net_rr_2": 2.1159, "net_stop_assumption": 203.0892, "net_target_1_assumption": 224.518, "net_target_2_assumption": 258.838, "normalized_atr_score": 69.48, "normalized_liquidity_score": 80.89, "normalized_momentum_score": 100, "normalized_quality_score": 86.64, "original_cash_out": 0.0, "original_position_size": 0, "original_risk_amount": 0.0, "portfolio_exposure_after": 3068.6, "portfolio_exposure_before": 3068.6, "position_size": 0, "position_size_adjusted": false, "position_sizing_explanation": "No new position size was calculated because the base decision did not open a simulated buy.", "previous_resistance": 258.9635, "price": 220.77, "prior_high_20": 258.9635, "prior_high_63": 258.9635, "reason": "WATCH: Technical setup detected, but weighted risk/reward 0.91 is below minimum 2.00. Market regime BULL; sector STRONG; net R/R 0.87.", "risk_amount": 0.0, "scan_source": "Smart Universe: broad liquid US universe filtered and diversified by the Market Lens UI.", "sector": "Technology", "sector_etf": "XLK", "sector_exposure_after": 0.0, "sector_exposure_before": 0.0, "sector_exposure_cap": 16000.0, "sector_exposure_limit_exceeded": false, "sector_regime": "STRONG", "sector_score": 98.16, "setup_score": 0.4, "setup_type": "Fib 61.8 Confluence Buy Zone", "sizing_adjustment_reason": "", "spread_source": "liquidity_fallback", "stock_score": 0.4, "stop_loss": 203.3, "target_1": 224.64, "target_1_atr_distance": 0.2263, "target_2": 258.96, "target_2_atr_distance": 2.233, "target_feasibility_status": "LOW_REWARD_DISTANCE", "theoretical_entry": 212.27, "ticker": "QCOM", "timestamp": "2026-06-08T15:11:24", "warnings": ["Target 1 is close versus daily ATR."]}</t>
        </is>
      </c>
    </row>
    <row r="261">
      <c r="A261" t="inlineStr">
        <is>
          <t>2026-06-08T15:11:24</t>
        </is>
      </c>
      <c r="B261" t="inlineStr">
        <is>
          <t>APA</t>
        </is>
      </c>
      <c r="C261" t="inlineStr">
        <is>
          <t>Fib 61.8 Confluence Buy Zone</t>
        </is>
      </c>
      <c r="D261" t="n">
        <v>0.39</v>
      </c>
      <c r="E261" t="n">
        <v>37.35</v>
      </c>
      <c r="F261" t="n">
        <v>37.24</v>
      </c>
      <c r="G261" t="n">
        <v>37.99</v>
      </c>
      <c r="H261" t="n">
        <v>36.39</v>
      </c>
      <c r="I261" t="n">
        <v>38.38</v>
      </c>
      <c r="J261" t="n">
        <v>44.19</v>
      </c>
      <c r="K261" t="n">
        <v>3.19</v>
      </c>
      <c r="L261" t="inlineStr">
        <is>
          <t>Price at 61.8% fib retracement (37.62) with confluence at VWAP. Planned entry at zone low 37.24; executable entry 37.35, stop below fib 78.6% at 36.39.</t>
        </is>
      </c>
      <c r="M261" t="inlineStr">
        <is>
          <t>BUY_SIMULATED</t>
        </is>
      </c>
      <c r="N261" t="inlineStr">
        <is>
          <t>BUY_SIMULATED: BULL market regime, STRONG sector, valid setup, net R/R 2.68, no earnings blackout, correlation acceptable, and risk limits allow entry.</t>
        </is>
      </c>
      <c r="O261" t="inlineStr">
        <is>
          <t>APA
Fib 61.8 Confluence Buy Zone
0.39
score
Price
37.35
R/R
3.19x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37.35, stop below fib 78.6% at 36.39.
Fib 61.8
37.62
Fib Zone
37.24 - 37.99
Swing Low
35.17
Swing High
41.58
Save setup
Click chart to open full size</t>
        </is>
      </c>
      <c r="P261" t="inlineStr">
        <is>
          <t>agent_results/charts/market_lens_agent_20260608_150453_apa.png</t>
        </is>
      </c>
      <c r="Q261"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R261"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262">
      <c r="A262" t="inlineStr">
        <is>
          <t>2026-06-08T15:11:24</t>
        </is>
      </c>
      <c r="B262" t="inlineStr">
        <is>
          <t>PH</t>
        </is>
      </c>
      <c r="C262" t="inlineStr">
        <is>
          <t>Breakout + Retest</t>
        </is>
      </c>
      <c r="D262" t="n">
        <v>0.39</v>
      </c>
      <c r="E262" t="n">
        <v>889.64</v>
      </c>
      <c r="F262" t="n">
        <v>857.64</v>
      </c>
      <c r="G262" t="n">
        <v>880</v>
      </c>
      <c r="H262" t="n">
        <v>846.46</v>
      </c>
      <c r="I262" t="n">
        <v>907.1900000000001</v>
      </c>
      <c r="J262" t="n">
        <v>1026.68</v>
      </c>
      <c r="K262" t="n">
        <v>1.37</v>
      </c>
      <c r="L262" t="inlineStr">
        <is>
          <t>Price (889.64) retesting broken resistance (880.00) as support. Breakout on 2026-06-05 with 1.2× avg volume. Entry at 889.64, stop at 846.46.</t>
        </is>
      </c>
      <c r="M262" t="inlineStr">
        <is>
          <t>WATCH</t>
        </is>
      </c>
      <c r="N262" t="inlineStr">
        <is>
          <t>WATCH: Technical setup detected, but weighted risk/reward 1.37 is below minimum 2.00. Market regime BULL; sector NEUTRAL; net R/R 1.22.</t>
        </is>
      </c>
      <c r="O262" t="inlineStr">
        <is>
          <t>PH
Breakout + Retest
0.39
score
Price
889.64
R/R
1.37x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(889.64) retesting broken resistance (880.00) as support. Breakout on 2026-06-05 with 1.2× avg volume. Entry at 889.64, stop at 846.46.
Fib 61.8
921.68
Fib Zone
916.09 - 927.27
Swing Low
856.78
Swing High
1026.68
Save setup
Click chart to open full size</t>
        </is>
      </c>
      <c r="P262" t="inlineStr">
        <is>
          <t>agent_results/charts/market_lens_agent_20260608_150453_ph.png</t>
        </is>
      </c>
      <c r="Q262" t="inlineStr">
        <is>
          <t>Smart Universe: broad liquid US universe, diversified by sector | Sector: Industrials - Neutral (67/100); XLI sector regime is neutral: 2.9% 3m return, -7.4% vs SPY | Setup: Breakout + Retest; score 0.39; R/R 1.37x; price 889.64 | Market: BULL; Sector regime: NEUTRAL; Net R/R: 1.22; Factors: Industrials | Agent action: WATCH - WATCH: Technical setup detected, but weighted risk/reward 1.37 is below minimum 2.00. Market regime BULL; sector NEUTRAL; net R/R 1.22.</t>
        </is>
      </c>
      <c r="R26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3.0248, "estimated_spread": 0.2669, "executable_entry": 889.64, "execution_liquidity_bucket": "large_liquid", "factor_exposure_after": {"Energy": 13041.05}, "factor_exposure_before": {"Energy": 13041.05}, "factor_exposure_cap": 20000.0, "factor_exposure_limit_exceeded": false, "factor_tags": ["Industrials"], "final_action": "WATCH", "gross_reward_1_per_share": 17.55, "gross_reward_2_per_share": 137.04, "gross_risk_per_share": 43.18, "gross_rr": 1.375, "gross_rr_1": 0.4064, "gross_rr_2": 3.1737, "gross_rr_decision": 1.375, "highest_correlation_ticker": "XOM", "highest_correlation_value": -0.3389, "initial_action": "WATCH", "market_cap": 112044148472.73,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891.2858, "net_reward_1_per_share": 15.0145, "net_reward_2_per_share": 134.5045, "net_risk_per_share": 46.4717, "net_rr": 1.223, "net_rr_1": 0.3231, "net_rr_2": 2.8943, "net_stop_assumption": 844.8142, "net_target_1_assumption": 906.3004, "net_target_2_assumption": 1025.7904, "normalized_atr_score": 100.0, "normalized_liquidity_score": 56.04, "normalized_momentum_score": 31.67, "normalized_quality_score": 56.06,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898.98, "price": 889.64, "prior_high_20": 898.98, "prior_high_63": 1026.6794, "reason": "WATCH: Technical setup detected, but weighted risk/reward 1.37 is below minimum 2.00. Market regime BULL; sector NEUTRAL; net R/R 1.22.",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0.39, "setup_type": "Breakout + Retest", "sizing_adjustment_reason": "", "spread_source": "liquidity_fallback", "stock_score": 0.39, "stop_loss": 846.46, "target_1": 907.19, "target_1_atr_distance": 0.7849, "target_2": 1026.68, "target_2_atr_distance": 6.1287, "target_feasibility_status": "OK", "theoretical_entry": 857.64, "ticker": "PH", "timestamp": "2026-06-08T15:11:24", "warnings": []}</t>
        </is>
      </c>
    </row>
    <row r="263">
      <c r="A263" t="inlineStr">
        <is>
          <t>2026-06-08T15:11:24</t>
        </is>
      </c>
      <c r="B263" t="inlineStr">
        <is>
          <t>TMO</t>
        </is>
      </c>
      <c r="C263" t="inlineStr">
        <is>
          <t>Breakout + Retest</t>
        </is>
      </c>
      <c r="D263" t="n">
        <v>0.37</v>
      </c>
      <c r="E263" t="n">
        <v>474.87</v>
      </c>
      <c r="F263" t="n">
        <v>467.59</v>
      </c>
      <c r="G263" t="n">
        <v>481.83</v>
      </c>
      <c r="H263" t="n">
        <v>460.47</v>
      </c>
      <c r="I263" t="n">
        <v>486.79</v>
      </c>
      <c r="J263" t="n">
        <v>528.33</v>
      </c>
      <c r="K263" t="n">
        <v>1.84</v>
      </c>
      <c r="L263" t="inlineStr">
        <is>
          <t>Price (474.87) retesting broken resistance (481.83) as support. Breakout on 2026-05-28 with 1.8× avg volume. Volume confirmed breakout. Entry at 474.87, stop at 460.47.</t>
        </is>
      </c>
      <c r="M263" t="inlineStr">
        <is>
          <t>WATCH</t>
        </is>
      </c>
      <c r="N263" t="inlineStr">
        <is>
          <t>WATCH: Technical setup detected, but weighted risk/reward 1.84 is below minimum 2.00. Market regime BULL; sector NEUTRAL; net R/R 1.55.</t>
        </is>
      </c>
      <c r="O263" t="inlineStr">
        <is>
          <t>TMO
Breakout + Retest
0.37
score
Price
474.87
R/R
1.84x
Grade
B
Quality
72%
Buy Zone
467.59 - 481.83
Stop
460.47
Targets
486.79 / 528.33
Tradable if trigger confirms
Mixed
Relative Strength
Leadership
100%
Trend Quality
Messy
28%
Liquidity
Institutional liquidity
100%
Volume
Confirmed
80%
Trigger
Close above 486.79 or reclaim of broken resistance.
Invalidation
Exit if price closes below 460.47 or setup support fails.
Trend quality is not clean.
Market regime: Mixed.
Relative strength: Leadership.
Price (474.87) retesting broken resistance (481.83) as support. Breakout on 2026-05-28 with 1.8× avg volume. Volume confirmed breakout. Entry at 474.87, stop at 460.47.
Fib 61.8
459.61
Fib Zone
456.05 - 463.18
Swing Low
435.27
Swing High
499.00
Save setup
Click chart to open full size</t>
        </is>
      </c>
      <c r="P263" t="inlineStr">
        <is>
          <t>agent_results/charts/market_lens_agent_20260608_150453_tmo.png</t>
        </is>
      </c>
      <c r="Q263" t="inlineStr">
        <is>
          <t>Smart Universe: broad liquid US universe, diversified by sector | Sector: Healthcare - Neutral (66/100); XLV sector regime is neutral: 0.7% 3m return, -9.6% vs SPY | Setup: Breakout + Retest; score 0.37; R/R 1.84x; price 474.87 | Market: BULL; Sector regime: NEUTRAL; Net R/R: 1.55; Factors: Defensive, Healthcare | Agent action: WATCH - WATCH: Technical setup detected, but weighted risk/reward 1.84 is below minimum 2.00. Market regime BULL; sector NEUTRAL; net R/R 1.55.</t>
        </is>
      </c>
      <c r="R263" t="inlineStr">
        <is>
          <t>{"adjusted_cash_out": 0.0, "adjusted_position_size": 0, "adjusted_risk_amount": 0.0, "ask": 0.0, "bid": 0.0, "buy_zone_high": 481.83, "buy_zone_low": 467.59, "cash_available": 87010.85, "company_name": "Thermo Fisher Scientific Inc.", "correlation_warning": false, "days_to_earnings": 32, "earnings_blackout": false, "earnings_date": "2026-07-22T00:00:00", "estimated_fees": 0.0, "estimated_slippage": 1.6146, "estimated_spread": 0.1425, "executable_entry": 474.87, "execution_liquidity_bucket": "large_liquid", "factor_exposure_after": {"Energy": 13041.05}, "factor_exposure_before": {"Energy": 13041.05}, "factor_exposure_cap": 20000.0, "factor_exposure_limit_exceeded": false, "factor_tags": ["Defensive", "Healthcare"], "final_action": "WATCH", "gross_reward_1_per_share": 11.92, "gross_reward_2_per_share": 53.46, "gross_risk_per_share": 14.4, "gross_rr": 1.8374, "gross_rr_1": 0.8278, "gross_rr_2": 3.7125, "gross_rr_decision": 1.8374, "highest_correlation_ticker": "APA", "highest_correlation_value": -0.1834, "initial_action": "WATCH", "market_cap": 176356681523.12,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475.7485, "net_reward_1_per_share": 10.5666, "net_reward_2_per_share": 52.1066, "net_risk_per_share": 16.157, "net_rr": 1.5539, "net_rr_1": 0.654, "net_rr_2": 3.225, "net_stop_assumption": 459.5915, "net_target_1_assumption": 486.3151, "net_target_2_assumption": 527.8551, "normalized_atr_score": 100.0, "normalized_liquidity_score": 70.89, "normalized_momentum_score": 37.26, "normalized_quality_score": 63.03,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499.0, "price": 474.87, "prior_high_20": 499.0, "prior_high_63": 538.41, "reason": "WATCH: Technical setup detected, but weighted risk/reward 1.84 is below minimum 2.00. Market regime BULL; sector NEUTRAL; net R/R 1.55.",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0.37, "setup_type": "Breakout + Retest", "sizing_adjustment_reason": "", "spread_source": "liquidity_fallback", "stock_score": 0.37, "stop_loss": 460.47, "target_1": 486.79, "target_1_atr_distance": 0.8369, "target_2": 528.33, "target_2_atr_distance": 3.7536, "target_feasibility_status": "OK", "theoretical_entry": 467.59, "ticker": "TMO", "timestamp": "2026-06-08T15:11:24", "warnings": []}</t>
        </is>
      </c>
    </row>
    <row r="264">
      <c r="A264" t="inlineStr">
        <is>
          <t>2026-06-08T15:11:24</t>
        </is>
      </c>
      <c r="B264" t="inlineStr">
        <is>
          <t>EQT</t>
        </is>
      </c>
      <c r="C264" t="inlineStr">
        <is>
          <t>Swing Low + Volume Support Buy Zone</t>
        </is>
      </c>
      <c r="D264" t="n">
        <v>0.3</v>
      </c>
      <c r="E264" t="n">
        <v>53.58</v>
      </c>
      <c r="F264" t="n">
        <v>54.7</v>
      </c>
      <c r="G264" t="n">
        <v>55.79</v>
      </c>
      <c r="H264" t="n">
        <v>53.08</v>
      </c>
      <c r="I264" t="n">
        <v>57.14</v>
      </c>
      <c r="J264" t="n">
        <v>65.36</v>
      </c>
      <c r="K264" t="n">
        <v>2.42</v>
      </c>
      <c r="L264" t="inlineStr">
        <is>
          <t>Price is pulling into a recent swing-low support (55.11) that overlaps with a high-volume area (VAL at 55.04), creating structural + volume confluence. Liquidity sweep below swing low detected — wick and reclaim. Stop below 53.08.</t>
        </is>
      </c>
      <c r="M264" t="inlineStr">
        <is>
          <t>WATCH</t>
        </is>
      </c>
      <c r="N264" t="inlineStr">
        <is>
          <t>WATCH: Valid setup, but price is not inside the buy zone. Market regime BULL; sector STRONG; net R/R 2.82.</t>
        </is>
      </c>
      <c r="O264" t="inlineStr">
        <is>
          <t>EQT
Swing Low + Volume Support Buy Zone
0.30
score
Price
53.58
R/R
2.42x
Grade
C
Quality
53%
Buy Zone
54.70 - 55.79
Stop
53.08
Targets
57.14 / 65.36
Watch only; needs confirmation
Mixed
Relative Strength
In line
56%
Trend Quality
Messy
0%
Liquidity
Institutional liquidity
100%
Volume
Distribution risk
45%
Trigger
Break above prior-day high at 55.51 after holding buy zone.
Invalidation
Exit if price closes below 53.08 or setup support fails.
Trend quality is not clean.
Recent volume shows distribution risk.
Market regime: Mixed.
Relative strength: In line.
Price is pulling into a recent swing-low support (55.11) that overlaps with a high-volume area (VAL at 55.04), creating structural + volume confluence. Liquidity sweep below swing low detected — wick and reclaim. Stop below 53.08.
Fib 61.8
56.90
Fib Zone
56.56 - 57.24
Swing Low
55.11
Swing High
59.80
Save setup
Click chart to open full size</t>
        </is>
      </c>
      <c r="P264" t="inlineStr">
        <is>
          <t>agent_results/charts/market_lens_agent_20260608_150453_eqt.png</t>
        </is>
      </c>
      <c r="Q264" t="inlineStr">
        <is>
          <t>Smart Universe: broad liquid US universe, diversified by sector | Sector: Energy - Strong (71/100); XLE sector regime is strong: 5.9% 3m return, -4.5% vs SPY | Setup: Swing Low + Volume Support Buy Zone; score 0.30; R/R 2.42x; price 53.58 | Market: BULL; Sector regime: STRONG; Net R/R: 2.82; Factors: Energy | Agent action: WATCH - WATCH: Valid setup, but price is not inside the buy zone. Market regime BULL; sector STRONG; net R/R 2.82.</t>
        </is>
      </c>
      <c r="R264" t="inlineStr">
        <is>
          <t>{"adjusted_cash_out": 0.0, "adjusted_position_size": 0, "adjusted_risk_amount": 0.0, "ask": 0.0, "bid": 0.0, "buy_zone_high": 55.79, "buy_zone_low": 54.7, "cash_available": 87010.85, "company_name": "EQT Corporation", "correlation_warning": false, "days_to_earnings": 31, "earnings_blackout": false, "earnings_date": "2026-07-21T00:00:00", "estimated_fees": 0.0, "estimated_slippage": 0.1641, "estimated_spread": 0.0438, "executable_entry": 54.7, "execution_liquidity_bucket": "mid_liquid", "factor_exposure_after": {"Energy": 13041.05}, "factor_exposure_before": {"Energy": 13041.05}, "factor_exposure_cap": 20000.0, "factor_exposure_limit_exceeded": false, "factor_tags": ["Energy"], "final_action": "WATCH", "gross_reward_1_per_share": 2.44, "gross_reward_2_per_share": 10.66, "gross_risk_per_share": 1.62, "gross_rr": 3.2821, "gross_rr_1": 1.5062, "gross_rr_2": 6.5802, "gross_rr_decision": 3.2821, "highest_correlation_ticker": "APA", "highest_correlation_value": 0.4792, "initial_action": "WATCH", "market_cap": 33494346422.8,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54.8039, "net_reward_1_per_share": 2.2732, "net_reward_2_per_share": 10.4932, "net_risk_per_share": 1.8279, "net_rr": 2.8176, "net_rr_1": 1.2436, "net_rr_2": 5.7407, "net_stop_assumption": 52.9761, "net_target_1_assumption": 57.0771, "net_target_2_assumption": 65.2971, "normalized_atr_score": 100.0, "normalized_liquidity_score": 37.82, "normalized_momentum_score": 1.04, "normalized_quality_score": 36.81,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59.8, "price": 53.58, "prior_high_20": 59.8, "prior_high_63": 68.0482, "reason": "WATCH: Valid setup, but price is not inside the buy zone. Market regime BULL; sector STRONG; net R/R 2.82.",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0.3, "setup_type": "Swing Low + Volume Support Buy Zone", "sizing_adjustment_reason": "", "spread_source": "liquidity_fallback", "stock_score": 0.3, "stop_loss": 53.08, "target_1": 57.14, "target_1_atr_distance": 2.6363, "target_2": 65.36, "target_2_atr_distance": 8.7233, "target_feasibility_status": "OK", "theoretical_entry": 54.7, "ticker": "EQT", "timestamp": "2026-06-08T15:11:24", "warnings": []}</t>
        </is>
      </c>
    </row>
    <row r="265">
      <c r="A265" t="inlineStr">
        <is>
          <t>2026-06-08T15:11:24</t>
        </is>
      </c>
      <c r="B265" t="inlineStr">
        <is>
          <t>LNG</t>
        </is>
      </c>
      <c r="C265" t="inlineStr">
        <is>
          <t>Swing Low + Volume Support Buy Zone</t>
        </is>
      </c>
      <c r="D265" t="n">
        <v>0.28</v>
      </c>
      <c r="E265" t="n">
        <v>237.66</v>
      </c>
      <c r="F265" t="n">
        <v>233.32</v>
      </c>
      <c r="G265" t="n">
        <v>239.01</v>
      </c>
      <c r="H265" t="n">
        <v>224.78</v>
      </c>
      <c r="I265" t="n">
        <v>238.62</v>
      </c>
      <c r="J265" t="n">
        <v>296.84</v>
      </c>
      <c r="K265" t="n">
        <v>1.66</v>
      </c>
      <c r="L265" t="inlineStr">
        <is>
          <t>Price is pulling into a recent swing-low support (235.45) that overlaps with a high-volume area (VAL at 236.23), creating structural + volume confluence. Liquidity sweep below swing low detected — wick and reclaim. Stop below 224.78.</t>
        </is>
      </c>
      <c r="M265" t="inlineStr">
        <is>
          <t>WATCH</t>
        </is>
      </c>
      <c r="N265" t="inlineStr">
        <is>
          <t>WATCH: Technical setup detected, but weighted risk/reward 1.66 is below minimum 2.00. Market regime BULL; sector STRONG; net R/R 1.50.</t>
        </is>
      </c>
      <c r="O265" t="inlineStr">
        <is>
          <t>LNG
Swing Low + Volume Support Buy Zone
0.28
score
Price
237.66
R/R
1.66x
Grade
C
Quality
54%
Buy Zone
233.32 - 239.01
Stop
224.78
Targets
238.62 / 296.84
Watch only; needs confirmation
Mixed
Relative Strength
In line
56%
Trend Quality
Messy
0%
Liquidity
Institutional liquidity
100%
Volume
Neutral
65%
Trigger
Break above prior-day high at 241.10 after holding buy zone.
Invalidation
Exit if price closes below 224.78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224.78.
Fib 61.8
241.67
Fib Zone
239.89 - 243.45
Swing Low
235.45
Swing High
251.73
Save setup
Click chart to open full size</t>
        </is>
      </c>
      <c r="P265" t="inlineStr">
        <is>
          <t>agent_results/charts/market_lens_agent_20260608_150453_lng.png</t>
        </is>
      </c>
      <c r="Q265" t="inlineStr">
        <is>
          <t>Smart Universe: broad liquid US universe, diversified by sector | Sector: Energy - Strong (71/100); XLE sector regime is strong: 5.9% 3m return, -4.5% vs SPY | Setup: Swing Low + Volume Support Buy Zone; score 0.28; R/R 1.66x; price 237.66 | Market: BULL; Sector regime: STRONG; Net R/R: 1.50; Factors: Energy | Agent action: WATCH - WATCH: Technical setup detected, but weighted risk/reward 1.66 is below minimum 2.00. Market regime BULL; sector STRONG; net R/R 1.50.</t>
        </is>
      </c>
      <c r="R265" t="inlineStr">
        <is>
          <t>{"adjusted_cash_out": 0.0, "adjusted_position_size": 0, "adjusted_risk_amount": 0.0, "ask": 0.0, "bid": 0.0, "buy_zone_high": 239.01, "buy_zone_low": 233.32, "cash_available": 87010.85, "company_name": "Cheniere Energy, Inc.", "correlation_warning": false, "days_to_earnings": 43, "earnings_blackout": false, "earnings_date": "2026-08-06T00:00:00", "estimated_fees": 0.0, "estimated_slippage": 0.713, "estimated_spread": 0.1901, "executable_entry": 237.66, "execution_liquidity_bucket": "mid_liquid", "factor_exposure_after": {"Energy": 13041.05}, "factor_exposure_before": {"Energy": 13041.05}, "factor_exposure_cap": 20000.0, "factor_exposure_limit_exceeded": false, "factor_tags": ["Energy"], "final_action": "WATCH", "gross_reward_1_per_share": 0.96, "gross_reward_2_per_share": 59.18, "gross_risk_per_share": 12.88, "gross_rr": 1.6566, "gross_rr_1": 0.0745, "gross_rr_2": 4.5947, "gross_rr_decision": 1.6566, "highest_correlation_ticker": "APA", "highest_correlation_value": 0.6669, "initial_action": "WATCH", "market_cap": 49781141250.48,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238.1116, "net_reward_1_per_share": 0.2351, "net_reward_2_per_share": 58.4551, "net_risk_per_share": 13.7831, "net_rr": 1.4955, "net_rr_1": 0.0171, "net_rr_2": 4.2411, "net_stop_assumption": 224.3284, "net_target_1_assumption": 238.3467, "net_target_2_assumption": 296.5667, "normalized_atr_score": 100.0, "normalized_liquidity_score": 47.66, "normalized_momentum_score": 38.71, "normalized_quality_score": 56.72,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251.73, "price": 237.66, "prior_high_20": 251.73, "prior_high_63": 300.1945, "reason": "WATCH: Technical setup detected, but weighted risk/reward 1.66 is below minimum 2.00. Market regime BULL; sector STRONG; net R/R 1.50.", "risk_amount": 0.0, "scan_source": "Smart Universe: broad liquid US universe filtered and diversified by the Market Lens UI.", "sector": "Energy", "sector_etf": "XLE", "sector_exposure_after": 13041.05, "sector_exposure_before": 13041.05, "sector_exposure_cap": 16000.0, "sector_exposure_limit_exceeded": false, "sector_regime": "STRONG", "sector_score": 71.2, "setup_score": 0.28, "setup_type": "Swing Low + Volume Support Buy Zone", "sizing_adjustment_reason": "", "spread_source": "liquidity_fallback", "stock_score": 0.28, "stop_loss": 224.78, "target_1": 238.62, "target_1_atr_distance": 0.135, "target_2": 296.84, "target_2_atr_distance": 8.32, "target_feasibility_status": "LOW_REWARD_DISTANCE", "theoretical_entry": 233.32, "ticker": "LNG", "timestamp": "2026-06-08T15:11:24", "warnings": ["Target 1 is close versus daily ATR."]}</t>
        </is>
      </c>
    </row>
    <row r="266">
      <c r="A266" t="inlineStr">
        <is>
          <t>2026-06-08T15:11:24</t>
        </is>
      </c>
      <c r="B266" t="inlineStr">
        <is>
          <t>DLR</t>
        </is>
      </c>
      <c r="C266" t="inlineStr">
        <is>
          <t>Breakout + Retest</t>
        </is>
      </c>
      <c r="D266" t="n">
        <v>0.22</v>
      </c>
      <c r="E266" t="n">
        <v>184.78</v>
      </c>
      <c r="F266" t="n">
        <v>178.89</v>
      </c>
      <c r="G266" t="n">
        <v>182.95</v>
      </c>
      <c r="H266" t="n">
        <v>176.86</v>
      </c>
      <c r="I266" t="n">
        <v>188.84</v>
      </c>
      <c r="J266" t="n">
        <v>201.34</v>
      </c>
      <c r="K266" t="n">
        <v>1.07</v>
      </c>
      <c r="L266" t="inlineStr">
        <is>
          <t>Price (184.78) retesting broken resistance (182.95) as support. Breakout on 2026-04-08 with 2.2× avg volume. Volume confirmed breakout. Entry at 184.78, stop at 176.86.</t>
        </is>
      </c>
      <c r="M266" t="inlineStr">
        <is>
          <t>WATCH</t>
        </is>
      </c>
      <c r="N266" t="inlineStr">
        <is>
          <t>WATCH: Technical setup detected, but weighted risk/reward 1.07 is below minimum 2.00. Market regime BULL; sector NEUTRAL; net R/R 0.84.</t>
        </is>
      </c>
      <c r="O266" t="inlineStr">
        <is>
          <t>DLR
Breakout + Retest
0.22
score
Price
184.78
R/R
1.07x
Grade
D
Quality
49%
Buy Zone
178.89 - 182.95
Stop
176.86
Targets
188.84 / 201.34
Low-quality setup
Mixed
Relative Strength
In line
56%
Trend Quality
Messy
0%
Liquidity
Institutional liquidity
100%
Volume
Distribution risk
45%
Trigger
Close above 188.85 or reclaim of broken resistance.
Invalidation
Exit if price closes below 176.86 or setup support fails.
Trend quality is not clean.
Recent volume shows distribution risk.
Market regime: Mixed.
Relative strength: In line.
Price (184.78) retesting broken resistance (182.95) as support. Breakout on 2026-04-08 with 2.2× avg volume. Volume confirmed breakout. Entry at 184.78, stop at 176.86.
Fib 61.8
188.75
Fib Zone
187.73 - 189.76
Swing Low
184.95
Swing High
194.89
Save setup
Click chart to open full size</t>
        </is>
      </c>
      <c r="P266" t="inlineStr">
        <is>
          <t>agent_results/charts/market_lens_agent_20260608_150453_dlr.png</t>
        </is>
      </c>
      <c r="Q266" t="inlineStr">
        <is>
          <t>Smart Universe: broad liquid US universe, diversified by sector | Sector: Real Estate - Neutral (67/100); XLRE sector regime is neutral: 4.0% 3m return, -6.3% vs SPY | Setup: Breakout + Retest; score 0.22; R/R 1.07x; price 184.78 | Market: BULL; Sector regime: NEUTRAL; Net R/R: 0.84; Factors: Real Estate | Agent action: WATCH - WATCH: Technical setup detected, but weighted risk/reward 1.07 is below minimum 2.00. Market regime BULL; sector NEUTRAL; net R/R 0.84.</t>
        </is>
      </c>
      <c r="R266" t="inlineStr">
        <is>
          <t>{"adjusted_cash_out": 0.0, "adjusted_position_size": 0, "adjusted_risk_amount": 0.0, "ask": 0.0, "bid": 0.0, "buy_zone_high": 182.95, "buy_zone_low": 178.89, "cash_available": 87010.85, "company_name": "Digital Realty", "correlation_warning": false, "days_to_earnings": 33, "earnings_blackout": false, "earnings_date": "2026-07-23T00:00:00", "estimated_fees": 0.0, "estimated_slippage": 0.9239, "estimated_spread": 0.1478, "executable_entry": 184.78, "execution_liquidity_bucket": "mid_liquid", "factor_exposure_after": {"Energy": 13041.05}, "factor_exposure_before": {"Energy": 13041.05}, "factor_exposure_cap": 20000.0, "factor_exposure_limit_exceeded": false, "factor_tags": ["Real Estate"], "final_action": "WATCH", "gross_reward_1_per_share": 4.06, "gross_reward_2_per_share": 16.56, "gross_risk_per_share": 7.92, "gross_rr": 1.065, "gross_rr_1": 0.5126, "gross_rr_2": 2.0909, "gross_rr_decision": 1.065, "highest_correlation_ticker": "XOM", "highest_correlation_value": -0.2644, "initial_action": "WATCH", "market_cap": 64880104419.95,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185.3159, "net_reward_1_per_share": 3.2193, "net_reward_2_per_share": 15.7193, "net_risk_per_share": 8.9917, "net_rr": 0.8446, "net_rr_1": 0.358, "net_rr_2": 1.7482, "net_stop_assumption": 176.3241, "net_target_1_assumption": 188.5351, "net_target_2_assumption": 201.0351, "normalized_atr_score": 100.0, "normalized_liquidity_score": 39.97, "normalized_momentum_score": 50.15, "normalized_quality_score": 59.56,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197.54, "price": 184.78, "prior_high_20": 197.54, "prior_high_63": 208.14, "reason": "WATCH: Technical setup detected, but weighted risk/reward 1.07 is below minimum 2.00. Market regime BULL; sector NEUTRAL; net R/R 0.84.",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0.22, "setup_type": "Breakout + Retest", "sizing_adjustment_reason": "", "spread_source": "liquidity_fallback", "stock_score": 0.22, "stop_loss": 176.86, "target_1": 188.84, "target_1_atr_distance": 0.9999, "target_2": 201.34, "target_2_atr_distance": 4.0782, "target_feasibility_status": "OK", "theoretical_entry": 178.89, "ticker": "DLR", "timestamp": "2026-06-08T15:11:24", "warnings": []}</t>
        </is>
      </c>
    </row>
    <row r="267">
      <c r="A267" t="inlineStr">
        <is>
          <t>2026-06-08T15:11:24</t>
        </is>
      </c>
      <c r="B267" t="inlineStr">
        <is>
          <t>CENX</t>
        </is>
      </c>
      <c r="C267" t="inlineStr">
        <is>
          <t>No Trade</t>
        </is>
      </c>
      <c r="D267" t="n">
        <v>0</v>
      </c>
      <c r="E267" t="n">
        <v>63.4</v>
      </c>
      <c r="H267" t="n">
        <v>0</v>
      </c>
      <c r="K267" t="n">
        <v>0</v>
      </c>
      <c r="L267" t="inlineStr">
        <is>
          <t>No clean technical setup detected. Price in middle of value area or poor risk/reward.</t>
        </is>
      </c>
      <c r="M267" t="inlineStr">
        <is>
          <t>SKIP</t>
        </is>
      </c>
      <c r="N267" t="inlineStr">
        <is>
          <t>SKIP: No Trade result. Market regime BULL; sector NEUTRAL; net R/R 0.00.</t>
        </is>
      </c>
      <c r="O267" t="inlineStr">
        <is>
          <t>CENX
No Trade
0.00
score
Price
63.40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52.88
Fib Zone
51.83 - 53.93
Swing Low
43.11
Swing High
68.69
Click chart to open full size</t>
        </is>
      </c>
      <c r="P267" t="inlineStr">
        <is>
          <t>agent_results/charts/market_lens_agent_20260608_150453_cenx.png</t>
        </is>
      </c>
      <c r="Q267" t="inlineStr">
        <is>
          <t>Smart Universe: broad liquid US universe, diversified by sector | Sector: Industrials - Neutral (67/100); XLI sector regime is neutral: 2.9% 3m return, -7.4% vs SPY | Setup: No Trade; score 0.00; R/R 0.00x; price 63.40 | Market: BULL; Sector regime: NEUTRAL; Net R/R: 0.00; Factors: Industrials | Agent action: SKIP - SKIP: No Trade result. Market regime BULL; sector NEUTRAL; net R/R 0.00.</t>
        </is>
      </c>
      <c r="R267" t="inlineStr">
        <is>
          <t>{"adjusted_cash_out": 0.0, "adjusted_position_size": 0, "adjusted_risk_amount": 0.0, "ask": 0.0, "bid": 0.0, "buy_zone_high": null, "buy_zone_low": null, "cash_available": 87010.85, "company_name": "Century Aluminum Company", "correlation_warning": false, "days_to_earnings": 43, "earnings_blackout": false, "earnings_date": "2026-08-06T00:00:00", "estimated_fees": 0.0, "estimated_slippage": 0.2187, "estimated_spread": 0.0507, "executable_entry": 63.4, "execution_liquidity_bucket": "mid_liquid", "factor_exposure_after": {"Energy": 13041.05}, "factor_exposure_before": {"Energy": 13041.05}, "factor_exposure_cap": 20000.0, "factor_exposure_limit_exceeded": false, "factor_tags": ["Industrials"], "final_action": "SKIP", "gross_reward_1_per_share": 0.0, "gross_reward_2_per_share": 0.0, "gross_risk_per_share": 63.4, "gross_rr": 0.0, "gross_rr_1": 0.0, "gross_rr_2": 0.0, "gross_rr_decision": 0.0, "highest_correlation_ticker": "APA", "highest_correlation_value": 0.0738, "initial_action": "SKIP", "market_cap": 6253675295.62, "market_cap_bucket": "Mid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63.5347, "net_reward_1_per_share": 0.0, "net_reward_2_per_share": 0.0, "net_risk_per_share": 63.6694, "net_rr": 0.0, "net_rr_1": 0.0, "net_rr_2": 0.0, "net_stop_assumption": -0.1347, "net_target_1_assumption": -0.08, "net_target_2_assumption": -0.08, "normalized_atr_score": 98.87, "normalized_liquidity_score": 39.04, "normalized_momentum_score": 100, "normalized_quality_score": 81.43,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63.4,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63.4, "ticker": "CENX", "timestamp": "2026-06-08T15:11:24", "warnings": ["Target ATR feasibility unavailable."]}</t>
        </is>
      </c>
    </row>
    <row r="268">
      <c r="A268" t="inlineStr">
        <is>
          <t>2026-06-08T15:11:24</t>
        </is>
      </c>
      <c r="B268" t="inlineStr">
        <is>
          <t>HIG</t>
        </is>
      </c>
      <c r="C268" t="inlineStr">
        <is>
          <t>No Trade</t>
        </is>
      </c>
      <c r="D268" t="n">
        <v>0</v>
      </c>
      <c r="E268" t="n">
        <v>129.54</v>
      </c>
      <c r="H268" t="n">
        <v>0</v>
      </c>
      <c r="K268" t="n">
        <v>0</v>
      </c>
      <c r="L268" t="inlineStr">
        <is>
          <t>No clean technical setup detected. Price in middle of value area or poor risk/reward.</t>
        </is>
      </c>
      <c r="M268" t="inlineStr">
        <is>
          <t>SKIP</t>
        </is>
      </c>
      <c r="N268" t="inlineStr">
        <is>
          <t>SKIP: No Trade result. Market regime BULL; sector STRONG; net R/R 0.00.</t>
        </is>
      </c>
      <c r="O268" t="inlineStr">
        <is>
          <t>HIG
No Trade
0.00
score
Price
129.54
R/R
0.00x
Grade
No Trade
Quality
0%
Buy Zone
-
Stop
0.00
Targets
-
Skip
Mixed
Relative Strength
In line
56%
Trend Quality
Messy
0%
Liquidity
Institutional liquidity
100%
Volume
Distribution risk
30%
No actionable setup detected.
No clean technical setup detected. Price in middle of value area or poor risk/reward.
Fib 61.8
132.78
Fib Zone
132.07 - 133.48
Swing Low
130.46
Swing High
136.52
Click chart to open full size</t>
        </is>
      </c>
      <c r="P268" t="inlineStr">
        <is>
          <t>agent_results/charts/market_lens_agent_20260608_150453_hig.png</t>
        </is>
      </c>
      <c r="Q268" t="inlineStr">
        <is>
          <t>Smart Universe: broad liquid US universe, diversified by sector | Sector: Financials - Strong (69/100); XLF sector regime is strong: 5.1% 3m return, -5.2% vs SPY | Setup: No Trade; score 0.00; R/R 0.00x; price 129.54 | Market: BULL; Sector regime: STRONG; Net R/R: 0.00; Factors: Financials | Agent action: SKIP - SKIP: No Trade result. Market regime BULL; sector STRONG; net R/R 0.00.</t>
        </is>
      </c>
      <c r="R268" t="inlineStr">
        <is>
          <t>{"adjusted_cash_out": 0.0, "adjusted_position_size": 0, "adjusted_risk_amount": 0.0, "ask": 0.0, "bid": 0.0, "buy_zone_high": null, "buy_zone_low": null, "cash_available": 87010.85, "company_name": "Hartford (The)", "correlation_warning": false, "days_to_earnings": -32, "earnings_blackout": false, "earnings_date": "2026-04-23T00:00:00", "estimated_fees": 0.0, "estimated_slippage": 0.3886, "estimated_spread": 0.1036, "executable_entry": 129.54, "execution_liquidity_bucket": "mid_liquid", "factor_exposure_after": {"Energy": 13041.05}, "factor_exposure_before": {"Energy": 13041.05}, "factor_exposure_cap": 20000.0, "factor_exposure_limit_exceeded": false, "factor_tags": ["Financials"], "final_action": "SKIP", "gross_reward_1_per_share": 0.0, "gross_reward_2_per_share": 0.0, "gross_risk_per_share": 129.54, "gross_rr": 0.0, "gross_rr_1": 0.0, "gross_rr_2": 0.0, "gross_rr_decision": 0.0, "highest_correlation_ticker": "XOM", "highest_correlation_value": -0.0959, "initial_action": "SKIP", "market_cap": 35530095747.52,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129.7861, "net_reward_1_per_share": 0.0, "net_reward_2_per_share": 0.0, "net_risk_per_share": 130.0323, "net_rr": 0.0, "net_rr_1": 0.0, "net_rr_2": 0.0, "net_stop_assumption": -0.2461, "net_target_1_assumption": -0.149, "net_target_2_assumption": -0.149, "normalized_atr_score": 100.0, "normalized_liquidity_score": 30.64, "normalized_momentum_score": 31.44, "normalized_quality_score": 48.34,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129.54,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129.54, "ticker": "HIG", "timestamp": "2026-06-08T15:11:24", "warnings": ["Target ATR feasibility unavailable."]}</t>
        </is>
      </c>
    </row>
    <row r="269">
      <c r="A269" t="inlineStr">
        <is>
          <t>2026-06-08T15:11:24</t>
        </is>
      </c>
      <c r="B269" t="inlineStr">
        <is>
          <t>MDT</t>
        </is>
      </c>
      <c r="C269" t="inlineStr">
        <is>
          <t>No Trade</t>
        </is>
      </c>
      <c r="D269" t="n">
        <v>0</v>
      </c>
      <c r="E269" t="n">
        <v>80.62</v>
      </c>
      <c r="H269" t="n">
        <v>0</v>
      </c>
      <c r="K269" t="n">
        <v>0</v>
      </c>
      <c r="L269" t="inlineStr">
        <is>
          <t>No clean technical setup detected. Price in middle of value area or poor risk/reward.</t>
        </is>
      </c>
      <c r="M269" t="inlineStr">
        <is>
          <t>SKIP</t>
        </is>
      </c>
      <c r="N269" t="inlineStr">
        <is>
          <t>SKIP: No Trade result. Market regime BULL; sector NEUTRAL; net R/R 0.00.</t>
        </is>
      </c>
      <c r="O269" t="inlineStr">
        <is>
          <t>MDT
No Trade
0.00
score
Price
80.62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76.25
Fib Zone
75.76 - 76.75
Swing Low
74.40
Swing High
79.25
Click chart to open full size</t>
        </is>
      </c>
      <c r="P269" t="inlineStr">
        <is>
          <t>agent_results/charts/market_lens_agent_20260608_150453_mdt.png</t>
        </is>
      </c>
      <c r="Q269" t="inlineStr">
        <is>
          <t>Smart Universe: broad liquid US universe, diversified by sector | Sector: Healthcare - Neutral (66/100); XLV sector regime is neutral: 0.7% 3m return, -9.6% vs SPY | Setup: No Trade; score 0.00; R/R 0.00x; price 80.62 | Market: BULL; Sector regime: NEUTRAL; Net R/R: 0.00; Factors: Defensive, Healthcare | Agent action: SKIP - SKIP: No Trade result. Market regime BULL; sector NEUTRAL; net R/R 0.00.</t>
        </is>
      </c>
      <c r="R269" t="inlineStr">
        <is>
          <t>{"adjusted_cash_out": 0.0, "adjusted_position_size": 0, "adjusted_risk_amount": 0.0, "ask": 0.0, "bid": 0.0, "buy_zone_high": null, "buy_zone_low": null, "cash_available": 87010.85, "company_name": "Medtronic plc", "correlation_warning": false, "days_to_earnings": 51, "earnings_blackout": false, "earnings_date": "2026-08-18T00:00:00", "estimated_fees": 0.0, "estimated_slippage": 0.1129, "estimated_spread": 0.0242, "executable_entry": 80.62, "execution_liquidity_bucket": "large_liquid", "factor_exposure_after": {"Energy": 13041.05}, "factor_exposure_before": {"Energy": 13041.05}, "factor_exposure_cap": 20000.0, "factor_exposure_limit_exceeded": false, "factor_tags": ["Defensive", "Healthcare"], "final_action": "SKIP", "gross_reward_1_per_share": 0.0, "gross_reward_2_per_share": 0.0, "gross_risk_per_share": 80.62, "gross_rr": 0.0, "gross_rr_1": 0.0, "gross_rr_2": 0.0, "gross_rr_decision": 0.0, "highest_correlation_ticker": "XOM", "highest_correlation_value": 0.0494, "initial_action": "SKIP", "market_cap": 103519259105.69,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80.6885, "net_reward_1_per_share": 0.0, "net_reward_2_per_share": 0.0, "net_risk_per_share": 80.7571, "net_rr": 0.0, "net_rr_1": 0.0, "net_rr_2": 0.0, "net_stop_assumption": -0.0685, "net_target_1_assumption": -0.0403, "net_target_2_assumption": -0.0403, "normalized_atr_score": 100.0, "normalized_liquidity_score": 63.69, "normalized_momentum_score": 28.79, "normalized_quality_score": 57.06,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80.62, "prior_high_20": 0.0, "prior_high_63": 0.0, "reason": "SKIP: No Trade result. Market regime BULL; sector NEUTRAL; net R/R 0.00.", "risk_amount": 0.0, "scan_source": "Smart Universe: broad liquid US universe filtered and diversified by the Market Lens UI.", "sector": "Healthcare", "sector_etf": "XLV", "sector_exposure_after": 0.0, "sector_exposure_before": 0.0, "sector_exposure_cap": 16000.0, "sector_exposure_limit_exceeded": false, "sector_regime": "NEUTRAL", "sector_score": 66.31, "setup_score": 0.0, "setup_type": "No Trade", "sizing_adjustment_reason": "", "spread_source": "liquidity_fallback", "stock_score": 0.0, "stop_loss": 0.0, "target_1": null, "target_1_atr_distance": 0.0, "target_2": null, "target_2_atr_distance": 0.0, "target_feasibility_status": "UNKNOWN", "theoretical_entry": 80.62, "ticker": "MDT", "timestamp": "2026-06-08T15:11:24", "warnings": ["Target ATR feasibility unavailable."]}</t>
        </is>
      </c>
    </row>
    <row r="270">
      <c r="A270" t="inlineStr">
        <is>
          <t>2026-06-08T15:11:24</t>
        </is>
      </c>
      <c r="B270" t="inlineStr">
        <is>
          <t>VTR</t>
        </is>
      </c>
      <c r="C270" t="inlineStr">
        <is>
          <t>No Trade</t>
        </is>
      </c>
      <c r="D270" t="n">
        <v>0</v>
      </c>
      <c r="E270" t="n">
        <v>80.42</v>
      </c>
      <c r="H270" t="n">
        <v>0</v>
      </c>
      <c r="K270" t="n">
        <v>0</v>
      </c>
      <c r="L270" t="inlineStr">
        <is>
          <t>No clean technical setup detected. Price in middle of value area or poor risk/reward.</t>
        </is>
      </c>
      <c r="M270" t="inlineStr">
        <is>
          <t>SKIP</t>
        </is>
      </c>
      <c r="N270" t="inlineStr">
        <is>
          <t>SKIP: No Trade result. Market regime BULL; sector NEUTRAL; net R/R 0.00.</t>
        </is>
      </c>
      <c r="O270" t="inlineStr">
        <is>
          <t>VTR
No Trade
0.00
score
Price
80.42
R/R
0.00x
Grade
No Trade
Quality
0%
Buy Zone
-
Stop
0.00
Targets
-
Skip
Mixed
Relative Strength
In line
56%
Trend Quality
Messy
18%
Liquidity
Institutional liquidity
100%
Volume
Neutral
65%
No actionable setup detected.
No clean technical setup detected. Price in middle of value area or poor risk/reward.
Fib 61.8
83.84
Fib Zone
83.29 - 84.38
Swing Low
79.37
Swing High
91.06
Click chart to open full size</t>
        </is>
      </c>
      <c r="P270" t="inlineStr">
        <is>
          <t>agent_results/charts/market_lens_agent_20260608_150453_vtr.png</t>
        </is>
      </c>
      <c r="Q270" t="inlineStr">
        <is>
          <t>Smart Universe: broad liquid US universe, diversified by sector | Sector: Real Estate - Neutral (67/100); XLRE sector regime is neutral: 4.0% 3m return, -6.3% vs SPY | Setup: No Trade; score 0.00; R/R 0.00x; price 80.42 | Market: BULL; Sector regime: NEUTRAL; Net R/R: 0.00; Factors: Real Estate | Agent action: SKIP - SKIP: No Trade result. Market regime BULL; sector NEUTRAL; net R/R 0.00.</t>
        </is>
      </c>
      <c r="R270" t="inlineStr">
        <is>
          <t>{"adjusted_cash_out": 0.0, "adjusted_position_size": 0, "adjusted_risk_amount": 0.0, "ask": 0.0, "bid": 0.0, "buy_zone_high": null, "buy_zone_low": null, "cash_available": 87010.85, "company_name": "Ventas", "correlation_warning": false, "days_to_earnings": -30, "earnings_blackout": false, "earnings_date": "2026-04-27T00:00:00", "estimated_fees": 0.0, "estimated_slippage": 0.2413, "estimated_spread": 0.0643, "executable_entry": 80.42,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80.42, "gross_rr": 0.0, "gross_rr_1": 0.0, "gross_rr_2": 0.0, "gross_rr_decision": 0.0, "highest_correlation_ticker": "XOM", "highest_correlation_value": -0.1093, "initial_action": "SKIP", "market_cap": 39107493705.06,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80.5728, "net_reward_1_per_share": 0.0, "net_reward_2_per_share": 0.0, "net_risk_per_share": 80.7256, "net_rr": 0.0, "net_rr_1": 0.0, "net_rr_2": 0.0, "net_stop_assumption": -0.1528, "net_target_1_assumption": -0.0925, "net_target_2_assumption": -0.0925, "normalized_atr_score": 100.0, "normalized_liquidity_score": 38.86, "normalized_momentum_score": 18.45, "normalized_quality_score": 44.96,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80.42,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80.42, "ticker": "VTR", "timestamp": "2026-06-08T15:11:24", "warnings": ["Target ATR feasibility unavailable."]}</t>
        </is>
      </c>
    </row>
    <row r="271">
      <c r="A271" t="inlineStr">
        <is>
          <t>2026-06-08T15:11:24</t>
        </is>
      </c>
      <c r="B271" t="inlineStr">
        <is>
          <t>CSGP</t>
        </is>
      </c>
      <c r="C271" t="inlineStr">
        <is>
          <t>No Trade</t>
        </is>
      </c>
      <c r="D271" t="n">
        <v>0</v>
      </c>
      <c r="E271" t="n">
        <v>33.79</v>
      </c>
      <c r="H271" t="n">
        <v>0</v>
      </c>
      <c r="K271" t="n">
        <v>0</v>
      </c>
      <c r="L271" t="inlineStr">
        <is>
          <t>No clean technical setup detected. Price in middle of value area or poor risk/reward.</t>
        </is>
      </c>
      <c r="M271" t="inlineStr">
        <is>
          <t>SKIP</t>
        </is>
      </c>
      <c r="N271" t="inlineStr">
        <is>
          <t>SKIP: No Trade result. Market regime BULL; sector NEUTRAL; net R/R 0.00.</t>
        </is>
      </c>
      <c r="O271" t="inlineStr">
        <is>
          <t>CSGP
No Trade
0.00
score
Price
33.79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32.70
Fib Zone
32.31 - 33.08
Swing Low
31.36
Swing High
34.86
Click chart to open full size</t>
        </is>
      </c>
      <c r="P271" t="inlineStr">
        <is>
          <t>agent_results/charts/market_lens_agent_20260608_150453_csgp.png</t>
        </is>
      </c>
      <c r="Q271" t="inlineStr">
        <is>
          <t>Smart Universe: broad liquid US universe, diversified by sector | Sector: Real Estate - Neutral (67/100); XLRE sector regime is neutral: 4.0% 3m return, -6.3% vs SPY | Setup: No Trade; score 0.00; R/R 0.00x; price 33.79 | Market: BULL; Sector regime: NEUTRAL; Net R/R: 0.00; Factors: Real Estate | Agent action: SKIP - SKIP: No Trade result. Market regime BULL; sector NEUTRAL; net R/R 0.00.</t>
        </is>
      </c>
      <c r="R271" t="inlineStr">
        <is>
          <t>{"adjusted_cash_out": 0.0, "adjusted_position_size": 0, "adjusted_risk_amount": 0.0, "ask": 0.0, "bid": 0.0, "buy_zone_high": null, "buy_zone_low": null, "cash_available": 87010.85, "company_name": "CoStar Group", "correlation_warning": false, "days_to_earnings": 31, "earnings_blackout": false, "earnings_date": "2026-07-21T00:00:00", "estimated_fees": 0.0, "estimated_slippage": 0.1014, "estimated_spread": 0.027, "executable_entry": 33.79, "execution_liquidity_bucket": "mid_liquid", "factor_exposure_after": {"Energy": 13041.05}, "factor_exposure_before": {"Energy": 13041.05}, "factor_exposure_cap": 20000.0, "factor_exposure_limit_exceeded": false, "factor_tags": ["Real Estate"], "final_action": "SKIP", "gross_reward_1_per_share": 0.0, "gross_reward_2_per_share": 0.0, "gross_risk_per_share": 33.79, "gross_rr": 0.0, "gross_rr_1": 0.0, "gross_rr_2": 0.0, "gross_rr_decision": 0.0, "highest_correlation_ticker": "APA", "highest_correlation_value": 0.1359, "initial_action": "SKIP", "market_cap": 13796297768.96,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33.8542, "net_reward_1_per_share": 0.0, "net_reward_2_per_share": 0.0, "net_risk_per_share": 33.9184, "net_rr": 0.0, "net_rr_1": 0.0, "net_rr_2": 0.0, "net_stop_assumption": -0.0642, "net_target_1_assumption": -0.0389, "net_target_2_assumption": -0.0389, "normalized_atr_score": 100.0, "normalized_liquidity_score": 34.41, "normalized_momentum_score": 0, "normalized_quality_score": 35.32,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33.79,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33.79, "ticker": "CSGP", "timestamp": "2026-06-08T15:11:24", "warnings": ["Target ATR feasibility unavailable."]}</t>
        </is>
      </c>
    </row>
    <row r="272">
      <c r="A272" t="inlineStr">
        <is>
          <t>2026-06-08T15:11:24</t>
        </is>
      </c>
      <c r="B272" t="inlineStr">
        <is>
          <t>XOM</t>
        </is>
      </c>
      <c r="C272" t="inlineStr">
        <is>
          <t>No Trade</t>
        </is>
      </c>
      <c r="D272" t="n">
        <v>0</v>
      </c>
      <c r="E272" t="n">
        <v>152</v>
      </c>
      <c r="H272" t="n">
        <v>0</v>
      </c>
      <c r="K272" t="n">
        <v>0</v>
      </c>
      <c r="L272" t="inlineStr">
        <is>
          <t>No clean technical setup detected. Price in middle of value area or poor risk/reward.</t>
        </is>
      </c>
      <c r="M272" t="inlineStr">
        <is>
          <t>HOLD</t>
        </is>
      </c>
      <c r="N272" t="inlineStr">
        <is>
          <t>HOLD: Existing simulated position remains open. BULL regime recorded.</t>
        </is>
      </c>
      <c r="O272" t="inlineStr">
        <is>
          <t>XOM
No Trade
0.00
score
Price
152.00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150.87
Fib Zone
149.87 - 151.87
Swing Low
142.95
Swing High
163.68
Click chart to open full size</t>
        </is>
      </c>
      <c r="P272" t="inlineStr">
        <is>
          <t>agent_results/charts/market_lens_agent_20260608_150453_xom.png</t>
        </is>
      </c>
      <c r="Q272" t="inlineStr">
        <is>
          <t>Smart Universe: broad liquid US universe, diversified by sector | Sector: Energy - Strong (71/100); XLE sector regime is strong: 5.9% 3m return, -4.5% vs SPY | Setup: No Trade; score 0.00; R/R 0.00x; price 152.00 | Market: BULL; Sector regime: STRONG; Net R/R: 0.00; Factors: Energy | Agent action: HOLD - HOLD: Existing simulated position remains open. BULL regime recorded.</t>
        </is>
      </c>
      <c r="R272" t="inlineStr">
        <is>
          <t>{"adjusted_cash_out": 0.0, "adjusted_position_size": 0, "adjusted_risk_amount": 0.0, "ask": 0.0, "bid": 0.0, "buy_zone_high": null, "buy_zone_low": null, "cash_available": 87010.85, "company_name": "Exxon Mobil Corporation", "correlation_warning": false, "days_to_earnings": 39, "earnings_blackout": false, "earnings_date": "2026-07-31T00:00:00", "estimated_fees": 0.0, "estimated_slippage": 0.2128, "estimated_spread": 0.0456, "executable_entry": 152.0, "execution_liquidity_bucket": "large_liquid", "factor_exposure_after": {"Energy": 9972.45}, "factor_exposure_before": {"Energy": 9972.45}, "factor_exposure_cap": 20000.0, "factor_exposure_limit_exceeded": false, "factor_tags": ["Energy"], "final_action": "HOLD", "gross_reward_1_per_share": 0.0, "gross_reward_2_per_share": 0.0, "gross_risk_per_share": 152.0, "gross_rr": 0.0, "gross_rr_1": 0.0, "gross_rr_2": 0.0, "gross_rr_decision": 0.0, "highest_correlation_ticker": "APA", "highest_correlation_value": 0.7767, "initial_action": "HOLD", "market_cap": 629905538122.03,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152.1292, "net_reward_1_per_share": 0.0, "net_reward_2_per_share": 0.0, "net_risk_per_share": 152.2584, "net_rr": 0.0, "net_rr_1": 0.0, "net_rr_2": 0.0, "net_stop_assumption": -0.1292, "net_target_1_assumption": -0.076, "net_target_2_assumption": -0.076, "normalized_atr_score": 100.0, "normalized_liquidity_score": 57.73, "normalized_momentum_score": 71.24, "normalized_quality_score": 74.38,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152.0, "prior_high_20": 0.0, "prior_high_63": 0.0, "reason": "HOLD: Existing simulated position remains open. BULL regime recorded.", "risk_amount": 0.0, "scan_source": "Smart Universe: broad liquid US universe filtered and diversified by the Market Lens UI.", "sector": "Energy", "sector_etf": "XLE", "sector_exposure_after": 9972.45, "sector_exposure_before": 9972.45, "sector_exposure_cap": 16000.0, "sector_exposure_limit_exceeded": false, "sector_regime": "STRONG", "sector_score": 71.2, "setup_score": 0.0, "setup_type": "No Trade", "sizing_adjustment_reason": "", "spread_source": "liquidity_fallback", "stock_score": 0.0, "stop_loss": 0.0, "target_1": null, "target_1_atr_distance": 0.0, "target_2": null, "target_2_atr_distance": 0.0, "target_feasibility_status": "UNKNOWN", "theoretical_entry": 152.0, "ticker": "XOM", "timestamp": "2026-06-08T15:11:24", "warnings": ["Target ATR feasibility unavailable."]}</t>
        </is>
      </c>
    </row>
    <row r="273">
      <c r="A273" t="inlineStr">
        <is>
          <t>2026-06-08T15:11:24</t>
        </is>
      </c>
      <c r="B273" t="inlineStr">
        <is>
          <t>V</t>
        </is>
      </c>
      <c r="C273" t="inlineStr">
        <is>
          <t>No Trade</t>
        </is>
      </c>
      <c r="D273" t="n">
        <v>0</v>
      </c>
      <c r="E273" t="n">
        <v>321.16</v>
      </c>
      <c r="H273" t="n">
        <v>0</v>
      </c>
      <c r="K273" t="n">
        <v>0</v>
      </c>
      <c r="L273" t="inlineStr">
        <is>
          <t>No clean technical setup detected. Price in middle of value area or poor risk/reward.</t>
        </is>
      </c>
      <c r="M273" t="inlineStr">
        <is>
          <t>SKIP</t>
        </is>
      </c>
      <c r="N273" t="inlineStr">
        <is>
          <t>SKIP: No Trade result. Market regime BULL; sector STRONG; net R/R 0.00.</t>
        </is>
      </c>
      <c r="O273" t="inlineStr">
        <is>
          <t>V
No Trade
0.00
score
Price
321.16
R/R
0.00x
Grade
No Trade
Quality
0%
Buy Zone
-
Stop
0.00
Targets
-
Skip
Mixed
Relative Strength
In line
56%
Trend Quality
Constructive
68%
Liquidity
Institutional liquidity
100%
Volume
Distribution risk
30%
No actionable setup detected.
No clean technical setup detected. Price in middle of value area or poor risk/reward.
Fib 61.8
323.02
Fib Zone
321.28 - 324.76
Swing Low
315.51
Swing High
335.17
Click chart to open full size</t>
        </is>
      </c>
      <c r="P273" t="inlineStr">
        <is>
          <t>agent_results/charts/market_lens_agent_20260608_150453_v.png</t>
        </is>
      </c>
      <c r="Q273" t="inlineStr">
        <is>
          <t>Smart Universe: broad liquid US universe, diversified by sector | Sector: Financials - Strong (69/100); XLF sector regime is strong: 5.1% 3m return, -5.2% vs SPY | Setup: No Trade; score 0.00; R/R 0.00x; price 321.16 | Market: BULL; Sector regime: STRONG; Net R/R: 0.00; Factors: Financials | Agent action: SKIP - SKIP: No Trade result. Market regime BULL; sector STRONG; net R/R 0.00.</t>
        </is>
      </c>
      <c r="R273" t="inlineStr">
        <is>
          <t>{"adjusted_cash_out": 0.0, "adjusted_position_size": 0, "adjusted_risk_amount": 0.0, "ask": 0.0, "bid": 0.0, "buy_zone_high": null, "buy_zone_low": null, "cash_available": 87010.85, "company_name": "Visa Inc.", "correlation_warning": false, "days_to_earnings": 36, "earnings_blackout": false, "earnings_date": "2026-07-28T00:00:00", "estimated_fees": 0.0, "estimated_slippage": 0.4496, "estimated_spread": 0.0963, "executable_entry": 321.16, "execution_liquidity_bucket": "large_liquid", "factor_exposure_after": {"Energy": 13012.45}, "factor_exposure_before": {"Energy": 13012.45}, "factor_exposure_cap": 20000.0, "factor_exposure_limit_exceeded": false, "factor_tags": ["Financials"], "final_action": "SKIP", "gross_reward_1_per_share": 0.0, "gross_reward_2_per_share": 0.0, "gross_risk_per_share": 321.16, "gross_rr": 0.0, "gross_rr_1": 0.0, "gross_rr_2": 0.0, "gross_rr_decision": 0.0, "highest_correlation_ticker": "XOM", "highest_correlation_value": -0.0174, "initial_action": "SKIP", "market_cap": 610478969919.56, "market_cap_bucket": "Mega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321.433, "net_reward_1_per_share": 0.0, "net_reward_2_per_share": 0.0, "net_risk_per_share": 321.706, "net_rr": 0.0, "net_rr_1": 0.0, "net_rr_2": 0.0, "net_stop_assumption": -0.273, "net_target_1_assumption": -0.1606, "net_target_2_assumption": -0.1606, "normalized_atr_score": 100.0, "normalized_liquidity_score": 59.22, "normalized_momentum_score": 59.78, "normalized_quality_score": 69.67,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321.16, "prior_high_20": 0.0, "prior_high_63": 0.0, "reason": "SKIP: No Trade result. Market regime BULL; sector STRONG; net R/R 0.00.", "risk_amount": 0.0, "scan_source": "Smart Universe: broad liquid US universe filtered and diversified by the Market Lens UI.", "sector": "Financials", "sector_etf": "XLF", "sector_exposure_after": 0.0, "sector_exposure_before": 0.0, "sector_exposure_cap": 16000.0, "sector_exposure_limit_exceeded": false, "sector_regime": "STRONG", "sector_score": 69.39, "setup_score": 0.0, "setup_type": "No Trade", "sizing_adjustment_reason": "", "spread_source": "liquidity_fallback", "stock_score": 0.0, "stop_loss": 0.0, "target_1": null, "target_1_atr_distance": 0.0, "target_2": null, "target_2_atr_distance": 0.0, "target_feasibility_status": "UNKNOWN", "theoretical_entry": 321.16, "ticker": "V", "timestamp": "2026-06-08T15:11:24", "warnings": ["Target ATR feasibility unavailable."]}</t>
        </is>
      </c>
    </row>
    <row r="274">
      <c r="A274" t="inlineStr">
        <is>
          <t>2026-06-08T15:11:24</t>
        </is>
      </c>
      <c r="B274" t="inlineStr">
        <is>
          <t>NOC</t>
        </is>
      </c>
      <c r="C274" t="inlineStr">
        <is>
          <t>No Trade</t>
        </is>
      </c>
      <c r="D274" t="n">
        <v>0</v>
      </c>
      <c r="E274" t="n">
        <v>537.79</v>
      </c>
      <c r="H274" t="n">
        <v>0</v>
      </c>
      <c r="K274" t="n">
        <v>0</v>
      </c>
      <c r="L274" t="inlineStr">
        <is>
          <t>No clean technical setup detected. Price in middle of value area or poor risk/reward.</t>
        </is>
      </c>
      <c r="M274" t="inlineStr">
        <is>
          <t>SKIP</t>
        </is>
      </c>
      <c r="N274" t="inlineStr">
        <is>
          <t>SKIP: No Trade result. Market regime BULL; sector NEUTRAL; net R/R 0.00.</t>
        </is>
      </c>
      <c r="O274" t="inlineStr">
        <is>
          <t>NOC
No Trade
0.00
score
Price
537.79
R/R
0.00x
Grade
No Trade
Quality
0%
Buy Zone
-
Stop
0.00
Targets
-
Skip
Mixed
Relative Strength
In line
56%
Trend Quality
Messy
0%
Liquidity
Institutional liquidity
100%
Volume
Neutral
65%
No actionable setup detected.
No clean technical setup detected. Price in middle of value area or poor risk/reward.
Fib 61.8
617.52
Fib Zone
614.39 - 620.65
Swing Low
560.23
Swing High
710.20
Click chart to open full size</t>
        </is>
      </c>
      <c r="P274" t="inlineStr">
        <is>
          <t>agent_results/charts/market_lens_agent_20260608_150453_noc.png</t>
        </is>
      </c>
      <c r="Q274" t="inlineStr">
        <is>
          <t>Smart Universe: broad liquid US universe, diversified by sector | Sector: Industrials - Neutral (67/100); XLI sector regime is neutral: 2.9% 3m return, -7.4% vs SPY | Setup: No Trade; score 0.00; R/R 0.00x; price 537.79 | Market: BULL; Sector regime: NEUTRAL; Net R/R: 0.00; Factors: Industrials | Agent action: SKIP - SKIP: No Trade result. Market regime BULL; sector NEUTRAL; net R/R 0.00.</t>
        </is>
      </c>
      <c r="R274" t="inlineStr">
        <is>
          <t>{"adjusted_cash_out": 0.0, "adjusted_position_size": 0, "adjusted_risk_amount": 0.0, "ask": 0.0, "bid": 0.0, "buy_zone_high": null, "buy_zone_low": null, "cash_available": 87010.85, "company_name": "Northrop Grumman Corporation", "correlation_warning": false, "days_to_earnings": 31, "earnings_blackout": false, "earnings_date": "2026-07-21T00:00:00", "estimated_fees": 0.0, "estimated_slippage": 1.6134, "estimated_spread": 0.4302, "executable_entry": 537.79, "execution_liquidity_bucket": "mid_liquid", "factor_exposure_after": {"Energy": 13012.45}, "factor_exposure_before": {"Energy": 13012.45}, "factor_exposure_cap": 20000.0, "factor_exposure_limit_exceeded": false, "factor_tags": ["Industrials"], "final_action": "SKIP", "gross_reward_1_per_share": 0.0, "gross_reward_2_per_share": 0.0, "gross_risk_per_share": 537.79, "gross_rr": 0.0, "gross_rr_1": 0.0, "gross_rr_2": 0.0, "gross_rr_decision": 0.0, "highest_correlation_ticker": "APA", "highest_correlation_value": 0.0362, "initial_action": "SKIP", "market_cap": 76381345162.61,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538.8118, "net_reward_1_per_share": 0.0, "net_reward_2_per_share": 0.0, "net_risk_per_share": 539.8336, "net_rr": 0.0, "net_rr_1": 0.0, "net_rr_2": 0.0, "net_stop_assumption": -1.0218, "net_target_1_assumption": -0.6185, "net_target_2_assumption": -0.6185, "normalized_atr_score": 100.0, "normalized_liquidity_score": 47.24, "normalized_momentum_score": 0, "normalized_quality_score": 39.17,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537.79, "prior_high_20": 0.0, "prior_high_63": 0.0, "reason": "SKIP: No Trade result. Market regime BULL; sector NEUTRAL; net R/R 0.00.", "risk_amount": 0.0, "scan_source": "Smart Universe: broad liquid US universe filtered and diversified by the Market Lens UI.", "sector": "Industrials", "sector_etf": "XLI", "sector_exposure_after": 0.0, "sector_exposure_before": 0.0, "sector_exposure_cap": 16000.0, "sector_exposure_limit_exceeded": false, "sector_regime": "NEUTRAL", "sector_score": 66.57, "setup_score": 0.0, "setup_type": "No Trade", "sizing_adjustment_reason": "", "spread_source": "liquidity_fallback", "stock_score": 0.0, "stop_loss": 0.0, "target_1": null, "target_1_atr_distance": 0.0, "target_2": null, "target_2_atr_distance": 0.0, "target_feasibility_status": "UNKNOWN", "theoretical_entry": 537.79, "ticker": "NOC", "timestamp": "2026-06-08T15:11:24", "warnings": ["Target ATR feasibility unavailable."]}</t>
        </is>
      </c>
    </row>
    <row r="275">
      <c r="A275" t="inlineStr">
        <is>
          <t>2026-06-08T15:11:24</t>
        </is>
      </c>
      <c r="B275" t="inlineStr">
        <is>
          <t>CBRE</t>
        </is>
      </c>
      <c r="C275" t="inlineStr">
        <is>
          <t>No Trade</t>
        </is>
      </c>
      <c r="D275" t="n">
        <v>0</v>
      </c>
      <c r="E275" t="n">
        <v>132.84</v>
      </c>
      <c r="H275" t="n">
        <v>0</v>
      </c>
      <c r="K275" t="n">
        <v>0</v>
      </c>
      <c r="L275" t="inlineStr">
        <is>
          <t>No clean technical setup detected. Price in middle of value area or poor risk/reward.</t>
        </is>
      </c>
      <c r="M275" t="inlineStr">
        <is>
          <t>SKIP</t>
        </is>
      </c>
      <c r="N275" t="inlineStr">
        <is>
          <t>SKIP: No Trade result. Market regime BULL; sector NEUTRAL; net R/R 0.00.</t>
        </is>
      </c>
      <c r="O275" t="inlineStr">
        <is>
          <t>CBRE
No Trade
0.00
score
Price
132.84
R/R
0.00x
Grade
No Trade
Quality
0%
Buy Zone
-
Stop
0.00
Targets
-
Skip
Mixed
Relative Strength
In line
56%
Trend Quality
Messy
18%
Liquidity
Institutional liquidity
100%
Volume
Distribution risk
30%
No actionable setup detected.
No clean technical setup detected. Price in middle of value area or poor risk/reward.
Fib 61.8
142.56
Fib Zone
141.50 - 143.62
Swing Low
138.60
Swing High
148.97
Click chart to open full size</t>
        </is>
      </c>
      <c r="P275" t="inlineStr">
        <is>
          <t>agent_results/charts/market_lens_agent_20260608_150453_cbre.png</t>
        </is>
      </c>
      <c r="Q275" t="inlineStr">
        <is>
          <t>Smart Universe: broad liquid US universe, diversified by sector | Sector: Real Estate - Neutral (67/100); XLRE sector regime is neutral: 4.0% 3m return, -6.3% vs SPY | Setup: No Trade; score 0.00; R/R 0.00x; price 132.84 | Market: BULL; Sector regime: NEUTRAL; Net R/R: 0.00; Factors: Real Estate | Agent action: SKIP - SKIP: No Trade result. Market regime BULL; sector NEUTRAL; net R/R 0.00.</t>
        </is>
      </c>
      <c r="R275" t="inlineStr">
        <is>
          <t>{"adjusted_cash_out": 0.0, "adjusted_position_size": 0, "adjusted_risk_amount": 0.0, "ask": 0.0, "bid": 0.0, "buy_zone_high": null, "buy_zone_low": null, "cash_available": 87010.85, "company_name": "CBRE Group", "correlation_warning": false, "days_to_earnings": -32, "earnings_blackout": false, "earnings_date": "2026-04-23T00:00:00", "estimated_fees": 0.0, "estimated_slippage": 0.3985, "estimated_spread": 0.1063, "executable_entry": 132.84,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132.84, "gross_rr": 0.0, "gross_rr_1": 0.0, "gross_rr_2": 0.0, "gross_rr_decision": 0.0, "highest_correlation_ticker": "APA", "highest_correlation_value": -0.1041, "initial_action": "SKIP", "market_cap": 38883111559.48,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133.0924, "net_reward_1_per_share": 0.0, "net_reward_2_per_share": 0.0, "net_risk_per_share": 133.3448, "net_rr": 0.0, "net_rr_1": 0.0, "net_rr_2": 0.0, "net_stop_assumption": -0.2524, "net_target_1_assumption": -0.1528, "net_target_2_assumption": -0.1528, "normalized_atr_score": 100.0, "normalized_liquidity_score": 40.58, "normalized_momentum_score": 30.92, "normalized_quality_score": 51.09,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132.84,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132.84, "ticker": "CBRE", "timestamp": "2026-06-08T15:11:24", "warnings": ["Target ATR feasibility unavailable."]}</t>
        </is>
      </c>
    </row>
    <row r="276">
      <c r="A276" t="inlineStr">
        <is>
          <t>2026-06-08T15:11:24</t>
        </is>
      </c>
      <c r="B276" t="inlineStr">
        <is>
          <t>WY</t>
        </is>
      </c>
      <c r="C276" t="inlineStr">
        <is>
          <t>No Trade</t>
        </is>
      </c>
      <c r="D276" t="n">
        <v>0</v>
      </c>
      <c r="E276" t="n">
        <v>24.23</v>
      </c>
      <c r="H276" t="n">
        <v>0</v>
      </c>
      <c r="K276" t="n">
        <v>0</v>
      </c>
      <c r="L276" t="inlineStr">
        <is>
          <t>No clean technical setup detected. Price in middle of value area or poor risk/reward.</t>
        </is>
      </c>
      <c r="M276" t="inlineStr">
        <is>
          <t>SKIP</t>
        </is>
      </c>
      <c r="N276" t="inlineStr">
        <is>
          <t>SKIP: No Trade result. Market regime BULL; sector NEUTRAL; net R/R 0.00.</t>
        </is>
      </c>
      <c r="O276" t="inlineStr">
        <is>
          <t>WY
No Trade
0.00
score
Price
24.23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24.40
Fib Zone
24.26 - 24.55
Swing Low
23.68
Swing High
25.58
Click chart to open full size</t>
        </is>
      </c>
      <c r="P276" t="inlineStr">
        <is>
          <t>agent_results/charts/market_lens_agent_20260608_150453_wy.png</t>
        </is>
      </c>
      <c r="Q276" t="inlineStr">
        <is>
          <t>Smart Universe: broad liquid US universe, diversified by sector | Sector: Real Estate - Neutral (67/100); XLRE sector regime is neutral: 4.0% 3m return, -6.3% vs SPY | Setup: No Trade; score 0.00; R/R 0.00x; price 24.23 | Market: BULL; Sector regime: NEUTRAL; Net R/R: 0.00; Factors: Real Estate | Agent action: SKIP - SKIP: No Trade result. Market regime BULL; sector NEUTRAL; net R/R 0.00.</t>
        </is>
      </c>
      <c r="R276" t="inlineStr">
        <is>
          <t>{"adjusted_cash_out": 0.0, "adjusted_position_size": 0, "adjusted_risk_amount": 0.0, "ask": 0.0, "bid": 0.0, "buy_zone_high": null, "buy_zone_low": null, "cash_available": 87010.85, "company_name": "Weyerhaeuser", "correlation_warning": false, "days_to_earnings": 33, "earnings_blackout": false, "earnings_date": "2026-07-23T00:00:00", "estimated_fees": 0.0, "estimated_slippage": 0.0727, "estimated_spread": 0.0194, "executable_entry": 24.23, "execution_liquidity_bucket": "mid_liquid", "factor_exposure_after": {"Energy": 13012.45}, "factor_exposure_before": {"Energy": 13012.45}, "factor_exposure_cap": 20000.0, "factor_exposure_limit_exceeded": false, "factor_tags": ["Real Estate"], "final_action": "SKIP", "gross_reward_1_per_share": 0.0, "gross_reward_2_per_share": 0.0, "gross_risk_per_share": 24.23, "gross_rr": 0.0, "gross_rr_1": 0.0, "gross_rr_2": 0.0, "gross_rr_decision": 0.0, "highest_correlation_ticker": "XOM", "highest_correlation_value": -0.2118, "initial_action": "SKIP", "market_cap": 17467257478.08,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"UNKNOWN", "minimum_net_rr_required": 2.0, "net_entry": 24.276, "net_reward_1_per_share": 0.0, "net_reward_2_per_share": 0.0, "net_risk_per_share": 24.3221, "net_rr": 0.0, "net_rr_1": 0.0, "net_rr_2": 0.0, "net_stop_assumption": -0.046, "net_target_1_assumption": -0.0279, "net_target_2_assumption": -0.0279, "normalized_atr_score": 100.0, "normalized_liquidity_score": 19.06, "normalized_momentum_score": 59.48, "normalized_quality_score": 57.48, "original_cash_out": 0.0, "original_position_size": 0, "original_risk_amount": 0.0, "portfolio_exposure_after": 13041.05, "portfolio_exposure_before": 13041.05, "position_size": 0, "position_size_adjusted": false, "position_sizing_explanation": "No new position size was calculated because the base decision did not open a simulated buy.", "previous_resistance": 0.0, "price": 24.23, "prior_high_20": 0.0, "prior_high_63": 0.0, "reason": "SKIP: No Trade result. Market regime BULL; sector NEUTRAL; net R/R 0.00.", "risk_amount": 0.0, "scan_source": "Smart Universe: broad liquid US universe filtered and diversified by the Market Lens UI.", "sector": "Real Estate", "sector_etf": "XLRE", "sector_exposure_after": 0.0, "sector_exposure_before": 0.0, "sector_exposure_cap": 16000.0, "sector_exposure_limit_exceeded": false, "sector_regime": "NEUTRAL", "sector_score": 67.39, "setup_score": 0.0, "setup_type": "No Trade", "sizing_adjustment_reason": "", "spread_source": "liquidity_fallback", "stock_score": 0.0, "stop_loss": 0.0, "target_1": null, "target_1_atr_distance": 0.0, "target_2": null, "target_2_atr_distance": 0.0, "target_feasibility_status": "UNKNOWN", "theoretical_entry": 24.23, "ticker": "WY", "timestamp": "2026-06-08T15:11:24", "warnings": ["Target ATR feasibility unavailable."]}</t>
        </is>
      </c>
    </row>
    <row r="277">
      <c r="A277" t="inlineStr">
        <is>
          <t>2026-06-08T16:10:57</t>
        </is>
      </c>
      <c r="B277" t="inlineStr">
        <is>
          <t>XOM</t>
        </is>
      </c>
      <c r="C277" t="inlineStr">
        <is>
          <t>Fib 61.8 Confluence Buy Zone</t>
        </is>
      </c>
      <c r="D277" t="n">
        <v>0.51</v>
      </c>
      <c r="E277" t="n">
        <v>151.7</v>
      </c>
      <c r="F277" t="n">
        <v>149.87</v>
      </c>
      <c r="G277" t="n">
        <v>151.87</v>
      </c>
      <c r="H277" t="n">
        <v>146.99</v>
      </c>
      <c r="I277" t="n">
        <v>152.16</v>
      </c>
      <c r="J277" t="n">
        <v>173.86</v>
      </c>
      <c r="K277" t="n">
        <v>1.71</v>
      </c>
      <c r="L277" t="inlineStr">
        <is>
          <t>Price at 61.8% fib retracement (150.87) with confluence at VWAP. Planned entry at zone low 149.87; executable entry 151.70, stop below fib 78.6% at 146.99.</t>
        </is>
      </c>
      <c r="M277" t="inlineStr">
        <is>
          <t>HOLD</t>
        </is>
      </c>
      <c r="N277" t="inlineStr">
        <is>
          <t>HOLD: Existing simulated position remains open. NEUTRAL regime recorded.</t>
        </is>
      </c>
      <c r="O277" t="inlineStr">
        <is>
          <t>XOM
Fib 61.8 Confluence Buy Zone
0.51
score
Price
151.70
R/R
1.71x
Grade
C
Quality
64%
Buy Zone
149.87 - 151.87
Stop
146.99
Targets
152.16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151.70, stop below fib 78.6% at 146.99.
Fib 61.8
150.87
Fib Zone
149.87 - 151.87
Swing Low
142.95
Swing High
163.68
Save setup
Click chart to open full size</t>
        </is>
      </c>
      <c r="P277" t="inlineStr">
        <is>
          <t>agent_results/charts/market_lens_agent_20260608_160733_xom.png</t>
        </is>
      </c>
      <c r="Q277" t="inlineStr">
        <is>
          <t>Smart Universe: broad liquid US universe, diversified by sector | Sector: Energy - Strong (71/100); XLE sector regime is strong: 5.6% 3m return, -4.4% vs SPY | Setup: Fib 61.8 Confluence Buy Zone; score 0.51; R/R 1.71x; price 151.70 | Market: NEUTRAL; Sector regime: STRONG; Net R/R: 1.58; Factors: Energy | Agent action: HOLD - HOLD: Existing simulated position remains open. NEUTRAL regime recorded.</t>
        </is>
      </c>
      <c r="R27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 "execution_liquidity_bucket": "large_liquid", "factor_exposure_after": {"Energy": 9999.15}, "factor_exposure_before": {"Energy": 9999.15}, "factor_exposure_cap": 7000.0, "factor_exposure_limit_exceeded": false, "factor_tags": ["Energy"], "final_action": "HOLD", "gross_reward_1_per_share": 0.46, "gross_reward_2_per_share": 22.16, "gross_risk_per_share": 4.71, "gross_rr": 1.7102, "gross_rr_1": 0.0977, "gross_rr_2": 4.7049, "gross_rr_decision": 1.7102, "highest_correlation_ticker": "APA", "highest_correlation_value": 0.7766, "initial_action": "HOLD", "market_cap": 628539785115.81,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151.8289, "net_reward_1_per_share": 0.2552, "net_reward_2_per_share": 21.9552, "net_risk_per_share": 4.9679, "net_rr": 1.5802, "net_rr_1": 0.0514, "net_rr_2": 4.4194, "net_stop_assumption": 146.8611, "net_target_1_assumption": 152.0841, "net_target_2_assumption": 173.7842, "normalized_atr_score": 100.0, "normalized_liquidity_score": 57.83, "normalized_momentum_score": 70.0, "normalized_quality_score": 73.85,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163.68, "price": 151.7,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9999.15, "sector_exposure_before": 9999.15, "sector_exposure_cap": 6000.0, "sector_exposure_limit_exceeded": false, "sector_regime": "STRONG", "sector_score": 71.1, "setup_score": 0.51, "setup_type": "Fib 61.8 Confluence Buy Zone", "sizing_adjustment_reason": "", "spread_source": "liquidity_fallback", "stock_score": 0.51, "stop_loss": 146.99, "target_1": 152.16, "target_1_atr_distance": 0.1154, "target_2": 173.86, "target_2_atr_distance": 5.56, "target_feasibility_status": "LOW_REWARD_DISTANCE", "theoretical_entry": 149.87, "ticker": "XOM", "timestamp": "2026-06-08T16:10:57", "warnings": ["Target 1 is close versus daily ATR."]}</t>
        </is>
      </c>
    </row>
    <row r="278">
      <c r="A278" t="inlineStr">
        <is>
          <t>2026-06-08T16:10:57</t>
        </is>
      </c>
      <c r="B278" t="inlineStr">
        <is>
          <t>CB</t>
        </is>
      </c>
      <c r="C278" t="inlineStr">
        <is>
          <t>Fib 61.8 Confluence Buy Zone</t>
        </is>
      </c>
      <c r="D278" t="n">
        <v>0.45</v>
      </c>
      <c r="E278" t="n">
        <v>323.03</v>
      </c>
      <c r="F278" t="n">
        <v>320.73</v>
      </c>
      <c r="G278" t="n">
        <v>323.86</v>
      </c>
      <c r="H278" t="n">
        <v>318.48</v>
      </c>
      <c r="I278" t="n">
        <v>323.76</v>
      </c>
      <c r="J278" t="n">
        <v>334.03</v>
      </c>
      <c r="K278" t="n">
        <v>0.95</v>
      </c>
      <c r="L278" t="inlineStr">
        <is>
          <t>Price at 61.8% fib retracement (322.29) with confluence at POC, VAL, VWAP. Planned entry at zone low 320.73; executable entry 323.03, stop below fib 78.6% at 318.48.</t>
        </is>
      </c>
      <c r="M278" t="inlineStr">
        <is>
          <t>WATCH</t>
        </is>
      </c>
      <c r="N278" t="inlineStr">
        <is>
          <t>WATCH: Technical setup detected, but weighted risk/reward 0.95 is below minimum 2.00. Market regime NEUTRAL; sector STRONG; net R/R 0.76.</t>
        </is>
      </c>
      <c r="O278" t="inlineStr">
        <is>
          <t>CB
Fib 61.8 Confluence Buy Zone
0.45
score
Price
323.03
R/R
0.95x
Grade
C
Quality
60%
Buy Zone
320.73 - 323.86
Stop
318.48
Targets
323.76 / 334.03
Watch only; needs confirmation
Mixed
Relative Strength
Leadership
95%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POC, VAL, VWAP. Planned entry at zone low 320.73; executable entry 323.03, stop below fib 78.6% at 318.48.
Fib 61.8
322.29
Fib Zone
320.73 - 323.86
Swing Low
315.04
Swing High
334.03
Save setup
Click chart to open full size</t>
        </is>
      </c>
      <c r="P278" t="inlineStr">
        <is>
          <t>agent_results/charts/market_lens_agent_20260608_160733_cb.png</t>
        </is>
      </c>
      <c r="Q278" t="inlineStr">
        <is>
          <t>Smart Universe: broad liquid US universe, diversified by sector | Sector: Financials - Strong (69/100); XLF sector regime is strong: 4.8% 3m return, -5.1% vs SPY | Setup: Fib 61.8 Confluence Buy Zone; score 0.45; R/R 0.95x; price 323.03 | Market: NEUTRAL; Sector regime: STRONG; Net R/R: 0.76; Factors: Financials | Agent action: WATCH - WATCH: Technical setup detected, but weighted risk/reward 0.95 is below minimum 2.00. Market regime NEUTRAL; sector STRONG; net R/R 0.76.</t>
        </is>
      </c>
      <c r="R278" t="inlineStr">
        <is>
          <t>{"adjusted_cash_out": 0.0, "adjusted_position_size": 0, "adjusted_risk_amount": 0.0, "ask": 0.0, "bid": 0.0, "buy_zone_high": 323.86, "buy_zone_low": 320.73, "cash_available": 87010.85, "company_name": "Chubb Limited", "correlation_warning": false, "days_to_earnings": 36, "earnings_blackout": false, "earnings_date": "2026-07-28T00:00:00", "estimated_fees": 0.0, "estimated_slippage": 0.4522, "estimated_spread": 0.0969, "executable_entry": 323.03, "execution_liquidity_bucket": "large_liquid", "factor_exposure_after": {"Energy": 13033.15}, "factor_exposure_before": {"Energy": 13033.15}, "factor_exposure_cap": 7000.0, "factor_exposure_limit_exceeded": false, "factor_tags": ["Financials"], "final_action": "WATCH", "gross_reward_1_per_share": 0.73, "gross_reward_2_per_share": 11.0, "gross_risk_per_share": 4.55, "gross_rr": 0.9504, "gross_rr_1": 0.1604, "gross_rr_2": 2.4176, "gross_rr_decision": 0.9504, "highest_correlation_ticker": "XOM", "highest_correlation_value": 0.0868, "initial_action": "WATCH", "market_cap": 125151630496.58,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323.3046, "net_reward_1_per_share": 0.2939, "net_reward_2_per_share": 10.5639, "net_risk_per_share": 5.0992, "net_rr": 0.7626, "net_rr_1": 0.0576, "net_rr_2": 2.0717, "net_stop_assumption": 318.2054, "net_target_1_assumption": 323.5985, "net_target_2_assumption": 333.8685, "normalized_atr_score": 100.0, "normalized_liquidity_score": 49.47, "normalized_momentum_score": 49.93, "normalized_quality_score": 62.31,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334.03, "price": 323.03, "prior_high_20": 334.03, "prior_high_63": 336.14, "reason": "WATCH: Technical setup detected, but weighted risk/reward 0.95 is below minimum 2.00. Market regime NEUTRAL; sector STRONG; net R/R 0.76.",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69.33, "setup_score": 0.45, "setup_type": "Fib 61.8 Confluence Buy Zone", "sizing_adjustment_reason": "", "spread_source": "liquidity_fallback", "stock_score": 0.45, "stop_loss": 318.48, "target_1": 323.76, "target_1_atr_distance": 0.1166, "target_2": 334.03, "target_2_atr_distance": 1.7563, "target_feasibility_status": "LOW_REWARD_DISTANCE", "theoretical_entry": 320.73, "ticker": "CB", "timestamp": "2026-06-08T16:10:57", "warnings": ["Target 1 is close versus daily ATR."]}</t>
        </is>
      </c>
    </row>
    <row r="279">
      <c r="A279" t="inlineStr">
        <is>
          <t>2026-06-08T16:10:57</t>
        </is>
      </c>
      <c r="B279" t="inlineStr">
        <is>
          <t>APA</t>
        </is>
      </c>
      <c r="C279" t="inlineStr">
        <is>
          <t>Fib 61.8 Confluence Buy Zone</t>
        </is>
      </c>
      <c r="D279" t="n">
        <v>0.43</v>
      </c>
      <c r="E279" t="n">
        <v>37.4</v>
      </c>
      <c r="F279" t="n">
        <v>37.24</v>
      </c>
      <c r="G279" t="n">
        <v>37.99</v>
      </c>
      <c r="H279" t="n">
        <v>36.39</v>
      </c>
      <c r="I279" t="n">
        <v>38.38</v>
      </c>
      <c r="J279" t="n">
        <v>44.19</v>
      </c>
      <c r="K279" t="n">
        <v>2.98</v>
      </c>
      <c r="L279" t="inlineStr">
        <is>
          <t>Price at 61.8% fib retracement (37.62) with confluence at VWAP. Planned entry at zone low 37.24; executable entry 37.40, stop below fib 78.6% at 36.39.</t>
        </is>
      </c>
      <c r="M279" t="inlineStr">
        <is>
          <t>HOLD</t>
        </is>
      </c>
      <c r="N279" t="inlineStr">
        <is>
          <t>HOLD: Existing simulated position remains open. NEUTRAL regime recorded.</t>
        </is>
      </c>
      <c r="O279" t="inlineStr">
        <is>
          <t>APA
Fib 61.8 Confluence Buy Zone
0.43
score
Price
37.40
R/R
2.98x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37.40, stop below fib 78.6% at 36.39.
Fib 61.8
37.62
Fib Zone
37.24 - 37.99
Swing Low
35.17
Swing High
41.58
Save setup
Click chart to open full size</t>
        </is>
      </c>
      <c r="P279" t="inlineStr">
        <is>
          <t>agent_results/charts/market_lens_agent_20260608_160733_apa.png</t>
        </is>
      </c>
      <c r="Q279" t="inlineStr">
        <is>
          <t>Smart Universe: broad liquid US universe, diversified by sector | Sector: Energy - Strong (71/100); XLE sector regime is strong: 5.6% 3m return, -4.4% vs SPY | Setup: Fib 61.8 Confluence Buy Zone; score 0.43; R/R 2.98x; price 37.40 | Market: NEUTRAL; Sector regime: STRONG; Net R/R: 2.52; Factors: Energy | Agent action: HOLD - HOLD: Existing simulated position remains open. NEUTRAL regime recorded.</t>
        </is>
      </c>
      <c r="R279"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0.1122, "estimated_spread": 0.0299, "executable_entry": 37.4, "execution_liquidity_bucket": "mid_liquid", "factor_exposure_after": {"Energy": 3034.0}, "factor_exposure_before": {"Energy": 3034.0}, "factor_exposure_cap": 7000.0, "factor_exposure_limit_exceeded": false, "factor_tags": ["Energy"], "final_action": "HOLD", "gross_reward_1_per_share": 0.98, "gross_reward_2_per_share": 6.79, "gross_risk_per_share": 1.01, "gross_rr": 2.9837, "gross_rr_1": 0.9703, "gross_rr_2": 6.7228, "gross_rr_decision": 2.9837, "highest_correlation_ticker": "XOM", "highest_correlation_value": 0.7766, "initial_action": "HOLD", "market_cap": 13221553409.45,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37.4711, "net_reward_1_per_share": 0.8659, "net_reward_2_per_share": 6.6759, "net_risk_per_share": 1.1521, "net_rr": 2.5166, "net_rr_1": 0.7516, "net_rr_2": 5.7945, "net_stop_assumption": 36.3189, "net_target_1_assumption": 38.337, "net_target_2_assumption": 44.147, "normalized_atr_score": 100.0, "normalized_liquidity_score": 27.55, "normalized_momentum_score": 100, "normalized_quality_score": 78.27,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41.58, "price": 37.4,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3034.0, "sector_exposure_before": 3034.0, "sector_exposure_cap": 6000.0, "sector_exposure_limit_exceeded": false, "sector_regime": "STRONG", "sector_score": 71.1, "setup_score": 0.43, "setup_type": "Fib 61.8 Confluence Buy Zone", "sizing_adjustment_reason": "", "spread_source": "liquidity_fallback", "stock_score": 0.43, "stop_loss": 36.39, "target_1": 38.38, "target_1_atr_distance": 0.6524, "target_2": 44.19, "target_2_atr_distance": 4.52, "target_feasibility_status": "LOW_REWARD_DISTANCE", "theoretical_entry": 37.24, "ticker": "APA", "timestamp": "2026-06-08T16:10:57", "warnings": ["Target 1 is close versus daily ATR."]}</t>
        </is>
      </c>
    </row>
    <row r="280">
      <c r="A280" t="inlineStr">
        <is>
          <t>2026-06-08T16:10:57</t>
        </is>
      </c>
      <c r="B280" t="inlineStr">
        <is>
          <t>CRM</t>
        </is>
      </c>
      <c r="C280" t="inlineStr">
        <is>
          <t>Breakout + Retest</t>
        </is>
      </c>
      <c r="D280" t="n">
        <v>0.42</v>
      </c>
      <c r="E280" t="n">
        <v>182.16</v>
      </c>
      <c r="F280" t="n">
        <v>178.24</v>
      </c>
      <c r="G280" t="n">
        <v>187.44</v>
      </c>
      <c r="H280" t="n">
        <v>173.65</v>
      </c>
      <c r="I280" t="n">
        <v>190.31</v>
      </c>
      <c r="J280" t="n">
        <v>211.34</v>
      </c>
      <c r="K280" t="n">
        <v>1.82</v>
      </c>
      <c r="L280" t="inlineStr">
        <is>
          <t>Price (182.16) retesting broken resistance (187.44) as support. Breakout on 2026-05-29 with 2.6× avg volume. Volume confirmed breakout. Entry at 182.16, stop at 173.65.</t>
        </is>
      </c>
      <c r="M280" t="inlineStr">
        <is>
          <t>WATCH</t>
        </is>
      </c>
      <c r="N280" t="inlineStr">
        <is>
          <t>WATCH: Technical setup detected, but weighted risk/reward 1.82 is below minimum 2.00. Market regime NEUTRAL; sector STRONG; net R/R 1.63.</t>
        </is>
      </c>
      <c r="O280" t="inlineStr">
        <is>
          <t>CRM
Breakout + Retest
0.42
score
Price
182.16
R/R
1.82x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(182.16) retesting broken resistance (187.44) as support. Breakout on 2026-05-29 with 2.6× avg volume. Volume confirmed breakout. Entry at 182.16, stop at 173.65.
Fib 61.8
186.81
Fib Zone
184.51 - 189.11
Swing Low
171.65
Swing High
211.34
Save setup
Click chart to open full size</t>
        </is>
      </c>
      <c r="P280" t="inlineStr">
        <is>
          <t>agent_results/charts/market_lens_agent_20260608_160733_crm.png</t>
        </is>
      </c>
      <c r="Q280" t="inlineStr">
        <is>
          <t>Smart Universe: broad liquid US universe, diversified by sector | Sector: Technology - Strong (98/100); XLK sector regime is strong: 32.9% 3m return, 23.0% vs SPY | Setup: Breakout + Retest; score 0.42; R/R 1.82x; price 182.16 | Market: NEUTRAL; Sector regime: STRONG; Net R/R: 1.63; Factors: Technology | Agent action: WATCH - WATCH: Technical setup detected, but weighted risk/reward 1.82 is below minimum 2.00. Market regime NEUTRAL; sector STRONG; net R/R 1.63.</t>
        </is>
      </c>
      <c r="R28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0.6193, "estimated_spread": 0.0546, "executable_entry": 182.16, "execution_liquidity_bucket": "large_liquid", "factor_exposure_after": {"Energy": 13019.8}, "factor_exposure_before": {"Energy": 13019.8}, "factor_exposure_cap": 7000.0, "factor_exposure_limit_exceeded": false, "factor_tags": ["Technology"], "final_action": "WATCH", "gross_reward_1_per_share": 8.15, "gross_reward_2_per_share": 29.18, "gross_risk_per_share": 8.51, "gross_rr": 1.8226, "gross_rr_1": 0.9577, "gross_rr_2": 3.4289, "gross_rr_decision": 1.8226, "highest_correlation_ticker": "APA", "highest_correlation_value": 0.1175, "initial_action": "WATCH", "market_cap": 149221797500.61,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182.497, "net_reward_1_per_share": 7.6308, "net_reward_2_per_share": 28.6608, "net_risk_per_share": 9.184, "net_rr": 1.6323, "net_rr_1": 0.8309, "net_rr_2": 3.1207, "net_stop_assumption": 173.313, "net_target_1_assumption": 190.1278, "net_target_2_assumption": 211.1578, "normalized_atr_score": 100.0, "normalized_liquidity_score": 97.04, "normalized_momentum_score": 30.22, "normalized_quality_score": 67.71,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211.34, "price": 182.16, "prior_high_20": 211.34, "prior_high_63": 211.34, "reason": "WATCH: Technical setup detected, but weighted risk/reward 1.82 is below minimum 2.00. Market regime NEUTRAL; sector STRONG; net R/R 1.63.",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0.42, "setup_type": "Breakout + Retest", "sizing_adjustment_reason": "", "spread_source": "liquidity_fallback", "stock_score": 0.42, "stop_loss": 173.65, "target_1": 190.31, "target_1_atr_distance": 0.8863, "target_2": 211.34, "target_2_atr_distance": 3.1734, "target_feasibility_status": "OK", "theoretical_entry": 178.24, "ticker": "CRM", "timestamp": "2026-06-08T16:10:57", "warnings": []}</t>
        </is>
      </c>
    </row>
    <row r="281">
      <c r="A281" t="inlineStr">
        <is>
          <t>2026-06-08T16:10:57</t>
        </is>
      </c>
      <c r="B281" t="inlineStr">
        <is>
          <t>PH</t>
        </is>
      </c>
      <c r="C281" t="inlineStr">
        <is>
          <t>Breakout + Retest</t>
        </is>
      </c>
      <c r="D281" t="n">
        <v>0.41</v>
      </c>
      <c r="E281" t="n">
        <v>887.86</v>
      </c>
      <c r="F281" t="n">
        <v>857.64</v>
      </c>
      <c r="G281" t="n">
        <v>880</v>
      </c>
      <c r="H281" t="n">
        <v>846.46</v>
      </c>
      <c r="I281" t="n">
        <v>904.96</v>
      </c>
      <c r="J281" t="n">
        <v>1026.68</v>
      </c>
      <c r="K281" t="n">
        <v>1.44</v>
      </c>
      <c r="L281" t="inlineStr">
        <is>
          <t>Price (887.86) retesting broken resistance (880.00) as support. Breakout on 2026-06-05 with 1.2× avg volume. Entry at 887.86, stop at 846.46.</t>
        </is>
      </c>
      <c r="M281" t="inlineStr">
        <is>
          <t>WATCH</t>
        </is>
      </c>
      <c r="N281" t="inlineStr">
        <is>
          <t>WATCH: Technical setup detected, but weighted risk/reward 1.44 is below minimum 2.00. Market regime NEUTRAL; sector NEUTRAL; net R/R 1.28.</t>
        </is>
      </c>
      <c r="O281" t="inlineStr">
        <is>
          <t>PH
Breakout + Retest
0.41
score
Price
887.86
R/R
1.44x
Grade
B
Quality
67%
Buy Zone
857.64 - 880.00
Stop
846.46
Targets
904.96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(887.86) retesting broken resistance (880.00) as support. Breakout on 2026-06-05 with 1.2× avg volume. Entry at 887.86, stop at 846.46.
Fib 61.8
921.68
Fib Zone
916.09 - 927.27
Swing Low
856.78
Swing High
1026.68
Save setup
Click chart to open full size</t>
        </is>
      </c>
      <c r="P281" t="inlineStr">
        <is>
          <t>agent_results/charts/market_lens_agent_20260608_160733_ph.png</t>
        </is>
      </c>
      <c r="Q281" t="inlineStr">
        <is>
          <t>Smart Universe: broad liquid US universe, diversified by sector | Sector: Industrials - Neutral (67/100); XLI sector regime is neutral: 2.7% 3m return, -7.2% vs SPY | Setup: Breakout + Retest; score 0.41; R/R 1.44x; price 887.86 | Market: NEUTRAL; Sector regime: NEUTRAL; Net R/R: 1.28; Factors: Industrials | Agent action: WATCH - WATCH: Technical setup detected, but weighted risk/reward 1.44 is below minimum 2.00. Market regime NEUTRAL; sector NEUTRAL; net R/R 1.28.</t>
        </is>
      </c>
      <c r="R281"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3.0187, "estimated_spread": 0.2664, "executable_entry": 887.86, "execution_liquidity_bucket": "large_liquid", "factor_exposure_after": {"Energy": 13019.8}, "factor_exposure_before": {"Energy": 13019.8}, "factor_exposure_cap": 7000.0, "factor_exposure_limit_exceeded": false, "factor_tags": ["Industrials"], "final_action": "WATCH", "gross_reward_1_per_share": 17.1, "gross_reward_2_per_share": 138.82, "gross_risk_per_share": 41.4, "gross_rr": 1.4421, "gross_rr_1": 0.413, "gross_rr_2": 3.3531, "gross_rr_decision": 1.4421, "highest_correlation_ticker": "XOM", "highest_correlation_value": -0.3402, "initial_action": "WATCH", "market_cap": 111901670237.5,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889.5025, "net_reward_1_per_share": 14.5696, "net_reward_2_per_share": 136.2896, "net_risk_per_share": 44.6851, "net_rr": 1.2794, "net_rr_1": 0.3261, "net_rr_2": 3.05, "net_stop_assumption": 844.8175, "net_target_1_assumption": 904.0721, "net_target_2_assumption": 1025.7921, "normalized_atr_score": 100.0, "normalized_liquidity_score": 56.11, "normalized_momentum_score": 31.08, "normalized_quality_score": 55.82,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898.98, "price": 887.86, "prior_high_20": 898.98, "prior_high_63": 1026.6794, "reason": "WATCH: Technical setup detected, but weighted risk/reward 1.44 is below minimum 2.00. Market regime NEUTRAL; sector NEUTRAL; net R/R 1.28.",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66.59, "setup_score": 0.41, "setup_type": "Breakout + Retest", "sizing_adjustment_reason": "", "spread_source": "liquidity_fallback", "stock_score": 0.41, "stop_loss": 846.46, "target_1": 904.96, "target_1_atr_distance": 0.7647, "target_2": 1026.68, "target_2_atr_distance": 6.2083, "target_feasibility_status": "OK", "theoretical_entry": 857.64, "ticker": "PH", "timestamp": "2026-06-08T16:10:57", "warnings": []}</t>
        </is>
      </c>
    </row>
    <row r="282">
      <c r="A282" t="inlineStr">
        <is>
          <t>2026-06-08T16:10:57</t>
        </is>
      </c>
      <c r="B282" t="inlineStr">
        <is>
          <t>TMO</t>
        </is>
      </c>
      <c r="C282" t="inlineStr">
        <is>
          <t>Breakout + Retest</t>
        </is>
      </c>
      <c r="D282" t="n">
        <v>0.41</v>
      </c>
      <c r="E282" t="n">
        <v>471.1</v>
      </c>
      <c r="F282" t="n">
        <v>467.55</v>
      </c>
      <c r="G282" t="n">
        <v>481.83</v>
      </c>
      <c r="H282" t="n">
        <v>460.41</v>
      </c>
      <c r="I282" t="n">
        <v>481.83</v>
      </c>
      <c r="J282" t="n">
        <v>528.33</v>
      </c>
      <c r="K282" t="n">
        <v>2.53</v>
      </c>
      <c r="L282" t="inlineStr">
        <is>
          <t>Price (471.10) retesting broken resistance (481.83) as support. Breakout on 2026-05-28 with 1.8× avg volume. Volume confirmed breakout. Entry at 471.10, stop at 460.41.</t>
        </is>
      </c>
      <c r="M282" t="inlineStr">
        <is>
          <t>WATCH</t>
        </is>
      </c>
      <c r="N282" t="inlineStr">
        <is>
          <t>WATCH: Neutral market requires stronger setup score (0.41 &lt; 0.45).</t>
        </is>
      </c>
      <c r="O282" t="inlineStr">
        <is>
          <t>TMO
Breakout + Retest
0.41
score
Price
471.10
R/R
2.53x
Grade
B
Quality
74%
Buy Zone
467.55 - 481.83
Stop
460.41
Targets
481.83 / 528.33
Tradable if trigger confirms
Mixed
Relative Strength
Leadership
100%
Trend Quality
Messy
28%
Liquidity
Institutional liquidity
100%
Volume
Confirmed
80%
Trigger
Close above 486.79 or reclaim of broken resistance.
Invalidation
Exit if price closes below 460.41 or setup support fails.
Trend quality is not clean.
Market regime: Mixed.
Relative strength: Leadership.
Price (471.10) retesting broken resistance (481.83) as support. Breakout on 2026-05-28 with 1.8× avg volume. Volume confirmed breakout. Entry at 471.10, stop at 460.41.
Fib 61.8
459.61
Fib Zone
456.05 - 463.18
Swing Low
435.27
Swing High
499.00
Save setup
Click chart to open full size</t>
        </is>
      </c>
      <c r="P282" t="inlineStr">
        <is>
          <t>agent_results/charts/market_lens_agent_20260608_160733_tmo.png</t>
        </is>
      </c>
      <c r="Q282" t="inlineStr">
        <is>
          <t>Smart Universe: broad liquid US universe, diversified by sector | Sector: Healthcare - Neutral (66/100); XLV sector regime is neutral: 0.3% 3m return, -9.6% vs SPY | Setup: Breakout + Retest; score 0.41; R/R 2.53x; price 471.10 | Market: NEUTRAL; Sector regime: NEUTRAL; Net R/R: 2.06; Factors: Defensive, Healthcare | Agent action: WATCH - WATCH: Neutral market requires stronger setup score (0.41 &lt; 0.45).</t>
        </is>
      </c>
      <c r="R282" t="inlineStr">
        <is>
          <t>{"adjusted_cash_out": 5653.2, "adjusted_position_size": 12, "adjusted_risk_amount": 128.28, "ask": 0.0, "bid": 0.0, "buy_zone_high": 481.83, "buy_zone_low": 467.55, "cash_available": 87010.85, "company_name": "Thermo Fisher Scientific Inc.", "correlation_warning": false, "days_to_earnings": 32, "earnings_blackout": false, "earnings_date": "2026-07-22T00:00:00", "estimated_fees": 0.0, "estimated_slippage": 1.6017, "estimated_spread": 0.1413, "executable_entry": 471.1, "execution_liquidity_bucket": "large_liquid", "factor_exposure_after": {"Defensive": 5653.2, "Energy": 13019.8, "Healthcare": 5653.2}, "factor_exposure_before": {"Energy": 13019.8}, "factor_exposure_cap": 7000.0, "factor_exposure_limit_exceeded": false, "factor_tags": ["Defensive", "Healthcare"], "final_action": "WATCH", "gross_reward_1_per_share": 10.73, "gross_reward_2_per_share": 57.23, "gross_risk_per_share": 10.69, "gross_rr": 2.5262, "gross_rr_1": 1.0037, "gross_rr_2": 5.3536, "gross_rr_decision": 2.5262, "highest_correlation_ticker": "APA", "highest_correlation_value": -0.1855, "initial_action": "BUY_SIMULATED", "market_cap": 175171208142.49,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471.9715, "net_reward_1_per_share": 9.3874, "net_reward_2_per_share": 55.8874, "net_risk_per_share": 12.4331, "net_rr": 2.064, "net_rr_1": 0.755, "net_rr_2": 4.4951, "net_stop_assumption": 459.5385, "net_target_1_assumption": 481.3589, "net_target_2_assumption": 527.8589, "normalized_atr_score": 100.0, "normalized_liquidity_score": 70.97, "normalized_momentum_score": 34.12, "normalized_quality_score": 61.64, "original_cash_out": 9893.1, "original_position_size": 21, "original_risk_amount": 224.49, "portfolio_exposure_after": 13033.95, "portfolio_exposure_before": 13033.95, "position_size": 0, "position_size_adjusted": true, "position_sizing_explanation": "Base position sizing produced a candidate trade, but the risk transparency layer blocked the new buy. Candidate size: 12 shares, cash 5653.20, risk 128.28.", "previous_resistance": 499.0, "price": 471.1, "prior_high_20": 499.0, "prior_high_63": 538.41, "reason": "WATCH: Neutral market requires stronger setup score (0.41 &lt; 0.45).", "risk_amount": 0.0, "scan_source": "Smart Universe: broad liquid US universe filtered and diversified by the Market Lens UI.", "sector": "Healthcare", "sector_etf": "XLV", "sector_exposure_after": 5653.2, "sector_exposure_before": 0.0, "sector_exposure_cap": 6000.0, "sector_exposure_limit_exceeded": false, "sector_regime": "NEUTRAL", "sector_score": 66.03, "setup_score": 0.41, "setup_type": "Breakout + Retest", "sizing_adjustment_reason": "Position size reduced by Healthcare sector exposure cap (21 -&gt; 12 shares).", "spread_source": "liquidity_fallback", "stock_score": 0.41, "stop_loss": 460.41, "target_1": 481.83, "target_1_atr_distance": 0.7511, "target_2": 528.33, "target_2_atr_distance": 4.0061, "target_feasibility_status": "OK", "theoretical_entry": 467.55, "ticker": "TMO", "timestamp": "2026-06-08T16:10:57", "warnings": ["Position size reduced by Healthcare sector exposure cap (21 -&gt; 12 shares).", "Gross R/R is valid, but Net R/R 2.06 failed minimum 2.50 after slippage/spread adjustment."]}</t>
        </is>
      </c>
    </row>
    <row r="283">
      <c r="A283" t="inlineStr">
        <is>
          <t>2026-06-08T16:10:57</t>
        </is>
      </c>
      <c r="B283" t="inlineStr">
        <is>
          <t>INTC</t>
        </is>
      </c>
      <c r="C283" t="inlineStr">
        <is>
          <t>Fib 61.8 Confluence Buy Zone</t>
        </is>
      </c>
      <c r="D283" t="n">
        <v>0.39</v>
      </c>
      <c r="E283" t="n">
        <v>111.9</v>
      </c>
      <c r="F283" t="n">
        <v>109.46</v>
      </c>
      <c r="G283" t="n">
        <v>113.86</v>
      </c>
      <c r="H283" t="n">
        <v>106.71</v>
      </c>
      <c r="I283" t="n">
        <v>114.52</v>
      </c>
      <c r="J283" t="n">
        <v>126.64</v>
      </c>
      <c r="K283" t="n">
        <v>1.32</v>
      </c>
      <c r="L283" t="inlineStr">
        <is>
          <t>Price at 61.8% fib retracement (111.66) with confluence at POC, VWAP. Planned entry at zone low 109.46; executable entry 111.90, stop below fib 78.6% at 106.71. Structural confluence: swing low at 40.63 aligns with VAL (42.49).</t>
        </is>
      </c>
      <c r="M283" t="inlineStr">
        <is>
          <t>WATCH</t>
        </is>
      </c>
      <c r="N283" t="inlineStr">
        <is>
          <t>WATCH: Technical setup detected, but weighted risk/reward 1.32 is below minimum 2.00. Market regime NEUTRAL; sector STRONG; net R/R 1.24.</t>
        </is>
      </c>
      <c r="O283" t="inlineStr">
        <is>
          <t>INTC
Fib 61.8 Confluence Buy Zone
0.39
score
Price
111.90
R/R
1.32x
Grade
C
Quality
55%
Buy Zone
109.46 - 113.86
Stop
106.71
Targets
114.52 / 126.64
Watch only; needs confirmation
Mixed
Relative Strength
In line
56%
Trend Quality
Constructive
68%
Liquidity
Institutional liquidity
100%
Volume
Distribution risk
30%
Trigger
Break above prior-day high at 111.90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111.90, stop below fib 78.6% at 106.71. Structural confluence: swing low at 40.63 aligns with VAL (42.49).
Fib 61.8
111.66
Fib Zone
109.46 - 113.86
Swing Low
102.40
Swing High
126.64
Save setup
Click chart to open full size</t>
        </is>
      </c>
      <c r="P283" t="inlineStr">
        <is>
          <t>agent_results/charts/market_lens_agent_20260608_160733_intc.png</t>
        </is>
      </c>
      <c r="Q283" t="inlineStr">
        <is>
          <t>Smart Universe: broad liquid US universe, diversified by sector | Sector: Technology - Strong (98/100); XLK sector regime is strong: 32.9% 3m return, 23.0% vs SPY | Setup: Fib 61.8 Confluence Buy Zone; score 0.39; R/R 1.32x; price 111.90 | Market: NEUTRAL; Sector regime: STRONG; Net R/R: 1.24; Factors: AI / Semiconductors, Technology | Agent action: WATCH - WATCH: Technical setup detected, but weighted risk/reward 1.32 is below minimum 2.00. Market regime NEUTRAL; sector STRONG; net R/R 1.24.</t>
        </is>
      </c>
      <c r="R283"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0.1802, "estimated_spread": 0.0336, "executable_entry": 111.9, "execution_liquidity_bucket": "large_liquid", "factor_exposure_after": {"Energy": 13019.8}, "factor_exposure_before": {"Energy": 13019.8}, "factor_exposure_cap": 7000.0, "factor_exposure_limit_exceeded": false, "factor_tags": ["AI / Semiconductors", "Technology"], "final_action": "WATCH", "gross_reward_1_per_share": 2.62, "gross_reward_2_per_share": 14.74, "gross_risk_per_share": 5.19, "gross_rr": 1.3222, "gross_rr_1": 0.5048, "gross_rr_2": 2.8401, "gross_rr_decision": 1.3222, "highest_correlation_ticker": "APA", "highest_correlation_value": -0.1862, "initial_action": "WATCH", "market_cap": 561252912307.74,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112.0069, "net_reward_1_per_share": 2.4513, "net_reward_2_per_share": 14.5713, "net_risk_per_share": 5.4037, "net_rr": 1.2386, "net_rr_1": 0.4536, "net_rr_2": 2.6965, "net_stop_assumption": 106.6031, "net_target_1_assumption": 114.4582, "net_target_2_assumption": 126.5782, "normalized_atr_score": 67.97, "normalized_liquidity_score": 100, "normalized_momentum_score": 100, "normalized_quality_score": 91.99,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132.75, "price": 111.9, "prior_high_20": 132.75, "prior_high_63": 132.75, "reason": "WATCH: Technical setup detected, but weighted risk/reward 1.32 is below minimum 2.00. Market regime NEUTRAL; sector STRONG; net R/R 1.24.",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0.39, "setup_type": "Fib 61.8 Confluence Buy Zone", "sizing_adjustment_reason": "", "spread_source": "liquidity_fallback", "stock_score": 0.39, "stop_loss": 106.71, "target_1": 114.52, "target_1_atr_distance": 0.298, "target_2": 126.64, "target_2_atr_distance": 1.6763, "target_feasibility_status": "LOW_REWARD_DISTANCE", "theoretical_entry": 109.46, "ticker": "INTC", "timestamp": "2026-06-08T16:10:57", "warnings": ["Target 1 is close versus daily ATR."]}</t>
        </is>
      </c>
    </row>
    <row r="284">
      <c r="A284" t="inlineStr">
        <is>
          <t>2026-06-08T16:10:57</t>
        </is>
      </c>
      <c r="B284" t="inlineStr">
        <is>
          <t>QCOM</t>
        </is>
      </c>
      <c r="C284" t="inlineStr">
        <is>
          <t>Fib 61.8 Confluence Buy Zone</t>
        </is>
      </c>
      <c r="D284" t="n">
        <v>0.34</v>
      </c>
      <c r="E284" t="n">
        <v>219.12</v>
      </c>
      <c r="F284" t="n">
        <v>212.25</v>
      </c>
      <c r="G284" t="n">
        <v>220.83</v>
      </c>
      <c r="H284" t="n">
        <v>203.29</v>
      </c>
      <c r="I284" t="n">
        <v>224.64</v>
      </c>
      <c r="J284" t="n">
        <v>258.96</v>
      </c>
      <c r="K284" t="n">
        <v>1.11</v>
      </c>
      <c r="L284" t="inlineStr">
        <is>
          <t>Price at 61.8% fib retracement (216.54) with confluence at VWAP. Planned entry at zone low 212.25; executable entry 219.12, stop below fib 78.6% at 203.29. Structural confluence: swing low at 121.54 aligns with VAL (125.53).</t>
        </is>
      </c>
      <c r="M284" t="inlineStr">
        <is>
          <t>WATCH</t>
        </is>
      </c>
      <c r="N284" t="inlineStr">
        <is>
          <t>WATCH: Technical setup detected, but weighted risk/reward 1.11 is below minimum 2.00. Market regime NEUTRAL; sector STRONG; net R/R 1.06.</t>
        </is>
      </c>
      <c r="O284" t="inlineStr">
        <is>
          <t>QCOM
Fib 61.8 Confluence Buy Zone
0.34
score
Price
219.12
R/R
1.11x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219.12, stop below fib 78.6% at 203.29. Structural confluence: swing low at 121.54 aligns with VAL (125.53).
Fib 61.8
216.54
Fib Zone
212.25 - 220.83
Swing Low
190.32
Swing High
258.96
Save setup
Click chart to open full size</t>
        </is>
      </c>
      <c r="P284" t="inlineStr">
        <is>
          <t>agent_results/charts/market_lens_agent_20260608_160733_qcom.png</t>
        </is>
      </c>
      <c r="Q284" t="inlineStr">
        <is>
          <t>Smart Universe: broad liquid US universe, diversified by sector | Sector: Technology - Strong (98/100); XLK sector regime is strong: 32.9% 3m return, 23.0% vs SPY | Setup: Fib 61.8 Confluence Buy Zone; score 0.34; R/R 1.11x; price 219.12 | Market: NEUTRAL; Sector regime: STRONG; Net R/R: 1.06; Factors: AI / Semiconductors, Technology | Agent action: WATCH - WATCH: Technical setup detected, but weighted risk/reward 1.11 is below minimum 2.00. Market regime NEUTRAL; sector STRONG; net R/R 1.06.</t>
        </is>
      </c>
      <c r="R284"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0.3528, "estimated_spread": 0.0657, "executable_entry": 219.12, "execution_liquidity_bucket": "large_liquid", "factor_exposure_after": {"Energy": 13019.8}, "factor_exposure_before": {"Energy": 13019.8}, "factor_exposure_cap": 7000.0, "factor_exposure_limit_exceeded": false, "factor_tags": ["AI / Semiconductors", "Technology"], "final_action": "WATCH", "gross_reward_1_per_share": 5.52, "gross_reward_2_per_share": 39.84, "gross_risk_per_share": 15.83, "gross_rr": 1.1075, "gross_rr_1": 0.3487, "gross_rr_2": 2.5167, "gross_rr_decision": 1.1075, "highest_correlation_ticker": "APA", "highest_correlation_value": -0.1163, "initial_action": "WATCH", "market_cap": 230883962280.27, "market_cap_bucket": "Mega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219.3293, "net_reward_1_per_share": 5.1897, "net_reward_2_per_share": 39.5097, "net_risk_per_share": 16.2485, "net_rr": 1.0587, "net_rr_1": 0.3194, "net_rr_2": 2.4316, "net_stop_assumption": 203.0807, "net_target_1_assumption": 224.5189, "net_target_2_assumption": 258.8389, "normalized_atr_score": 68.48, "normalized_liquidity_score": 80.98, "normalized_momentum_score": 100, "normalized_quality_score": 86.41,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258.9635, "price": 219.12, "prior_high_20": 258.9635, "prior_high_63": 258.9635, "reason": "WATCH: Technical setup detected, but weighted risk/reward 1.11 is below minimum 2.00. Market regime NEUTRAL; sector STRONG; net R/R 1.06.",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97.88, "setup_score": 0.34, "setup_type": "Fib 61.8 Confluence Buy Zone", "sizing_adjustment_reason": "", "spread_source": "liquidity_fallback", "stock_score": 0.34, "stop_loss": 203.29, "target_1": 224.64, "target_1_atr_distance": 0.322, "target_2": 258.96, "target_2_atr_distance": 2.3239, "target_feasibility_status": "LOW_REWARD_DISTANCE", "theoretical_entry": 212.25, "ticker": "QCOM", "timestamp": "2026-06-08T16:10:57", "warnings": ["Target 1 is close versus daily ATR."]}</t>
        </is>
      </c>
    </row>
    <row r="285">
      <c r="A285" t="inlineStr">
        <is>
          <t>2026-06-08T16:10:57</t>
        </is>
      </c>
      <c r="B285" t="inlineStr">
        <is>
          <t>LNG</t>
        </is>
      </c>
      <c r="C285" t="inlineStr">
        <is>
          <t>Swing Low + Volume Support Buy Zone</t>
        </is>
      </c>
      <c r="D285" t="n">
        <v>0.27</v>
      </c>
      <c r="E285" t="n">
        <v>236.29</v>
      </c>
      <c r="F285" t="n">
        <v>233.3</v>
      </c>
      <c r="G285" t="n">
        <v>239.04</v>
      </c>
      <c r="H285" t="n">
        <v>224.71</v>
      </c>
      <c r="I285" t="n">
        <v>238.31</v>
      </c>
      <c r="J285" t="n">
        <v>296.84</v>
      </c>
      <c r="K285" t="n">
        <v>1.94</v>
      </c>
      <c r="L285" t="inlineStr">
        <is>
          <t>Price is pulling into a recent swing-low support (235.45) that overlaps with a high-volume area (VAL at 236.23), creating structural + volume confluence. Liquidity sweep below swing low detected — wick and reclaim. Stop below 224.71.</t>
        </is>
      </c>
      <c r="M285" t="inlineStr">
        <is>
          <t>WATCH</t>
        </is>
      </c>
      <c r="N285" t="inlineStr">
        <is>
          <t>WATCH: Technical setup detected, but weighted risk/reward 1.94 is below minimum 2.00. Market regime NEUTRAL; sector STRONG; net R/R 1.75.</t>
        </is>
      </c>
      <c r="O285" t="inlineStr">
        <is>
          <t>LNG
Swing Low + Volume Support Buy Zone
0.27
score
Price
236.29
R/R
1.94x
Grade
C
Quality
55%
Buy Zone
233.30 - 239.04
Stop
224.71
Targets
238.31 / 296.84
Watch only; needs confirmation
Mixed
Relative Strength
In line
56%
Trend Quality
Messy
0%
Liquidity
Institutional liquidity
100%
Volume
Neutral
65%
Trigger
Break above prior-day high at 241.10 after holding buy zone.
Invalidation
Exit if price closes below 224.71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224.71.
Fib 61.8
241.67
Fib Zone
239.88 - 243.46
Swing Low
235.45
Swing High
251.73
Save setup
Click chart to open full size</t>
        </is>
      </c>
      <c r="P285" t="inlineStr">
        <is>
          <t>agent_results/charts/market_lens_agent_20260608_160733_lng.png</t>
        </is>
      </c>
      <c r="Q285" t="inlineStr">
        <is>
          <t>Smart Universe: broad liquid US universe, diversified by sector | Sector: Energy - Strong (71/100); XLE sector regime is strong: 5.6% 3m return, -4.4% vs SPY | Setup: Swing Low + Volume Support Buy Zone; score 0.27; R/R 1.94x; price 236.29 | Market: NEUTRAL; Sector regime: STRONG; Net R/R: 1.75; Factors: Energy | Agent action: WATCH - WATCH: Technical setup detected, but weighted risk/reward 1.94 is below minimum 2.00. Market regime NEUTRAL; sector STRONG; net R/R 1.75.</t>
        </is>
      </c>
      <c r="R285"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0.7089, "estimated_spread": 0.189, "executable_entry": 236.29, "execution_liquidity_bucket": "mid_liquid", "factor_exposure_after": {"Energy": 13019.8}, "factor_exposure_before": {"Energy": 13019.8}, "factor_exposure_cap": 7000.0, "factor_exposure_limit_exceeded": false, "factor_tags": ["Energy"], "final_action": "WATCH", "gross_reward_1_per_share": 2.02, "gross_reward_2_per_share": 60.55, "gross_risk_per_share": 11.58, "gross_rr": 1.9435, "gross_rr_1": 0.1744, "gross_rr_2": 5.2288, "gross_rr_decision": 1.9435, "highest_correlation_ticker": "APA", "highest_correlation_value": 0.6645, "initial_action": "WATCH", "market_cap": 49545395398.98,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2.2, "net_entry": 236.739, "net_reward_1_per_share": 1.2993, "net_reward_2_per_share": 59.8293, "net_risk_per_share": 12.4779, "net_rr": 1.7459, "net_rr_1": 0.1041, "net_rr_2": 4.7948, "net_stop_assumption": 224.261, "net_target_1_assumption": 238.0383, "net_target_2_assumption": 296.5683, "normalized_atr_score": 100.0, "normalized_liquidity_score": 47.71, "normalized_momentum_score": 36.49, "normalized_quality_score": 55.73,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251.73, "price": 236.29, "prior_high_20": 251.73, "prior_high_63": 300.1945, "reason": "WATCH: Technical setup detected, but weighted risk/reward 1.94 is below minimum 2.00. Market regime NEUTRAL; sector STRONG; net R/R 1.75.",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0.27, "setup_type": "Swing Low + Volume Support Buy Zone", "sizing_adjustment_reason": "", "spread_source": "liquidity_fallback", "stock_score": 0.27, "stop_loss": 224.71, "target_1": 238.31, "target_1_atr_distance": 0.2817, "target_2": 296.84, "target_2_atr_distance": 8.4447, "target_feasibility_status": "LOW_REWARD_DISTANCE", "theoretical_entry": 233.3, "ticker": "LNG", "timestamp": "2026-06-08T16:10:57", "warnings": ["Target 1 is close versus daily ATR."]}</t>
        </is>
      </c>
    </row>
    <row r="286">
      <c r="A286" t="inlineStr">
        <is>
          <t>2026-06-08T16:10:57</t>
        </is>
      </c>
      <c r="B286" t="inlineStr">
        <is>
          <t>DLR</t>
        </is>
      </c>
      <c r="C286" t="inlineStr">
        <is>
          <t>Breakout + Retest</t>
        </is>
      </c>
      <c r="D286" t="n">
        <v>0.22</v>
      </c>
      <c r="E286" t="n">
        <v>183.93</v>
      </c>
      <c r="F286" t="n">
        <v>178.84</v>
      </c>
      <c r="G286" t="n">
        <v>182.95</v>
      </c>
      <c r="H286" t="n">
        <v>176.79</v>
      </c>
      <c r="I286" t="n">
        <v>187.42</v>
      </c>
      <c r="J286" t="n">
        <v>201.34</v>
      </c>
      <c r="K286" t="n">
        <v>1.17</v>
      </c>
      <c r="L286" t="inlineStr">
        <is>
          <t>Price (183.93) retesting broken resistance (182.95) as support. Breakout on 2026-04-08 with 2.2× avg volume. Volume confirmed breakout. Entry at 183.93, stop at 176.79.</t>
        </is>
      </c>
      <c r="M286" t="inlineStr">
        <is>
          <t>WATCH</t>
        </is>
      </c>
      <c r="N286" t="inlineStr">
        <is>
          <t>WATCH: Technical setup detected, but weighted risk/reward 1.17 is below minimum 2.00. Market regime NEUTRAL; sector NEUTRAL; net R/R 0.92.</t>
        </is>
      </c>
      <c r="O286" t="inlineStr">
        <is>
          <t>DLR
Breakout + Retest
0.22
score
Price
183.93
R/R
1.17x
Grade
D
Quality
50%
Buy Zone
178.84 - 182.95
Stop
176.79
Targets
187.42 / 201.34
Low-quality setup
Mixed
Relative Strength
In line
56%
Trend Quality
Messy
0%
Liquidity
Institutional liquidity
100%
Volume
Distribution risk
45%
Trigger
Close above 188.85 or reclaim of broken resistance.
Invalidation
Exit if price closes below 176.79 or setup support fails.
Trend quality is not clean.
Recent volume shows distribution risk.
Market regime: Mixed.
Relative strength: In line.
Price (183.93) retesting broken resistance (182.95) as support. Breakout on 2026-04-08 with 2.2× avg volume. Volume confirmed breakout. Entry at 183.93, stop at 176.79.
Fib 61.8
188.75
Fib Zone
187.72 - 189.77
Swing Low
184.95
Swing High
194.89
Save setup
Click chart to open full size</t>
        </is>
      </c>
      <c r="P286" t="inlineStr">
        <is>
          <t>agent_results/charts/market_lens_agent_20260608_160733_dlr.png</t>
        </is>
      </c>
      <c r="Q286" t="inlineStr">
        <is>
          <t>Smart Universe: broad liquid US universe, diversified by sector | Sector: Real Estate - Neutral (67/100); XLRE sector regime is neutral: 3.7% 3m return, -6.3% vs SPY | Setup: Breakout + Retest; score 0.22; R/R 1.17x; price 183.93 | Market: NEUTRAL; Sector regime: NEUTRAL; Net R/R: 0.92; Factors: Real Estate | Agent action: WATCH - WATCH: Technical setup detected, but weighted risk/reward 1.17 is below minimum 2.00. Market regime NEUTRAL; sector NEUTRAL; net R/R 0.92.</t>
        </is>
      </c>
      <c r="R286" t="inlineStr">
        <is>
          <t>{"adjusted_cash_out": 0.0, "adjusted_position_size": 0, "adjusted_risk_amount": 0.0, "ask": 0.0, "bid": 0.0, "buy_zone_high": 182.95, "buy_zone_low": 178.84, "cash_available": 87010.85, "company_name": "Digital Realty", "correlation_warning": false, "days_to_earnings": 33, "earnings_blackout": false, "earnings_date": "2026-07-23T00:00:00", "estimated_fees": 0.0, "estimated_slippage": 0.9197, "estimated_spread": 0.1471, "executable_entry": 183.93, "execution_liquidity_bucket": "mid_liquid", "factor_exposure_after": {"Energy": 13019.8}, "factor_exposure_before": {"Energy": 13019.8}, "factor_exposure_cap": 7000.0, "factor_exposure_limit_exceeded": false, "factor_tags": ["Real Estate"], "final_action": "WATCH", "gross_reward_1_per_share": 3.49, "gross_reward_2_per_share": 17.41, "gross_risk_per_share": 7.14, "gross_rr": 1.1711, "gross_rr_1": 0.4888, "gross_rr_2": 2.4384, "gross_rr_decision": 1.1711, "highest_correlation_ticker": "XOM", "highest_correlation_value": -0.2643, "initial_action": "WATCH", "market_cap": 64563835739.73,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"SUPPORTED_BY_20D_RESISTANCE", "minimum_net_rr_required": 2.5, "net_entry": 184.4634, "net_reward_1_per_share": 2.6531, "net_reward_2_per_share": 16.5731, "net_risk_per_share": 8.2068, "net_rr": 0.9169, "net_rr_1": 0.3233, "net_rr_2": 2.0194, "net_stop_assumption": 176.2566, "net_target_1_assumption": 187.1165, "net_target_2_assumption": 201.0365, "normalized_atr_score": 100.0, "normalized_liquidity_score": 40.05, "normalized_momentum_score": 47.8, "normalized_quality_score": 58.52,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197.54, "price": 183.93, "prior_high_20": 197.54, "prior_high_63": 208.14, "reason": "WATCH: Technical setup detected, but weighted risk/reward 1.17 is below minimum 2.00. Market regime NEUTRAL; sector NEUTRAL; net R/R 0.92.",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0.22, "setup_type": "Breakout + Retest", "sizing_adjustment_reason": "", "spread_source": "liquidity_fallback", "stock_score": 0.22, "stop_loss": 176.79, "target_1": 187.42, "target_1_atr_distance": 0.8474, "target_2": 201.34, "target_2_atr_distance": 4.2274, "target_feasibility_status": "OK", "theoretical_entry": 178.84, "ticker": "DLR", "timestamp": "2026-06-08T16:10:57", "warnings": []}</t>
        </is>
      </c>
    </row>
    <row r="287">
      <c r="A287" t="inlineStr">
        <is>
          <t>2026-06-08T16:10:57</t>
        </is>
      </c>
      <c r="B287" t="inlineStr">
        <is>
          <t>AMH</t>
        </is>
      </c>
      <c r="C287" t="inlineStr">
        <is>
          <t>No Trade</t>
        </is>
      </c>
      <c r="D287" t="n">
        <v>0</v>
      </c>
      <c r="E287" t="n">
        <v>32.84</v>
      </c>
      <c r="H287" t="n">
        <v>0</v>
      </c>
      <c r="K287" t="n">
        <v>0</v>
      </c>
      <c r="L287" t="inlineStr">
        <is>
          <t>No clean technical setup detected. Price in middle of value area or poor risk/reward.</t>
        </is>
      </c>
      <c r="M287" t="inlineStr">
        <is>
          <t>SKIP</t>
        </is>
      </c>
      <c r="N287" t="inlineStr">
        <is>
          <t>SKIP: No Trade result. Market regime NEUTRAL; sector NEUTRAL; net R/R 0.00.</t>
        </is>
      </c>
      <c r="O287" t="inlineStr">
        <is>
          <t>AMH
No Trade
0.00
score
Price
32.84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28.73
Fib Zone
28.58 - 28.89
Swing Low
27.22
Swing High
31.18
Click chart to open full size</t>
        </is>
      </c>
      <c r="P287" t="inlineStr">
        <is>
          <t>agent_results/charts/market_lens_agent_20260608_160733_amh.png</t>
        </is>
      </c>
      <c r="Q287" t="inlineStr">
        <is>
          <t>Smart Universe: broad liquid US universe, diversified by sector | Sector: Real Estate - Neutral (67/100); XLRE sector regime is neutral: 3.7% 3m return, -6.3% vs SPY | Setup: No Trade; score 0.00; R/R 0.00x; price 32.84 | Market: NEUTRAL; Sector regime: NEUTRAL; Net R/R: 0.00; Factors: Real Estate | Agent action: SKIP - SKIP: No Trade result. Market regime NEUTRAL; sector NEUTRAL; net R/R 0.00.</t>
        </is>
      </c>
      <c r="R287" t="inlineStr">
        <is>
          <t>{"adjusted_cash_out": 0.0, "adjusted_position_size": 0, "adjusted_risk_amount": 0.0, "ask": 0.0, "bid": 0.0, "buy_zone_high": null, "buy_zone_low": null, "cash_available": 87010.85, "company_name": "American Homes 4 Rent Common Shares of Beneficial Interest", "correlation_warning": false, "days_to_earnings": 38, "earnings_blackout": false, "earnings_date": "2026-07-30T00:00:00", "estimated_fees": 0.0, "estimated_slippage": 0.0985, "estimated_spread": 0.0263, "executable_entry": 32.84, "execution_liquidity_bucket": "mid_liquid", "factor_exposure_after": {"Energy": 13019.8}, "factor_exposure_before": {"Energy": 13019.8}, "factor_exposure_cap": 7000.0, "factor_exposure_limit_exceeded": false, "factor_tags": ["Real Estate"], "final_action": "SKIP", "gross_reward_1_per_share": 0.0, "gross_reward_2_per_share": 0.0, "gross_risk_per_share": 32.84, "gross_rr": 0.0, "gross_rr_1": 0.0, "gross_rr_2": 0.0, "gross_rr_decision": 0.0, "highest_correlation_ticker": "XOM", "highest_correlation_value": -0.1019, "initial_action": "SKIP", "market_cap": 11843762659.42,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2.5, "net_entry": 32.9024, "net_reward_1_per_share": 0.0, "net_reward_2_per_share": 0.0, "net_risk_per_share": 32.9648, "net_rr": 0.0, "net_rr_1": 0.0, "net_rr_2": 0.0, "net_stop_assumption": -0.0624, "net_target_1_assumption": -0.0378, "net_target_2_assumption": -0.0378, "normalized_atr_score": 100.0, "normalized_liquidity_score": 16.96, "normalized_momentum_score": 94.27, "normalized_quality_score": 72.51,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32.84, "prior_high_20": 0.0, "prior_high_63": 0.0, "reason": "SKIP: No Trade result. Market regime NEUTRAL; sector NEUTRAL;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67.27, "setup_score": 0.0, "setup_type": "No Trade", "sizing_adjustment_reason": "", "spread_source": "liquidity_fallback", "stock_score": 0.0, "stop_loss": 0.0, "target_1": null, "target_1_atr_distance": 0.0, "target_2": null, "target_2_atr_distance": 0.0, "target_feasibility_status": "UNKNOWN", "theoretical_entry": 32.84, "ticker": "AMH", "timestamp": "2026-06-08T16:10:57", "warnings": ["Target ATR feasibility unavailable."]}</t>
        </is>
      </c>
    </row>
    <row r="288">
      <c r="A288" t="inlineStr">
        <is>
          <t>2026-06-08T16:10:57</t>
        </is>
      </c>
      <c r="B288" t="inlineStr">
        <is>
          <t>EQT</t>
        </is>
      </c>
      <c r="C288" t="inlineStr">
        <is>
          <t>No Trade</t>
        </is>
      </c>
      <c r="D288" t="n">
        <v>0</v>
      </c>
      <c r="E288" t="n">
        <v>53.46</v>
      </c>
      <c r="H288" t="n">
        <v>0</v>
      </c>
      <c r="K288" t="n">
        <v>0</v>
      </c>
      <c r="L288" t="inlineStr">
        <is>
          <t>No clean technical setup detected. Price in middle of value area or poor risk/reward.</t>
        </is>
      </c>
      <c r="M288" t="inlineStr">
        <is>
          <t>SKIP</t>
        </is>
      </c>
      <c r="N288" t="inlineStr">
        <is>
          <t>SKIP: No Trade result. Market regime NEUTRAL; sector STRONG; net R/R 0.00.</t>
        </is>
      </c>
      <c r="O288" t="inlineStr">
        <is>
          <t>EQT
No Trade
0.00
score
Price
53.46
R/R
0.00x
Grade
No Trade
Quality
0%
Buy Zone
-
Stop
0.00
Targets
-
Skip
Mixed
Relative Strength
In line
56%
Trend Quality
Messy
0%
Liquidity
Institutional liquidity
100%
Volume
Distribution risk
45%
No actionable setup detected.
No clean technical setup detected. Price in middle of value area or poor risk/reward.
Fib 61.8
56.90
Fib Zone
56.56 - 57.24
Swing Low
55.11
Swing High
59.80
Click chart to open full size</t>
        </is>
      </c>
      <c r="P288" t="inlineStr">
        <is>
          <t>agent_results/charts/market_lens_agent_20260608_160733_eqt.png</t>
        </is>
      </c>
      <c r="Q288" t="inlineStr">
        <is>
          <t>Smart Universe: broad liquid US universe, diversified by sector | Sector: Energy - Strong (71/100); XLE sector regime is strong: 5.6% 3m return, -4.4% vs SPY | Setup: No Trade; score 0.00; R/R 0.00x; price 53.46 | Market: NEUTRAL; Sector regime: STRONG; Net R/R: 0.00; Factors: Energy | Agent action: SKIP - SKIP: No Trade result. Market regime NEUTRAL; sector STRONG; net R/R 0.00.</t>
        </is>
      </c>
      <c r="R288" t="inlineStr">
        <is>
          <t>{"adjusted_cash_out": 0.0, "adjusted_position_size": 0, "adjusted_risk_amount": 0.0, "ask": 0.0, "bid": 0.0, "buy_zone_high": null, "buy_zone_low": null, "cash_available": 87010.85, "company_name": "EQT Corporation", "correlation_warning": false, "days_to_earnings": 31, "earnings_blackout": false, "earnings_date": "2026-07-21T00:00:00", "estimated_fees": 0.0, "estimated_slippage": 0.1604, "estimated_spread": 0.0428, "executable_entry": 53.46, "execution_liquidity_bucket": "mid_liquid", "factor_exposure_after": {"Energy": 13019.8}, "factor_exposure_before": {"Energy": 13019.8}, "factor_exposure_cap": 7000.0, "factor_exposure_limit_exceeded": false, "factor_tags": ["Energy"], "final_action": "SKIP", "gross_reward_1_per_share": 0.0, "gross_reward_2_per_share": 0.0, "gross_risk_per_share": 53.46, "gross_rr": 0.0, "gross_rr_1": 0.0, "gross_rr_2": 0.0, "gross_rr_decision": 0.0, "highest_correlation_ticker": "APA", "highest_correlation_value": 0.4783, "initial_action": "SKIP", "market_cap": 33438053307.36, "market_cap_bucket": "Large Cap", "market_regime": "NEUTRAL", "market_regime_indicators": {"DXY": {"ema20": 99.2097, "ema200": 98.7986, "ema50": 98.9472, "price": 99.938, "return_1m": 2.14, "return_3m": 1.12, "trend": "bullish"}, "IWM": {"ema20": 284.8745, "ema200": 267.037, "ema50": 277.1764, "price": 285.26, "return_1m": 0.38, "return_3m": 12.79, "trend": "bullish"}, "QQQ": {"ema20": 717.7657, "ema200": 650.7249, "ema50": 684.5135, "price": 719.59, "return_1m": 1.18, "return_3m": 18.55, "trend": "bullish"}, "SPY": {"ema20": 743.5572, "ema200": 702.8177, "ema50": 723.8472, "price": 742.4, "return_1m": 0.65, "return_3m": 9.93, "trend": "mixed"}, "US10Y": {"ema20": 4.4889, "ema200": 4.3154, "ema50": 4.417, "price": 4.554, "return_1m": 4.35, "return_3m": 10.11, "trend": "bullish"}, "VIX": {"ema20": 17.3192, "ema200": 18.7762, "ema50": 18.3857, "price": 18.37, "return_1m": -0.05, "return_3m": -24.18, "trend": "mixed"}}, "market_regime_reason": "Market regime is mixed; use lower exposure and higher net R/R.", "market_regime_score": 0.52, "market_structure_status": "UNKNOWN", "minimum_net_rr_required": 2.2, "net_entry": 53.5616, "net_reward_1_per_share": 0.0, "net_reward_2_per_share": 0.0, "net_risk_per_share": 53.6631, "net_rr": 0.0, "net_rr_1": 0.0, "net_rr_2": 0.0, "net_stop_assumption": -0.1016, "net_target_1_assumption": -0.0615, "net_target_2_assumption": -0.0615, "normalized_atr_score": 100.0, "normalized_liquidity_score": 37.89, "normalized_momentum_score": 0.31, "normalized_quality_score": 36.51, "original_cash_out": 0.0, "original_position_size": 0, "original_risk_amount": 0.0, "portfolio_exposure_after": 13033.95, "portfolio_exposure_before": 13033.95, "position_size": 0, "position_size_adjusted": false, "position_sizing_explanation": "No new position size was calculated because the base decision did not open a simulated buy.", "previous_resistance": 0.0, "price": 53.46, "prior_high_20": 0.0, "prior_high_63": 0.0, "reason": "SKIP: No Trade result. Market regime NEUTRAL; sector STRONG; net R/R 0.00.", "risk_amount": 0.0, "scan_source": "Smart Universe: broad liquid US universe filtered and diversified by the Market Lens UI.", "sector": "Energy", "sector_etf": "XLE", "sector_exposure_after": 13019.8, "sector_exposure_before": 13019.8, "sector_exposure_cap": 6000.0, "sector_exposure_limit_exceeded": false, "sector_regime": "STRONG", "sector_score": 71.1, "setup_score": 0.0, "setup_type": "No Trade", "sizing_adjustment_reason": "", "spread_source": "liquidity_fallback", "stock_score": 0.0, "stop_loss": 0.0, "target_1": null, "target_1_atr_distance": 0.0, "target_2": null, "target_2_atr_distance": 0.0, "target_feasibility_status": "UNKNOWN", "theoretical_entry": 53.46, "ticker": "EQT", "timestamp": "2026-06-08T16:10:57", "warnings": ["Target ATR feasibility unavailable."]}</t>
        </is>
      </c>
    </row>
    <row r="289">
      <c r="A289" t="inlineStr">
        <is>
          <t>2026-06-08T16:23:35</t>
        </is>
      </c>
      <c r="B289" t="inlineStr">
        <is>
          <t>XOM</t>
        </is>
      </c>
      <c r="C289" t="inlineStr">
        <is>
          <t>Fib 61.8 Confluence Buy Zone</t>
        </is>
      </c>
      <c r="D289" t="n">
        <v>0.51</v>
      </c>
      <c r="E289" t="n">
        <v>151.38</v>
      </c>
      <c r="F289" t="n">
        <v>149.87</v>
      </c>
      <c r="G289" t="n">
        <v>151.87</v>
      </c>
      <c r="H289" t="n">
        <v>146.99</v>
      </c>
      <c r="I289" t="n">
        <v>152.12</v>
      </c>
      <c r="J289" t="n">
        <v>173.86</v>
      </c>
      <c r="K289" t="n">
        <v>1.9</v>
      </c>
      <c r="L289" t="inlineStr">
        <is>
          <t>Price at 61.8% fib retracement (150.87) with confluence at VWAP. Planned entry at zone low 149.87; executable entry 151.38, stop below fib 78.6% at 146.99.</t>
        </is>
      </c>
      <c r="M289" t="inlineStr">
        <is>
          <t>HOLD</t>
        </is>
      </c>
      <c r="N289" t="inlineStr">
        <is>
          <t>HOLD: Existing simulated position remains open. NEUTRAL regime recorded.</t>
        </is>
      </c>
      <c r="O289" t="inlineStr">
        <is>
          <t>XOM
Fib 61.8 Confluence Buy Zone
0.51
score
Price
151.38
R/R
1.90x
Grade
C
Quality
64%
Buy Zone
149.87 - 151.87
Stop
146.99
Targets
152.12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151.38, stop below fib 78.6% at 146.99.
Fib 61.8
150.87
Fib Zone
149.87 - 151.87
Swing Low
142.95
Swing High
163.68
Save setup
Click chart to open full size</t>
        </is>
      </c>
      <c r="P289" t="inlineStr">
        <is>
          <t>agent_results/charts/market_lens_agent_20260608_162118_xom.png</t>
        </is>
      </c>
      <c r="Q289" t="inlineStr">
        <is>
          <t>Smart Universe: broad liquid US universe, diversified by sector | Sector: Energy - Strong (71/100); XLE sector regime is strong: 5.5% 3m return, -4.6% vs SPY | Setup: Fib 61.8 Confluence Buy Zone; score 0.51; R/R 1.90x; price 151.38 | Market: NEUTRAL; Sector regime: STRONG; Net R/R: 1.75; Factors: Energy | Agent action: HOLD - HOLD: Existing simulated position remains open. NEUTRAL regime recorded.</t>
        </is>
      </c>
      <c r="R28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0.2119, "estimated_spread": 0.0454, "executable_entry": 151.38, "execution_liquidity_bucket": "large_liquid", "factor_exposure_after": {"Energy": 9980.46}, "factor_exposure_before": {"Energy": 9980.46}, "factor_exposure_cap": 7000.0, "factor_exposure_limit_exceeded": false, "factor_tags": ["Energy"], "final_action": "HOLD", "gross_reward_1_per_share": 0.74, "gross_reward_2_per_share": 22.48, "gross_risk_per_share": 4.39, "gross_rr": 1.9018, "gross_rr_1": 0.1686, "gross_rr_2": 5.1207, "gross_rr_decision": 1.9018, "highest_correlation_ticker": "APA", "highest_correlation_value": 0.7763, "initial_action": "HOLD", "market_cap": 627254861615.08,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151.5087, "net_reward_1_per_share": 0.5356, "net_reward_2_per_share": 22.2756, "net_risk_per_share": 4.6473, "net_rr": 1.7525, "net_rr_1": 0.1153, "net_rr_2": 4.7932, "net_stop_assumption": 146.8613, "net_target_1_assumption": 152.0443, "net_target_2_assumption": 173.7843, "normalized_atr_score": 100.0, "normalized_liquidity_score": 57.84, "normalized_momentum_score": 68.89, "normalized_quality_score": 73.35,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163.68, "price": 151.38,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70.83, "setup_score": 0.51, "setup_type": "Fib 61.8 Confluence Buy Zone", "sizing_adjustment_reason": "", "spread_source": "liquidity_fallback", "stock_score": 0.51, "stop_loss": 146.99, "target_1": 152.12, "target_1_atr_distance": 0.1857, "target_2": 173.86, "target_2_atr_distance": 5.6403, "target_feasibility_status": "LOW_REWARD_DISTANCE", "theoretical_entry": 149.87, "ticker": "XOM", "timestamp": "2026-06-08T16:23:35", "warnings": ["Target 1 is close versus daily ATR."]}</t>
        </is>
      </c>
    </row>
    <row r="290">
      <c r="A290" t="inlineStr">
        <is>
          <t>2026-06-08T16:23:35</t>
        </is>
      </c>
      <c r="B290" t="inlineStr">
        <is>
          <t>CRM</t>
        </is>
      </c>
      <c r="C290" t="inlineStr">
        <is>
          <t>Breakout + Retest</t>
        </is>
      </c>
      <c r="D290" t="n">
        <v>0.42</v>
      </c>
      <c r="E290" t="n">
        <v>182.3</v>
      </c>
      <c r="F290" t="n">
        <v>178.24</v>
      </c>
      <c r="G290" t="n">
        <v>187.44</v>
      </c>
      <c r="H290" t="n">
        <v>173.65</v>
      </c>
      <c r="I290" t="n">
        <v>190.31</v>
      </c>
      <c r="J290" t="n">
        <v>211.34</v>
      </c>
      <c r="K290" t="n">
        <v>1.78</v>
      </c>
      <c r="L290" t="inlineStr">
        <is>
          <t>Price (182.30) retesting broken resistance (187.44) as support. Breakout on 2026-05-29 with 2.6× avg volume. Volume confirmed breakout. Entry at 182.30, stop at 173.65.</t>
        </is>
      </c>
      <c r="M290" t="inlineStr">
        <is>
          <t>WATCH</t>
        </is>
      </c>
      <c r="N290" t="inlineStr">
        <is>
          <t>WATCH: Technical setup detected, but weighted risk/reward 1.78 is below minimum 2.00. Market regime NEUTRAL; sector STRONG; net R/R 1.59.</t>
        </is>
      </c>
      <c r="O290" t="inlineStr">
        <is>
          <t>CRM
Breakout + Retest
0.42
score
Price
182.30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(182.30) retesting broken resistance (187.44) as support. Breakout on 2026-05-29 with 2.6× avg volume. Volume confirmed breakout. Entry at 182.30, stop at 173.65.
Fib 61.8
186.81
Fib Zone
184.51 - 189.11
Swing Low
171.65
Swing High
211.34
Save setup
Click chart to open full size</t>
        </is>
      </c>
      <c r="P290" t="inlineStr">
        <is>
          <t>agent_results/charts/market_lens_agent_20260608_162118_crm.png</t>
        </is>
      </c>
      <c r="Q290" t="inlineStr">
        <is>
          <t>Smart Universe: broad liquid US universe, diversified by sector | Sector: Technology - Strong (98/100); XLK sector regime is strong: 33.2% 3m return, 23.2% vs SPY | Setup: Breakout + Retest; score 0.42; R/R 1.78x; price 182.30 | Market: NEUTRAL; Sector regime: STRONG; Net R/R: 1.59; Factors: Technology | Agent action: WATCH - WATCH: Technical setup detected, but weighted risk/reward 1.78 is below minimum 2.00. Market regime NEUTRAL; sector STRONG; net R/R 1.59.</t>
        </is>
      </c>
      <c r="R290"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182.3, "execution_liquidity_bucket": "large_liquid", "factor_exposure_after": {"Energy": 13008.06}, "factor_exposure_before": {"Energy": 13008.06}, "factor_exposure_cap": 7000.0, "factor_exposure_limit_exceeded": false, "factor_tags": ["Technology"], "final_action": "WATCH", "gross_reward_1_per_share": 8.01, "gross_reward_2_per_share": 29.04, "gross_risk_per_share": 8.65, "gross_rr": 1.7769, "gross_rr_1": 0.926, "gross_rr_2": 3.3572, "gross_rr_decision": 1.7769, "highest_correlation_ticker": "APA", "highest_correlation_value": 0.1178, "initial_action": "WATCH", "market_cap": 149369223999.02,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182.6373, "net_reward_1_per_share": 7.4904, "net_reward_2_per_share": 28.5204, "net_risk_per_share": 9.3245, "net_rr": 1.5927, "net_rr_1": 0.8033, "net_rr_2": 3.0587, "net_stop_assumption": 173.3127, "net_target_1_assumption": 190.1277, "net_target_2_assumption": 211.1577, "normalized_atr_score": 100.0, "normalized_liquidity_score": 97.06, "normalized_momentum_score": 30.67, "normalized_quality_score": 67.92,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211.34, "price": 182.3, "prior_high_20": 211.34, "prior_high_63": 211.34, "reason": "WATCH: Technical setup detected, but weighted risk/reward 1.78 is below minimum 2.00. Market regime NEUTRAL; sector STRONG; net R/R 1.59.",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0.42, "setup_type": "Breakout + Retest", "sizing_adjustment_reason": "", "spread_source": "liquidity_fallback", "stock_score": 0.42, "stop_loss": 173.65, "target_1": 190.31, "target_1_atr_distance": 0.8711, "target_2": 211.34, "target_2_atr_distance": 3.1582, "target_feasibility_status": "OK", "theoretical_entry": 178.24, "ticker": "CRM", "timestamp": "2026-06-08T16:23:35", "warnings": []}</t>
        </is>
      </c>
    </row>
    <row r="291">
      <c r="A291" t="inlineStr">
        <is>
          <t>2026-06-08T16:23:35</t>
        </is>
      </c>
      <c r="B291" t="inlineStr">
        <is>
          <t>CB</t>
        </is>
      </c>
      <c r="C291" t="inlineStr">
        <is>
          <t>Fib 61.8 Confluence Buy Zone</t>
        </is>
      </c>
      <c r="D291" t="n">
        <v>0.41</v>
      </c>
      <c r="E291" t="n">
        <v>322.45</v>
      </c>
      <c r="F291" t="n">
        <v>320.72</v>
      </c>
      <c r="G291" t="n">
        <v>323.87</v>
      </c>
      <c r="H291" t="n">
        <v>318.48</v>
      </c>
      <c r="I291" t="n">
        <v>323.63</v>
      </c>
      <c r="J291" t="n">
        <v>334.03</v>
      </c>
      <c r="K291" t="n">
        <v>1.21</v>
      </c>
      <c r="L291" t="inlineStr">
        <is>
          <t>Price at 61.8% fib retracement (322.29) with confluence at VAL, VWAP. Planned entry at zone low 320.72; executable entry 322.45, stop below fib 78.6% at 318.47.</t>
        </is>
      </c>
      <c r="M291" t="inlineStr">
        <is>
          <t>WATCH</t>
        </is>
      </c>
      <c r="N291" t="inlineStr">
        <is>
          <t>WATCH: Technical setup detected, but weighted risk/reward 1.21 is below minimum 2.00. Market regime NEUTRAL; sector STRONG; net R/R 0.97.</t>
        </is>
      </c>
      <c r="O291" t="inlineStr">
        <is>
          <t>CB
Fib 61.8 Confluence Buy Zone
0.41
score
Price
322.45
R/R
1.21x
Grade
C
Quality
56%
Buy Zone
320.72 - 323.87
Stop
318.48
Targets
323.63 / 334.03
Watch only; needs confirmation
Mixed
Relative Strength
Leadership
77%
Trend Quality
Messy
18%
Liquidity
Institutional liquidity
100%
Volume
Distribution risk
30%
Trigger
Break above prior-day high at 328.60 after holding buy zone.
Invalidation
Exit if price closes below 318.48 or setup support fails.
Trend quality is not clean.
Recent volume shows distribution risk.
Market regime: Mixed.
Relative strength: Leadership.
Price at 61.8% fib retracement (322.29) with confluence at VAL, VWAP. Planned entry at zone low 320.72; executable entry 322.45, stop below fib 78.6% at 318.47.
Fib 61.8
322.29
Fib Zone
320.72 - 323.87
Swing Low
315.04
Swing High
334.03
Save setup
Click chart to open full size</t>
        </is>
      </c>
      <c r="P291" t="inlineStr">
        <is>
          <t>agent_results/charts/market_lens_agent_20260608_162118_cb.png</t>
        </is>
      </c>
      <c r="Q291" t="inlineStr">
        <is>
          <t>Smart Universe: broad liquid US universe, diversified by sector | Sector: Financials - Strong (69/100); XLF sector regime is strong: 4.8% 3m return, -5.2% vs SPY | Setup: Fib 61.8 Confluence Buy Zone; score 0.41; R/R 1.21x; price 322.45 | Market: NEUTRAL; Sector regime: STRONG; Net R/R: 0.97; Factors: Financials | Agent action: WATCH - WATCH: Technical setup detected, but weighted risk/reward 1.21 is below minimum 2.00. Market regime NEUTRAL; sector STRONG; net R/R 0.97.</t>
        </is>
      </c>
      <c r="R291"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322.45, "execution_liquidity_bucket": "large_liquid", "factor_exposure_after": {"Energy": 13008.06}, "factor_exposure_before": {"Energy": 13008.06}, "factor_exposure_cap": 7000.0, "factor_exposure_limit_exceeded": false, "factor_tags": ["Financials"], "final_action": "WATCH", "gross_reward_1_per_share": 1.18, "gross_reward_2_per_share": 11.58, "gross_risk_per_share": 3.97, "gross_rr": 1.2141, "gross_rr_1": 0.2972, "gross_rr_2": 2.9169, "gross_rr_decision": 1.2141, "highest_correlation_ticker": "XOM", "highest_correlation_value": 0.0878, "initial_action": "WATCH", "market_cap": 125077131244.04,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322.7241, "net_reward_1_per_share": 0.7447, "net_reward_2_per_share": 11.1447, "net_risk_per_share": 4.5182, "net_rr": 0.9705, "net_rr_1": 0.1648, "net_rr_2": 2.4666, "net_stop_assumption": 318.2059, "net_target_1_assumption": 323.4688, "net_target_2_assumption": 333.8688, "normalized_atr_score": 100.0, "normalized_liquidity_score": 49.49, "normalized_momentum_score": 49.64, "normalized_quality_score": 62.19,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334.03, "price": 322.45, "prior_high_20": 334.03, "prior_high_63": 336.14, "reason": "WATCH: Technical setup detected, but weighted risk/reward 1.21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69.24, "setup_score": 0.41, "setup_type": "Fib 61.8 Confluence Buy Zone", "sizing_adjustment_reason": "", "spread_source": "liquidity_fallback", "stock_score": 0.41, "stop_loss": 318.48, "target_1": 323.63, "target_1_atr_distance": 0.1876, "target_2": 334.03, "target_2_atr_distance": 1.8413, "target_feasibility_status": "LOW_REWARD_DISTANCE", "theoretical_entry": 320.72, "ticker": "CB", "timestamp": "2026-06-08T16:23:35", "warnings": ["Target 1 is close versus daily ATR."]}</t>
        </is>
      </c>
    </row>
    <row r="292">
      <c r="A292" t="inlineStr">
        <is>
          <t>2026-06-08T16:23:35</t>
        </is>
      </c>
      <c r="B292" t="inlineStr">
        <is>
          <t>PH</t>
        </is>
      </c>
      <c r="C292" t="inlineStr">
        <is>
          <t>Breakout + Retest</t>
        </is>
      </c>
      <c r="D292" t="n">
        <v>0.41</v>
      </c>
      <c r="E292" t="n">
        <v>889.39</v>
      </c>
      <c r="F292" t="n">
        <v>857.64</v>
      </c>
      <c r="G292" t="n">
        <v>880</v>
      </c>
      <c r="H292" t="n">
        <v>846.46</v>
      </c>
      <c r="I292" t="n">
        <v>907.1900000000001</v>
      </c>
      <c r="J292" t="n">
        <v>1026.68</v>
      </c>
      <c r="K292" t="n">
        <v>1.39</v>
      </c>
      <c r="L292" t="inlineStr">
        <is>
          <t>Price (889.39) retesting broken resistance (880.00) as support. Breakout on 2026-06-05 with 1.2× avg volume. Entry at 889.39, stop at 846.46.</t>
        </is>
      </c>
      <c r="M292" t="inlineStr">
        <is>
          <t>WATCH</t>
        </is>
      </c>
      <c r="N292" t="inlineStr">
        <is>
          <t>WATCH: Technical setup detected, but weighted risk/reward 1.39 is below minimum 2.00. Market regime NEUTRAL; sector NEUTRAL; net R/R 1.24.</t>
        </is>
      </c>
      <c r="O292" t="inlineStr">
        <is>
          <t>PH
Breakout + Retest
0.41
score
Price
889.39
R/R
1.39x
Grade
B
Quality
67%
Buy Zone
857.64 - 880.00
Stop
846.46
Targets
907.19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(889.39) retesting broken resistance (880.00) as support. Breakout on 2026-06-05 with 1.2× avg volume. Entry at 889.39, stop at 846.46.
Fib 61.8
921.68
Fib Zone
916.09 - 927.27
Swing Low
856.78
Swing High
1026.68
Save setup
Click chart to open full size</t>
        </is>
      </c>
      <c r="P292" t="inlineStr">
        <is>
          <t>agent_results/charts/market_lens_agent_20260608_162118_ph.png</t>
        </is>
      </c>
      <c r="Q292" t="inlineStr">
        <is>
          <t>Smart Universe: broad liquid US universe, diversified by sector | Sector: Industrials - Neutral (67/100); XLI sector regime is neutral: 2.8% 3m return, -7.3% vs SPY | Setup: Breakout + Retest; score 0.41; R/R 1.39x; price 889.39 | Market: NEUTRAL; Sector regime: NEUTRAL; Net R/R: 1.24; Factors: Industrials | Agent action: WATCH - WATCH: Technical setup detected, but weighted risk/reward 1.39 is below minimum 2.00. Market regime NEUTRAL; sector NEUTRAL; net R/R 1.24.</t>
        </is>
      </c>
      <c r="R292"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3.0239, "estimated_spread": 0.2668, "executable_entry": 889.39, "execution_liquidity_bucket": "large_liquid", "factor_exposure_after": {"Energy": 13008.06}, "factor_exposure_before": {"Energy": 13008.06}, "factor_exposure_cap": 7000.0, "factor_exposure_limit_exceeded": false, "factor_tags": ["Industrials"], "final_action": "WATCH", "gross_reward_1_per_share": 17.8, "gross_reward_2_per_share": 137.29, "gross_risk_per_share": 42.93, "gross_rr": 1.3888, "gross_rr_1": 0.4146, "gross_rr_2": 3.198, "gross_rr_decision": 1.3888, "highest_correlation_ticker": "XOM", "highest_correlation_value": -0.3405, "initial_action": "WATCH", "market_cap": 112008840589.87,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891.0354, "net_reward_1_per_share": 15.2652, "net_reward_2_per_share": 134.7552, "net_risk_per_share": 46.2207, "net_rr": 1.2351, "net_rr_1": 0.3303, "net_rr_2": 2.9155, "net_stop_assumption": 844.8146, "net_target_1_assumption": 906.3006, "net_target_2_assumption": 1025.7906, "normalized_atr_score": 100.0, "normalized_liquidity_score": 56.13, "normalized_momentum_score": 31.52, "normalized_quality_score": 56.02,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898.98, "price": 889.39, "prior_high_20": 898.98, "prior_high_63": 1026.6794, "reason": "WATCH: Technical setup detected, but weighted risk/reward 1.39 is below minimum 2.00. Market regime NEUTRAL; sector NEUTRAL; net R/R 1.24.",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66.62, "setup_score": 0.41, "setup_type": "Breakout + Retest", "sizing_adjustment_reason": "", "spread_source": "liquidity_fallback", "stock_score": 0.41, "stop_loss": 846.46, "target_1": 907.19, "target_1_atr_distance": 0.796, "target_2": 1026.68, "target_2_atr_distance": 6.1398, "target_feasibility_status": "OK", "theoretical_entry": 857.64, "ticker": "PH", "timestamp": "2026-06-08T16:23:35", "warnings": []}</t>
        </is>
      </c>
    </row>
    <row r="293">
      <c r="A293" t="inlineStr">
        <is>
          <t>2026-06-08T16:23:35</t>
        </is>
      </c>
      <c r="B293" t="inlineStr">
        <is>
          <t>APA</t>
        </is>
      </c>
      <c r="C293" t="inlineStr">
        <is>
          <t>Fib 61.8 Confluence Buy Zone</t>
        </is>
      </c>
      <c r="D293" t="n">
        <v>0.41</v>
      </c>
      <c r="E293" t="n">
        <v>37.38</v>
      </c>
      <c r="F293" t="n">
        <v>37.24</v>
      </c>
      <c r="G293" t="n">
        <v>37.99</v>
      </c>
      <c r="H293" t="n">
        <v>36.39</v>
      </c>
      <c r="I293" t="n">
        <v>38.38</v>
      </c>
      <c r="J293" t="n">
        <v>44.19</v>
      </c>
      <c r="K293" t="n">
        <v>3.09</v>
      </c>
      <c r="L293" t="inlineStr">
        <is>
          <t>Price at 61.8% fib retracement (37.62) with confluence at VWAP. Planned entry at zone low 37.24; executable entry 37.38, stop below fib 78.6% at 36.39.</t>
        </is>
      </c>
      <c r="M293" t="inlineStr">
        <is>
          <t>HOLD</t>
        </is>
      </c>
      <c r="N293" t="inlineStr">
        <is>
          <t>HOLD: Existing simulated position remains open. NEUTRAL regime recorded.</t>
        </is>
      </c>
      <c r="O293" t="inlineStr">
        <is>
          <t>APA
Fib 61.8 Confluence Buy Zone
0.41
score
Price
37.38
R/R
3.09x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37.38, stop below fib 78.6% at 36.39.
Fib 61.8
37.62
Fib Zone
37.24 - 37.99
Swing Low
35.17
Swing High
41.58
Save setup
Click chart to open full size</t>
        </is>
      </c>
      <c r="P293" t="inlineStr">
        <is>
          <t>agent_results/charts/market_lens_agent_20260608_162118_apa.png</t>
        </is>
      </c>
      <c r="Q293" t="inlineStr">
        <is>
          <t>Smart Universe: broad liquid US universe, diversified by sector | Sector: Energy - Strong (71/100); XLE sector regime is strong: 5.5% 3m return, -4.6% vs SPY | Setup: Fib 61.8 Confluence Buy Zone; score 0.41; R/R 3.09x; price 37.38 | Market: NEUTRAL; Sector regime: STRONG; Net R/R: 2.58; Factors: Energy | Agent action: HOLD - HOLD: Existing simulated position remains open. NEUTRAL regime recorded.</t>
        </is>
      </c>
      <c r="R293"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0.1121, "estimated_spread": 0.0299, "executable_entry": 37.38, "execution_liquidity_bucket": "mid_liquid", "factor_exposure_after": {"Energy": 3027.6}, "factor_exposure_before": {"Energy": 3027.6}, "factor_exposure_cap": 7000.0, "factor_exposure_limit_exceeded": false, "factor_tags": ["Energy"], "final_action": "HOLD", "gross_reward_1_per_share": 1.0, "gross_reward_2_per_share": 6.81, "gross_risk_per_share": 0.99, "gross_rr": 3.0641, "gross_rr_1": 1.0101, "gross_rr_2": 6.8788, "gross_rr_decision": 3.0641, "highest_correlation_ticker": "XOM", "highest_correlation_value": 0.7763, "initial_action": "HOLD", "market_cap": 13212717462.81,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37.451, "net_reward_1_per_share": 0.886, "net_reward_2_per_share": 6.696, "net_risk_per_share": 1.132, "net_rr": 2.579, "net_rr_1": 0.7826, "net_rr_2": 5.915, "net_stop_assumption": 36.319, "net_target_1_assumption": 38.337, "net_target_2_assumption": 44.147, "normalized_atr_score": 100.0, "normalized_liquidity_score": 27.56, "normalized_momentum_score": 100, "normalized_quality_score": 78.27,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41.58, "price": 37.38,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3027.6, "sector_exposure_before": 3027.6, "sector_exposure_cap": 6000.0, "sector_exposure_limit_exceeded": false, "sector_regime": "STRONG", "sector_score": 70.83, "setup_score": 0.41, "setup_type": "Fib 61.8 Confluence Buy Zone", "sizing_adjustment_reason": "", "spread_source": "liquidity_fallback", "stock_score": 0.41, "stop_loss": 36.39, "target_1": 38.38, "target_1_atr_distance": 0.6657, "target_2": 44.19, "target_2_atr_distance": 4.5334, "target_feasibility_status": "LOW_REWARD_DISTANCE", "theoretical_entry": 37.24, "ticker": "APA", "timestamp": "2026-06-08T16:23:35", "warnings": ["Target 1 is close versus daily ATR."]}</t>
        </is>
      </c>
    </row>
    <row r="294">
      <c r="A294" t="inlineStr">
        <is>
          <t>2026-06-08T16:23:35</t>
        </is>
      </c>
      <c r="B294" t="inlineStr">
        <is>
          <t>TMO</t>
        </is>
      </c>
      <c r="C294" t="inlineStr">
        <is>
          <t>Breakout + Retest</t>
        </is>
      </c>
      <c r="D294" t="n">
        <v>0.4</v>
      </c>
      <c r="E294" t="n">
        <v>472.05</v>
      </c>
      <c r="F294" t="n">
        <v>467.54</v>
      </c>
      <c r="G294" t="n">
        <v>481.83</v>
      </c>
      <c r="H294" t="n">
        <v>460.4</v>
      </c>
      <c r="I294" t="n">
        <v>483.58</v>
      </c>
      <c r="J294" t="n">
        <v>528.33</v>
      </c>
      <c r="K294" t="n">
        <v>2.33</v>
      </c>
      <c r="L294" t="inlineStr">
        <is>
          <t>Price (472.05) retesting broken resistance (481.83) as support. Breakout on 2026-05-28 with 1.8× avg volume. Volume confirmed breakout. Entry at 472.05, stop at 460.40.</t>
        </is>
      </c>
      <c r="M294" t="inlineStr">
        <is>
          <t>WATCH</t>
        </is>
      </c>
      <c r="N294" t="inlineStr">
        <is>
          <t>WATCH: Neutral market requires stronger setup score (0.40 &lt; 0.45).</t>
        </is>
      </c>
      <c r="O294" t="inlineStr">
        <is>
          <t>TMO
Breakout + Retest
0.40
score
Price
472.05
R/R
2.33x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(472.05) retesting broken resistance (481.83) as support. Breakout on 2026-05-28 with 1.8× avg volume. Volume confirmed breakout. Entry at 472.05, stop at 460.40.
Fib 61.8
459.61
Fib Zone
456.04 - 463.19
Swing Low
435.27
Swing High
499.00
Save setup
Click chart to open full size</t>
        </is>
      </c>
      <c r="P294" t="inlineStr">
        <is>
          <t>agent_results/charts/market_lens_agent_20260608_162118_tmo.png</t>
        </is>
      </c>
      <c r="Q294" t="inlineStr">
        <is>
          <t>Smart Universe: broad liquid US universe, diversified by sector | Sector: Healthcare - Neutral (66/100); XLV sector regime is neutral: 0.3% 3m return, -9.8% vs SPY | Setup: Breakout + Retest; score 0.40; R/R 2.33x; price 472.05 | Market: NEUTRAL; Sector regime: NEUTRAL; Net R/R: 1.93; Factors: Defensive, Healthcare | Agent action: WATCH - WATCH: Neutral market requires stronger setup score (0.40 &lt; 0.45).</t>
        </is>
      </c>
      <c r="R294" t="inlineStr">
        <is>
          <t>{"adjusted_cash_out": 5664.6, "adjusted_position_size": 12, "adjusted_risk_amount": 139.8, "ask": 0.0, "bid": 0.0, "buy_zone_high": 481.83, "buy_zone_low": 467.54, "cash_available": 87010.85, "company_name": "Thermo Fisher Scientific Inc.", "correlation_warning": false, "days_to_earnings": 32, "earnings_blackout": false, "earnings_date": "2026-07-22T00:00:00", "estimated_fees": 0.0, "estimated_slippage": 1.605, "estimated_spread": 0.1416, "executable_entry": 472.05, "execution_liquidity_bucket": "large_liquid", "factor_exposure_after": {"Defensive": 5664.6, "Energy": 13008.06, "Healthcare": 5664.6}, "factor_exposure_before": {"Energy": 13008.06}, "factor_exposure_cap": 7000.0, "factor_exposure_limit_exceeded": false, "factor_tags": ["Defensive", "Healthcare"], "final_action": "WATCH", "gross_reward_1_per_share": 11.53, "gross_reward_2_per_share": 56.28, "gross_risk_per_share": 11.65, "gross_rr": 2.3341, "gross_rr_1": 0.9897, "gross_rr_2": 4.8309, "gross_rr_decision": 2.3341, "highest_correlation_ticker": "APA", "highest_correlation_value": -0.1851, "initial_action": "BUY_SIMULATED", "market_cap": 175394183289.69,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472.9233, "net_reward_1_per_share": 10.1847, "net_reward_2_per_share": 54.9347, "net_risk_per_share": 13.3966, "net_rr": 1.9294, "net_rr_1": 0.7602, "net_rr_2": 4.1006, "net_stop_assumption": 459.5267, "net_target_1_assumption": 483.1079, "net_target_2_assumption": 527.858, "normalized_atr_score": 100.0, "normalized_liquidity_score": 70.98, "normalized_momentum_score": 34.71, "normalized_quality_score": 61.91, "original_cash_out": 9913.05, "original_position_size": 21, "original_risk_amount": 244.65, "portfolio_exposure_after": 13009.26, "portfolio_exposure_before": 13009.26, "position_size": 0, "position_size_adjusted": true, "position_sizing_explanation": "Base position sizing produced a candidate trade, but the risk transparency layer blocked the new buy. Candidate size: 12 shares, cash 5664.60, risk 139.80.", "previous_resistance": 499.0, "price": 472.05,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5664.6, "sector_exposure_before": 0.0, "sector_exposure_cap": 6000.0, "sector_exposure_limit_exceeded": false, "sector_regime": "NEUTRAL", "sector_score": 65.85, "setup_score": 0.4, "setup_type": "Breakout + Retest", "sizing_adjustment_reason": "Position size reduced by Healthcare sector exposure cap (21 -&gt; 12 shares).", "spread_source": "liquidity_fallback", "stock_score": 0.4, "stop_loss": 460.4, "target_1": 483.58, "target_1_atr_distance": 0.8071, "target_2": 528.33, "target_2_atr_distance": 3.9396, "target_feasibility_status": "OK", "theoretical_entry": 467.54, "ticker": "TMO", "timestamp": "2026-06-08T16:23:35", "warnings": ["Position size reduced by Healthcare sector exposure cap (21 -&gt; 12 shares).", "Gross R/R is valid, but Net R/R 1.93 failed minimum 2.50 after slippage/spread adjustment."]}</t>
        </is>
      </c>
    </row>
    <row r="295">
      <c r="A295" t="inlineStr">
        <is>
          <t>2026-06-08T16:23:35</t>
        </is>
      </c>
      <c r="B295" t="inlineStr">
        <is>
          <t>INTC</t>
        </is>
      </c>
      <c r="C295" t="inlineStr">
        <is>
          <t>Fib 61.8 Confluence Buy Zone</t>
        </is>
      </c>
      <c r="D295" t="n">
        <v>0.39</v>
      </c>
      <c r="E295" t="n">
        <v>111.77</v>
      </c>
      <c r="F295" t="n">
        <v>109.46</v>
      </c>
      <c r="G295" t="n">
        <v>113.86</v>
      </c>
      <c r="H295" t="n">
        <v>106.71</v>
      </c>
      <c r="I295" t="n">
        <v>114.52</v>
      </c>
      <c r="J295" t="n">
        <v>126.64</v>
      </c>
      <c r="K295" t="n">
        <v>1.38</v>
      </c>
      <c r="L295" t="inlineStr">
        <is>
          <t>Price at 61.8% fib retracement (111.66) with confluence at POC, VWAP. Planned entry at zone low 109.46; executable entry 111.77, stop below fib 78.6% at 106.71. Structural confluence: swing low at 40.63 aligns with VAL (42.49).</t>
        </is>
      </c>
      <c r="M295" t="inlineStr">
        <is>
          <t>WATCH</t>
        </is>
      </c>
      <c r="N295" t="inlineStr">
        <is>
          <t>WATCH: Technical setup detected, but weighted risk/reward 1.38 is below minimum 2.00. Market regime NEUTRAL; sector STRONG; net R/R 1.29.</t>
        </is>
      </c>
      <c r="O295" t="inlineStr">
        <is>
          <t>INTC
Fib 61.8 Confluence Buy Zone
0.39
score
Price
111.77
R/R
1.38x
Grade
C
Quality
55%
Buy Zone
109.46 - 113.86
Stop
106.71
Targets
114.52 / 126.64
Watch only; needs confirmation
Mixed
Relative Strength
In line
56%
Trend Quality
Constructive
68%
Liquidity
Institutional liquidity
100%
Volume
Distribution risk
30%
Trigger
Break above prior-day high at 111.77 after holding buy zone.
Invalidation
Exit if price closes below 106.71 or setup support fails.
Recent volume shows distribution risk.
Recent large gap increases volatility risk.
Market regime: Mixed.
Relative strength: In line.
Price at 61.8% fib retracement (111.66) with confluence at POC, VWAP. Planned entry at zone low 109.46; executable entry 111.77, stop below fib 78.6% at 106.71. Structural confluence: swing low at 40.63 aligns with VAL (42.49).
Fib 61.8
111.66
Fib Zone
109.46 - 113.86
Swing Low
102.40
Swing High
126.64
Save setup
Click chart to open full size</t>
        </is>
      </c>
      <c r="P295" t="inlineStr">
        <is>
          <t>agent_results/charts/market_lens_agent_20260608_162118_intc.png</t>
        </is>
      </c>
      <c r="Q295" t="inlineStr">
        <is>
          <t>Smart Universe: broad liquid US universe, diversified by sector | Sector: Technology - Strong (98/100); XLK sector regime is strong: 33.2% 3m return, 23.2% vs SPY | Setup: Fib 61.8 Confluence Buy Zone; score 0.39; R/R 1.38x; price 111.77 | Market: NEUTRAL; Sector regime: STRONG; Net R/R: 1.29; Factors: AI / Semiconductors, Technology | Agent action: WATCH - WATCH: Technical setup detected, but weighted risk/reward 1.38 is below minimum 2.00. Market regime NEUTRAL; sector STRONG; net R/R 1.29.</t>
        </is>
      </c>
      <c r="R295"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0.1799, "estimated_spread": 0.0335, "executable_entry": 111.77, "execution_liquidity_bucket": "large_liquid", "factor_exposure_after": {"Energy": 13008.06}, "factor_exposure_before": {"Energy": 13008.06}, "factor_exposure_cap": 7000.0, "factor_exposure_limit_exceeded": false, "factor_tags": ["AI / Semiconductors", "Technology"], "final_action": "WATCH", "gross_reward_1_per_share": 2.75, "gross_reward_2_per_share": 14.87, "gross_risk_per_share": 5.06, "gross_rr": 1.3818, "gross_rr_1": 0.5435, "gross_rr_2": 2.9387, "gross_rr_decision": 1.3818, "highest_correlation_ticker": "APA", "highest_correlation_value": -0.1867, "initial_action": "WATCH", "market_cap": 561655500000.0,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111.8767, "net_reward_1_per_share": 2.5815, "net_reward_2_per_share": 14.7015, "net_risk_per_share": 5.2735, "net_rr": 1.2939, "net_rr_1": 0.4895, "net_rr_2": 2.7878, "net_stop_assumption": 106.6033, "net_target_1_assumption": 114.4582, "net_target_2_assumption": 126.5782, "normalized_atr_score": 68.01, "normalized_liquidity_score": 100, "normalized_momentum_score": 100, "normalized_quality_score": 92.0,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132.75, "price": 111.77, "prior_high_20": 132.75, "prior_high_63": 132.75, "reason": "WATCH: Technical setup detected, but weighted risk/reward 1.38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0.39, "setup_type": "Fib 61.8 Confluence Buy Zone", "sizing_adjustment_reason": "", "spread_source": "liquidity_fallback", "stock_score": 0.39, "stop_loss": 106.71, "target_1": 114.52, "target_1_atr_distance": 0.3127, "target_2": 126.64, "target_2_atr_distance": 1.6911, "target_feasibility_status": "LOW_REWARD_DISTANCE", "theoretical_entry": 109.46, "ticker": "INTC", "timestamp": "2026-06-08T16:23:35", "warnings": ["Target 1 is close versus daily ATR."]}</t>
        </is>
      </c>
    </row>
    <row r="296">
      <c r="A296" t="inlineStr">
        <is>
          <t>2026-06-08T16:23:35</t>
        </is>
      </c>
      <c r="B296" t="inlineStr">
        <is>
          <t>QCOM</t>
        </is>
      </c>
      <c r="C296" t="inlineStr">
        <is>
          <t>Fib 61.8 Confluence Buy Zone</t>
        </is>
      </c>
      <c r="D296" t="n">
        <v>0.38</v>
      </c>
      <c r="E296" t="n">
        <v>220.44</v>
      </c>
      <c r="F296" t="n">
        <v>212.25</v>
      </c>
      <c r="G296" t="n">
        <v>220.83</v>
      </c>
      <c r="H296" t="n">
        <v>203.29</v>
      </c>
      <c r="I296" t="n">
        <v>224.64</v>
      </c>
      <c r="J296" t="n">
        <v>258.96</v>
      </c>
      <c r="K296" t="n">
        <v>0.95</v>
      </c>
      <c r="L296" t="inlineStr">
        <is>
          <t>Price at 61.8% fib retracement (216.54) with confluence at VWAP. Planned entry at zone low 212.25; executable entry 220.44, stop below fib 78.6% at 203.29. Structural confluence: swing low at 121.54 aligns with VAL (125.53).</t>
        </is>
      </c>
      <c r="M296" t="inlineStr">
        <is>
          <t>WATCH</t>
        </is>
      </c>
      <c r="N296" t="inlineStr">
        <is>
          <t>WATCH: Technical setup detected, but weighted risk/reward 0.95 is below minimum 2.00. Market regime NEUTRAL; sector STRONG; net R/R 0.90.</t>
        </is>
      </c>
      <c r="O296" t="inlineStr">
        <is>
          <t>QCOM
Fib 61.8 Confluence Buy Zone
0.38
score
Price
220.44
R/R
0.95x
Grade
B
Quality
69%
Buy Zone
212.25 - 220.83
Stop
203.29
Targets
224.64 / 258.96
Tradable if trigger confirms
Mixed
Relative Strength
In line
56%
Trend Quality
Constructive
68%
Liquidity
Institutional liquidity
100%
Volume
Confirmed
80%
Trigger
Break above prior-day high at 238.44 after holding buy zone.
Invalidation
Exit if price closes below 203.29 or setup support fails.
Market regime: Mixed.
Relative strength: In line.
Price at 61.8% fib retracement (216.54) with confluence at VWAP. Planned entry at zone low 212.25; executable entry 220.44, stop below fib 78.6% at 203.29. Structural confluence: swing low at 121.54 aligns with VAL (125.53).
Fib 61.8
216.54
Fib Zone
212.25 - 220.83
Swing Low
190.32
Swing High
258.96
Save setup
Click chart to open full size</t>
        </is>
      </c>
      <c r="P296" t="inlineStr">
        <is>
          <t>agent_results/charts/market_lens_agent_20260608_162118_qcom.png</t>
        </is>
      </c>
      <c r="Q296" t="inlineStr">
        <is>
          <t>Smart Universe: broad liquid US universe, diversified by sector | Sector: Technology - Strong (98/100); XLK sector regime is strong: 33.2% 3m return, 23.2% vs SPY | Setup: Fib 61.8 Confluence Buy Zone; score 0.38; R/R 0.95x; price 220.44 | Market: NEUTRAL; Sector regime: STRONG; Net R/R: 0.90; Factors: AI / Semiconductors, Technology | Agent action: WATCH - WATCH: Technical setup detected, but weighted risk/reward 0.95 is below minimum 2.00. Market regime NEUTRAL; sector STRONG; net R/R 0.90.</t>
        </is>
      </c>
      <c r="R29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0.3549, "estimated_spread": 0.0661, "executable_entry": 220.44, "execution_liquidity_bucket": "large_liquid", "factor_exposure_after": {"Energy": 13008.06}, "factor_exposure_before": {"Energy": 13008.06}, "factor_exposure_cap": 7000.0, "factor_exposure_limit_exceeded": false, "factor_tags": ["AI / Semiconductors", "Technology"], "final_action": "WATCH", "gross_reward_1_per_share": 4.2, "gross_reward_2_per_share": 38.52, "gross_risk_per_share": 17.15, "gross_rr": 0.9453, "gross_rr_1": 0.2449, "gross_rr_2": 2.2461, "gross_rr_decision": 0.9453, "highest_correlation_ticker": "APA", "highest_correlation_value": -0.1155, "initial_action": "WATCH", "market_cap": 232069712280.27, "market_cap_bucket": "Mega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220.6505, "net_reward_1_per_share": 3.8677, "net_reward_2_per_share": 38.1877, "net_risk_per_share": 17.571, "net_rr": 0.9037, "net_rr_1": 0.2201, "net_rr_2": 2.1733, "net_stop_assumption": 203.0795, "net_target_1_assumption": 224.5182, "net_target_2_assumption": 258.8382, "normalized_atr_score": 68.89, "normalized_liquidity_score": 81.0, "normalized_momentum_score": 100, "normalized_quality_score": 86.52,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258.9635, "price": 220.44, "prior_high_20": 258.9635, "prior_high_63": 258.9635, "reason": "WATCH: Technical setup detected, but weighted risk/reward 0.95 is below minimum 2.00. Market regime NEUTRAL; sector STRONG; net R/R 0.90.",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98.01, "setup_score": 0.38, "setup_type": "Fib 61.8 Confluence Buy Zone", "sizing_adjustment_reason": "", "spread_source": "liquidity_fallback", "stock_score": 0.38, "stop_loss": 203.29, "target_1": 224.64, "target_1_atr_distance": 0.245, "target_2": 258.96, "target_2_atr_distance": 2.2469, "target_feasibility_status": "LOW_REWARD_DISTANCE", "theoretical_entry": 212.25, "ticker": "QCOM", "timestamp": "2026-06-08T16:23:35", "warnings": ["Target 1 is close versus daily ATR."]}</t>
        </is>
      </c>
    </row>
    <row r="297">
      <c r="A297" t="inlineStr">
        <is>
          <t>2026-06-08T16:23:35</t>
        </is>
      </c>
      <c r="B297" t="inlineStr">
        <is>
          <t>LNG</t>
        </is>
      </c>
      <c r="C297" t="inlineStr">
        <is>
          <t>Swing Low + Volume Support Buy Zone</t>
        </is>
      </c>
      <c r="D297" t="n">
        <v>0.27</v>
      </c>
      <c r="E297" t="n">
        <v>236.85</v>
      </c>
      <c r="F297" t="n">
        <v>233.3</v>
      </c>
      <c r="G297" t="n">
        <v>239.04</v>
      </c>
      <c r="H297" t="n">
        <v>224.7</v>
      </c>
      <c r="I297" t="n">
        <v>238.23</v>
      </c>
      <c r="J297" t="n">
        <v>296.84</v>
      </c>
      <c r="K297" t="n">
        <v>1.8</v>
      </c>
      <c r="L297" t="inlineStr">
        <is>
          <t>Price is pulling into a recent swing-low support (235.45) that overlaps with a high-volume area (VAL at 236.23), creating structural + volume confluence. Liquidity sweep below swing low detected — wick and reclaim. Stop below 224.70.</t>
        </is>
      </c>
      <c r="M297" t="inlineStr">
        <is>
          <t>WATCH</t>
        </is>
      </c>
      <c r="N297" t="inlineStr">
        <is>
          <t>WATCH: Technical setup detected, but weighted risk/reward 1.80 is below minimum 2.00. Market regime NEUTRAL; sector STRONG; net R/R 1.62.</t>
        </is>
      </c>
      <c r="O297" t="inlineStr">
        <is>
          <t>LNG
Swing Low + Volume Support Buy Zone
0.27
score
Price
236.85
R/R
1.80x
Grade
C
Quality
54%
Buy Zone
233.30 - 239.04
Stop
224.70
Targets
238.23 / 296.84
Watch only; needs confirmation
Mixed
Relative Strength
In line
56%
Trend Quality
Messy
0%
Liquidity
Institutional liquidity
100%
Volume
Neutral
65%
Trigger
Break above prior-day high at 241.10 after holding buy zone.
Invalidation
Exit if price closes below 224.70 or setup support fails.
Trend quality is not clean.
Market regime: Mixed.
Relative strength: In line.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297" t="inlineStr">
        <is>
          <t>agent_results/charts/market_lens_agent_20260608_162118_lng.png</t>
        </is>
      </c>
      <c r="Q297" t="inlineStr">
        <is>
          <t>Smart Universe: broad liquid US universe, diversified by sector | Sector: Energy - Strong (71/100); XLE sector regime is strong: 5.5% 3m return, -4.6% vs SPY | Setup: Swing Low + Volume Support Buy Zone; score 0.27; R/R 1.80x; price 236.85 | Market: NEUTRAL; Sector regime: STRONG; Net R/R: 1.62; Factors: Energy | Agent action: WATCH - WATCH: Technical setup detected, but weighted risk/reward 1.80 is below minimum 2.00. Market regime NEUTRAL; sector STRONG; net R/R 1.62.</t>
        </is>
      </c>
      <c r="R29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0.7106, "estimated_spread": 0.1895, "executable_entry": 236.85, "execution_liquidity_bucket": "mid_liquid", "factor_exposure_after": {"Energy": 13008.06}, "factor_exposure_before": {"Energy": 13008.06}, "factor_exposure_cap": 7000.0, "factor_exposure_limit_exceeded": false, "factor_tags": ["Energy"], "final_action": "WATCH", "gross_reward_1_per_share": 1.38, "gross_reward_2_per_share": 59.99, "gross_risk_per_share": 12.15, "gross_rr": 1.8019, "gross_rr_1": 0.1136, "gross_rr_2": 4.9374, "gross_rr_decision": 1.8019, "highest_correlation_ticker": "APA", "highest_correlation_value": 0.6656, "initial_action": "WATCH", "market_cap": 49638647515.04,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2.2, "net_entry": 237.3, "net_reward_1_per_share": 0.6576, "net_reward_2_per_share": 59.2676, "net_risk_per_share": 13.05, "net_rr": 1.6223, "net_rr_1": 0.0504, "net_rr_2": 4.5416, "net_stop_assumption": 224.25, "net_target_1_assumption": 237.9576, "net_target_2_assumption": 296.5676, "normalized_atr_score": 100.0, "normalized_liquidity_score": 47.73, "normalized_momentum_score": 37.37, "normalized_quality_score": 56.14,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251.73, "price": 236.85, "prior_high_20": 251.73, "prior_high_63": 300.1945, "reason": "WATCH: Technical setup detected, but weighted risk/reward 1.80 is below minimum 2.00. Market regime NEUTRAL; sector STRONG; net R/R 1.62.", "risk_amount": 0.0, "scan_source": "Smart Universe: broad liquid US universe filtered and diversified by the Market Lens UI.", "sector": "Energy", "sector_etf": "XLE", "sector_exposure_after": 13008.06, "sector_exposure_before": 13008.06, "sector_exposure_cap": 6000.0, "sector_exposure_limit_exceeded": false, "sector_regime": "STRONG", "sector_score": 70.83, "setup_score": 0.27, "setup_type": "Swing Low + Volume Support Buy Zone", "sizing_adjustment_reason": "", "spread_source": "liquidity_fallback", "stock_score": 0.27, "stop_loss": 224.7, "target_1": 238.23, "target_1_atr_distance": 0.1924, "target_2": 296.84, "target_2_atr_distance": 8.3641, "target_feasibility_status": "LOW_REWARD_DISTANCE", "theoretical_entry": 233.3, "ticker": "LNG", "timestamp": "2026-06-08T16:23:35", "warnings": ["Target 1 is close versus daily ATR."]}</t>
        </is>
      </c>
    </row>
    <row r="298">
      <c r="A298" t="inlineStr">
        <is>
          <t>2026-06-08T16:23:35</t>
        </is>
      </c>
      <c r="B298" t="inlineStr">
        <is>
          <t>DLR</t>
        </is>
      </c>
      <c r="C298" t="inlineStr">
        <is>
          <t>Breakout + Retest</t>
        </is>
      </c>
      <c r="D298" t="n">
        <v>0.22</v>
      </c>
      <c r="E298" t="n">
        <v>183.8</v>
      </c>
      <c r="F298" t="n">
        <v>178.83</v>
      </c>
      <c r="G298" t="n">
        <v>182.95</v>
      </c>
      <c r="H298" t="n">
        <v>176.77</v>
      </c>
      <c r="I298" t="n">
        <v>187.42</v>
      </c>
      <c r="J298" t="n">
        <v>201.34</v>
      </c>
      <c r="K298" t="n">
        <v>1.21</v>
      </c>
      <c r="L298" t="inlineStr">
        <is>
          <t>Price (183.80) retesting broken resistance (182.95) as support. Breakout on 2026-04-08 with 2.2× avg volume. Volume confirmed breakout. Entry at 183.80, stop at 176.77.</t>
        </is>
      </c>
      <c r="M298" t="inlineStr">
        <is>
          <t>WATCH</t>
        </is>
      </c>
      <c r="N298" t="inlineStr">
        <is>
          <t>WATCH: Technical setup detected, but weighted risk/reward 1.21 is below minimum 2.00. Market regime NEUTRAL; sector NEUTRAL; net R/R 0.95.</t>
        </is>
      </c>
      <c r="O298" t="inlineStr">
        <is>
          <t>DLR
Breakout + Retest
0.22
score
Price
183.80
R/R
1.21x
Grade
D
Quality
50%
Buy Zone
178.83 - 182.95
Stop
176.77
Targets
187.42 / 201.34
Low-quality setup
Mixed
Relative Strength
In line
56%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In line.
Price (183.80) retesting broken resistance (182.95) as support. Breakout on 2026-04-08 with 2.2× avg volume. Volume confirmed breakout. Entry at 183.80, stop at 176.77.
Fib 61.8
188.75
Fib Zone
187.72 - 189.78
Swing Low
184.95
Swing High
194.89
Save setup
Click chart to open full size</t>
        </is>
      </c>
      <c r="P298" t="inlineStr">
        <is>
          <t>agent_results/charts/market_lens_agent_20260608_162118_dlr.png</t>
        </is>
      </c>
      <c r="Q298" t="inlineStr">
        <is>
          <t>Smart Universe: broad liquid US universe, diversified by sector | Sector: Real Estate - Neutral (67/100); XLRE sector regime is neutral: 3.6% 3m return, -6.5% vs SPY | Setup: Breakout + Retest; score 0.22; R/R 1.21x; price 183.80 | Market: NEUTRAL; Sector regime: NEUTRAL; Net R/R: 0.95; Factors: Real Estate | Agent action: WATCH - WATCH: Technical setup detected, but weighted risk/reward 1.21 is below minimum 2.00. Market regime NEUTRAL; sector NEUTRAL; net R/R 0.95.</t>
        </is>
      </c>
      <c r="R29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0.919, "estimated_spread": 0.147, "executable_entry": 183.8, "execution_liquidity_bucket": "mid_liquid", "factor_exposure_after": {"Energy": 13008.06}, "factor_exposure_before": {"Energy": 13008.06}, "factor_exposure_cap": 7000.0, "factor_exposure_limit_exceeded": false, "factor_tags": ["Real Estate"], "final_action": "WATCH", "gross_reward_1_per_share": 3.62, "gross_reward_2_per_share": 17.54, "gross_risk_per_share": 7.03, "gross_rr": 1.208, "gross_rr_1": 0.5149, "gross_rr_2": 2.495, "gross_rr_decision": 1.208, "highest_correlation_ticker": "XOM", "highest_correlation_value": -0.263, "initial_action": "WATCH", "market_cap": 64556811478.99, "market_cap_bucket": "Large Cap", "market_regime": "NEUTRAL", "market_regime_indicators": {"DXY": {"ema20": 99.2094, "ema200": 98.7985, "ema50": 98.9471, "price": 99.935, "return_1m": 2.14, "return_3m": 1.12, "trend": "bullish"}, "IWM": {"ema20": 284.9297, "ema200": 267.0462, "ema50": 277.1992, "price": 285.84, "return_1m": 0.59, "return_3m": 13.02, "trend": "bullish"}, "QQQ": {"ema20": 717.8905, "ema200": 650.7457, "ema50": 684.5649, "price": 720.9, "return_1m": 1.36, "return_3m": 18.76, "trend": "bullish"}, "SPY": {"ema20": 743.6487, "ema200": 702.8329, "ema50": 723.8849, "price": 743.36, "return_1m": 0.78, "return_3m": 10.07, "trend": "mixed"}, "US10Y": {"ema20": 4.4891, "ema200": 4.3154, "ema50": 4.417, "price": 4.556, "return_1m": 4.4, "return_3m": 10.15, "trend": "bullish"}, "VIX": {"ema20": 17.3211, "ema200": 18.7765, "ema50": 18.3865, "price": 18.39, "return_1m": 0.05, "return_3m": -24.1, "trend": "mixed"}}, "market_regime_reason": "Market regime is mixed; use lower exposure and higher net R/R.", "market_regime_score": 0.52, "market_structure_status": "SUPPORTED_BY_20D_RESISTANCE", "minimum_net_rr_required": 2.5, "net_entry": 184.333, "net_reward_1_per_share": 2.7837, "net_reward_2_per_share": 16.7037, "net_risk_per_share": 8.096, "net_rr": 0.9456, "net_rr_1": 0.3438, "net_rr_2": 2.0632, "net_stop_assumption": 176.237, "net_target_1_assumption": 187.1167, "net_target_2_assumption": 201.0367, "normalized_atr_score": 100.0, "normalized_liquidity_score": 40.07, "normalized_momentum_score": 47.75, "normalized_quality_score": 58.51, "original_cash_out": 0.0, "original_position_size": 0, "original_risk_amount": 0.0, "portfolio_exposure_after": 13009.26, "portfolio_exposure_before": 13009.26, "position_size": 0, "position_size_adjusted": false, "position_sizing_explanation": "No new position size was calculated because the base decision did not open a simulated buy.", "previous_resistance": 197.54, "price": 183.8, "prior_high_20": 197.54, "prior_high_63": 208.14, "reason": "WATCH: Technical setup detected, but weighted risk/reward 1.21 is below minimum 2.00. Market regime NEUTRAL; sector NEUTRAL; net R/R 0.95.",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67.1, "setup_score": 0.22, "setup_type": "Breakout + Retest", "sizing_adjustment_reason": "", "spread_source": "liquidity_fallback", "stock_score": 0.22, "stop_loss": 176.77, "target_1": 187.42, "target_1_atr_distance": 0.879, "target_2": 201.34, "target_2_atr_distance": 4.2589, "target_feasibility_status": "OK", "theoretical_entry": 178.83, "ticker": "DLR", "timestamp": "2026-06-08T16:23:35", "warnings": []}</t>
        </is>
      </c>
    </row>
    <row r="299">
      <c r="A299" t="inlineStr">
        <is>
          <t>2026-06-08T16:36:35</t>
        </is>
      </c>
      <c r="B299" t="inlineStr">
        <is>
          <t>XOM</t>
        </is>
      </c>
      <c r="C299" t="inlineStr">
        <is>
          <t>Fib 61.8 Confluence Buy Zone</t>
        </is>
      </c>
      <c r="D299" t="n">
        <v>0.51</v>
      </c>
      <c r="E299" t="n">
        <v>151.24</v>
      </c>
      <c r="F299" t="n">
        <v>149.87</v>
      </c>
      <c r="G299" t="n">
        <v>151.87</v>
      </c>
      <c r="H299" t="n">
        <v>146.99</v>
      </c>
      <c r="I299" t="n">
        <v>152.1</v>
      </c>
      <c r="J299" t="n">
        <v>173.86</v>
      </c>
      <c r="K299" t="n">
        <v>1.99</v>
      </c>
      <c r="L299" t="inlineStr">
        <is>
          <t>Price at 61.8% fib retracement (150.87) with confluence at VWAP. Planned entry at zone low 149.87; executable entry 151.24, stop below fib 78.6% at 146.99.</t>
        </is>
      </c>
      <c r="M299" t="inlineStr">
        <is>
          <t>HOLD</t>
        </is>
      </c>
      <c r="N299" t="inlineStr">
        <is>
          <t>HOLD: Existing simulated position remains open. NEUTRAL regime recorded.</t>
        </is>
      </c>
      <c r="O299" t="inlineStr">
        <is>
          <t>XOM
Fib 61.8 Confluence Buy Zone
0.51
score
Price
151.24
R/R
1.99x
Grade
C
Quality
64%
Buy Zone
149.87 - 151.87
Stop
146.99
Targets
152.10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151.24, stop below fib 78.6% at 146.99.
Fib 61.8
150.87
Fib Zone
149.87 - 151.87
Swing Low
142.95
Swing High
163.68
Save setup
Click chart to open full size</t>
        </is>
      </c>
      <c r="P299" t="inlineStr">
        <is>
          <t>agent_results/charts/market_lens_agent_20260608_163424_xom.png</t>
        </is>
      </c>
      <c r="Q299" t="inlineStr">
        <is>
          <t>Smart Universe: broad liquid US universe, diversified by sector | Sector: Energy - Strong (71/100); XLE sector regime is strong: 5.4% 3m return, -4.5% vs SPY | Setup: Fib 61.8 Confluence Buy Zone; score 0.51; R/R 1.99x; price 151.24 | Market: NEUTRAL; Sector regime: STRONG; Net R/R: 1.84; Factors: Energy | Agent action: HOLD - HOLD: Existing simulated position remains open. NEUTRAL regime recorded.</t>
        </is>
      </c>
      <c r="R29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0.2117, "estimated_spread": 0.0454, "executable_entry": 151.24, "execution_liquidity_bucket": "large_liquid", "factor_exposure_after": {"Energy": 9980.46}, "factor_exposure_before": {"Energy": 9980.46}, "factor_exposure_cap": 7000.0, "factor_exposure_limit_exceeded": false, "factor_tags": ["Energy"], "final_action": "HOLD", "gross_reward_1_per_share": 0.86, "gross_reward_2_per_share": 22.62, "gross_risk_per_share": 4.25, "gross_rr": 1.9944, "gross_rr_1": 0.2024, "gross_rr_2": 5.3224, "gross_rr_decision": 1.9944, "highest_correlation_ticker": "APA", "highest_correlation_value": 0.7761, "initial_action": "HOLD", "market_cap": 626467311534.81,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151.3686, "net_reward_1_per_share": 0.6558, "net_reward_2_per_share": 22.4158, "net_risk_per_share": 4.5071, "net_rr": 1.8353, "net_rr_1": 0.1455, "net_rr_2": 4.9734, "net_stop_assumption": 146.8614, "net_target_1_assumption": 152.0244, "net_target_2_assumption": 173.7844, "normalized_atr_score": 100.0, "normalized_liquidity_score": 57.85, "normalized_momentum_score": 68.21, "normalized_quality_score": 73.05,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163.68, "price": 151.24,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9980.46, "sector_exposure_before": 9980.46, "sector_exposure_cap": 6000.0, "sector_exposure_limit_exceeded": false, "sector_regime": "STRONG", "sector_score": 70.92, "setup_score": 0.51, "setup_type": "Fib 61.8 Confluence Buy Zone", "sizing_adjustment_reason": "", "spread_source": "liquidity_fallback", "stock_score": 0.51, "stop_loss": 146.99, "target_1": 152.1, "target_1_atr_distance": 0.2158, "target_2": 173.86, "target_2_atr_distance": 5.6754, "target_feasibility_status": "LOW_REWARD_DISTANCE", "theoretical_entry": 149.87, "ticker": "XOM", "timestamp": "2026-06-08T16:36:35", "warnings": ["Target 1 is close versus daily ATR."]}</t>
        </is>
      </c>
    </row>
    <row r="300">
      <c r="A300" t="inlineStr">
        <is>
          <t>2026-06-08T16:36:35</t>
        </is>
      </c>
      <c r="B300" t="inlineStr">
        <is>
          <t>INTC</t>
        </is>
      </c>
      <c r="C300" t="inlineStr">
        <is>
          <t>Fib 61.8 Confluence Buy Zone</t>
        </is>
      </c>
      <c r="D300" t="n">
        <v>0.43</v>
      </c>
      <c r="E300" t="n">
        <v>111.36</v>
      </c>
      <c r="F300" t="n">
        <v>109.46</v>
      </c>
      <c r="G300" t="n">
        <v>113.86</v>
      </c>
      <c r="H300" t="n">
        <v>106.71</v>
      </c>
      <c r="I300" t="n">
        <v>114.52</v>
      </c>
      <c r="J300" t="n">
        <v>126.64</v>
      </c>
      <c r="K300" t="n">
        <v>1.59</v>
      </c>
      <c r="L300" t="inlineStr">
        <is>
          <t>Price at 61.8% fib retracement (111.66) with confluence at POC, VWAP. Planned entry at zone low 109.46; executable entry 111.36, stop below fib 78.6% at 106.71. Structural confluence: swing low at 40.63 aligns with VAL (42.49).</t>
        </is>
      </c>
      <c r="M300" t="inlineStr">
        <is>
          <t>WATCH</t>
        </is>
      </c>
      <c r="N300" t="inlineStr">
        <is>
          <t>WATCH: Technical setup detected, but weighted risk/reward 1.59 is below minimum 2.00. Market regime NEUTRAL; sector STRONG; net R/R 1.49.</t>
        </is>
      </c>
      <c r="O300" t="inlineStr">
        <is>
          <t>INTC
Fib 61.8 Confluence Buy Zone
0.43
score
Price
111.36
R/R
1.59x
Grade
B
Quality
65%
Buy Zone
109.46 - 113.86
Stop
106.71
Targets
114.52 / 126.64
Tradable if trigger confirms
Mixed
Relative Strength
Leadership
100%
Trend Quality
Constructive
68%
Liquidity
Institutional liquidity
100%
Volume
Distribution risk
30%
Trigger
Break above prior-day high at 111.36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111.36, stop below fib 78.6% at 106.71. Structural confluence: swing low at 40.63 aligns with VAL (42.49).
Fib 61.8
111.66
Fib Zone
109.46 - 113.86
Swing Low
102.40
Swing High
126.64
Save setup
Click chart to open full size</t>
        </is>
      </c>
      <c r="P300" t="inlineStr">
        <is>
          <t>agent_results/charts/market_lens_agent_20260608_163424_intc.png</t>
        </is>
      </c>
      <c r="Q300" t="inlineStr">
        <is>
          <t>Smart Universe: broad liquid US universe, diversified by sector | Sector: Technology - Strong (98/100); XLK sector regime is strong: 32.9% 3m return, 23.0% vs SPY | Setup: Fib 61.8 Confluence Buy Zone; score 0.43; R/R 1.59x; price 111.36 | Market: NEUTRAL; Sector regime: STRONG; Net R/R: 1.49; Factors: AI / Semiconductors, Technology | Agent action: WATCH - WATCH: Technical setup detected, but weighted risk/reward 1.59 is below minimum 2.00. Market regime NEUTRAL; sector STRONG; net R/R 1.49.</t>
        </is>
      </c>
      <c r="R300" t="inlineStr">
        <is>
          <t>{"adjusted_cash_out": 0.0, "adjusted_position_size": 0, "adjusted_risk_amount": 0.0, "ask": 0.0, "bid": 0.0, "buy_zone_high": 113.86, "buy_zone_low": 109.46, "cash_available": 87010.85, "company_name": "Intel Corporation", "correlation_warning": false, "days_to_earnings": 33, "earnings_blackout": false, "earnings_date": "2026-07-23T00:00:00", "estimated_fees": 0.0, "estimated_slippage": 0.1793, "estimated_spread": 0.0334, "executable_entry": 111.36, "execution_liquidity_bucket": "large_liquid", "factor_exposure_after": {"Energy": 13005.26}, "factor_exposure_before": {"Energy": 13005.26}, "factor_exposure_cap": 7000.0, "factor_exposure_limit_exceeded": false, "factor_tags": ["AI / Semiconductors", "Technology"], "final_action": "WATCH", "gross_reward_1_per_share": 3.16, "gross_reward_2_per_share": 15.28, "gross_risk_per_share": 4.65, "gross_rr": 1.5918, "gross_rr_1": 0.6796, "gross_rr_2": 3.286, "gross_rr_decision": 1.5918, "highest_correlation_ticker": "APA", "highest_correlation_value": -0.1873, "initial_action": "WATCH", "market_cap": 560047181533.81,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111.4663, "net_reward_1_per_share": 2.9921, "net_reward_2_per_share": 15.1121, "net_risk_per_share": 4.8627, "net_rr": 1.4877, "net_rr_1": 0.6153, "net_rr_2": 3.1078, "net_stop_assumption": 106.6037, "net_target_1_assumption": 114.4585, "net_target_2_assumption": 126.5785, "normalized_atr_score": 67.8, "normalized_liquidity_score": 100, "normalized_momentum_score": 100, "normalized_quality_score": 91.95,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132.75, "price": 111.36, "prior_high_20": 132.75, "prior_high_63": 132.75, "reason": "WATCH: Technical setup detected, but weighted risk/reward 1.59 is below minimum 2.00. Market regime NEUTRAL; sector STRONG; net R/R 1.49.",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0.43, "setup_type": "Fib 61.8 Confluence Buy Zone", "sizing_adjustment_reason": "", "spread_source": "liquidity_fallback", "stock_score": 0.43, "stop_loss": 106.71, "target_1": 114.52, "target_1_atr_distance": 0.3594, "target_2": 126.64, "target_2_atr_distance": 1.7377, "target_feasibility_status": "LOW_REWARD_DISTANCE", "theoretical_entry": 109.46, "ticker": "INTC", "timestamp": "2026-06-08T16:36:35", "warnings": ["Target 1 is close versus daily ATR."]}</t>
        </is>
      </c>
    </row>
    <row r="301">
      <c r="A301" t="inlineStr">
        <is>
          <t>2026-06-08T16:36:35</t>
        </is>
      </c>
      <c r="B301" t="inlineStr">
        <is>
          <t>APA</t>
        </is>
      </c>
      <c r="C301" t="inlineStr">
        <is>
          <t>Fib 61.8 Confluence Buy Zone</t>
        </is>
      </c>
      <c r="D301" t="n">
        <v>0.43</v>
      </c>
      <c r="E301" t="n">
        <v>37.42</v>
      </c>
      <c r="F301" t="n">
        <v>37.24</v>
      </c>
      <c r="G301" t="n">
        <v>37.99</v>
      </c>
      <c r="H301" t="n">
        <v>36.39</v>
      </c>
      <c r="I301" t="n">
        <v>38.38</v>
      </c>
      <c r="J301" t="n">
        <v>44.19</v>
      </c>
      <c r="K301" t="n">
        <v>2.91</v>
      </c>
      <c r="L301" t="inlineStr">
        <is>
          <t>Price at 61.8% fib retracement (37.62) with confluence at VWAP. Planned entry at zone low 37.24; executable entry 37.42, stop below fib 78.6% at 36.39.</t>
        </is>
      </c>
      <c r="M301" t="inlineStr">
        <is>
          <t>HOLD</t>
        </is>
      </c>
      <c r="N301" t="inlineStr">
        <is>
          <t>HOLD: Existing simulated position remains open. NEUTRAL regime recorded.</t>
        </is>
      </c>
      <c r="O301" t="inlineStr">
        <is>
          <t>APA
Fib 61.8 Confluence Buy Zone
0.43
score
Price
37.42
R/R
2.91x
Grade
B
Quality
69%
Buy Zone
37.24 - 37.99
Stop
36.39
Targets
38.38 / 44.19
Tradable if trigger confirms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37.42, stop below fib 78.6% at 36.39.
Fib 61.8
37.62
Fib Zone
37.24 - 37.99
Swing Low
35.17
Swing High
41.58
Save setup
Click chart to open full size</t>
        </is>
      </c>
      <c r="P301" t="inlineStr">
        <is>
          <t>agent_results/charts/market_lens_agent_20260608_163424_apa.png</t>
        </is>
      </c>
      <c r="Q301" t="inlineStr">
        <is>
          <t>Smart Universe: broad liquid US universe, diversified by sector | Sector: Energy - Strong (71/100); XLE sector regime is strong: 5.4% 3m return, -4.5% vs SPY | Setup: Fib 61.8 Confluence Buy Zone; score 0.43; R/R 2.91x; price 37.42 | Market: NEUTRAL; Sector regime: STRONG; Net R/R: 2.46; Factors: Energy | Agent action: HOLD - HOLD: Existing simulated position remains open. NEUTRAL regime recorded.</t>
        </is>
      </c>
      <c r="R301"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0.1123, "estimated_spread": 0.0299, "executable_entry": 37.42, "execution_liquidity_bucket": "mid_liquid", "factor_exposure_after": {"Energy": 3024.8}, "factor_exposure_before": {"Energy": 3024.8}, "factor_exposure_cap": 7000.0, "factor_exposure_limit_exceeded": false, "factor_tags": ["Energy"], "final_action": "HOLD", "gross_reward_1_per_share": 0.96, "gross_reward_2_per_share": 6.77, "gross_risk_per_share": 1.03, "gross_rr": 2.9063, "gross_rr_1": 0.932, "gross_rr_2": 6.5728, "gross_rr_decision": 2.9063, "highest_correlation_ticker": "XOM", "highest_correlation_value": 0.7761, "initial_action": "HOLD", "market_cap": 13212717462.81,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37.4911, "net_reward_1_per_share": 0.8459, "net_reward_2_per_share": 6.6559, "net_risk_per_share": 1.1722, "net_rr": 2.4564, "net_rr_1": 0.7216, "net_rr_2": 5.6781, "net_stop_assumption": 36.3189, "net_target_1_assumption": 38.337, "net_target_2_assumption": 44.147, "normalized_atr_score": 100.0, "normalized_liquidity_score": 27.56, "normalized_momentum_score": 100, "normalized_quality_score": 78.27,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41.58, "price": 37.42,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3024.8, "sector_exposure_before": 3024.8, "sector_exposure_cap": 6000.0, "sector_exposure_limit_exceeded": false, "sector_regime": "STRONG", "sector_score": 70.92, "setup_score": 0.43, "setup_type": "Fib 61.8 Confluence Buy Zone", "sizing_adjustment_reason": "", "spread_source": "liquidity_fallback", "stock_score": 0.43, "stop_loss": 36.39, "target_1": 38.38, "target_1_atr_distance": 0.6391, "target_2": 44.19, "target_2_atr_distance": 4.5067, "target_feasibility_status": "LOW_REWARD_DISTANCE", "theoretical_entry": 37.24, "ticker": "APA", "timestamp": "2026-06-08T16:36:35", "warnings": ["Target 1 is close versus daily ATR."]}</t>
        </is>
      </c>
    </row>
    <row r="302">
      <c r="A302" t="inlineStr">
        <is>
          <t>2026-06-08T16:36:35</t>
        </is>
      </c>
      <c r="B302" t="inlineStr">
        <is>
          <t>CRM</t>
        </is>
      </c>
      <c r="C302" t="inlineStr">
        <is>
          <t>Breakout + Retest</t>
        </is>
      </c>
      <c r="D302" t="n">
        <v>0.42</v>
      </c>
      <c r="E302" t="n">
        <v>182.29</v>
      </c>
      <c r="F302" t="n">
        <v>178.24</v>
      </c>
      <c r="G302" t="n">
        <v>187.44</v>
      </c>
      <c r="H302" t="n">
        <v>173.65</v>
      </c>
      <c r="I302" t="n">
        <v>190.31</v>
      </c>
      <c r="J302" t="n">
        <v>211.34</v>
      </c>
      <c r="K302" t="n">
        <v>1.78</v>
      </c>
      <c r="L302" t="inlineStr">
        <is>
          <t>Price (182.29) retesting broken resistance (187.44) as support. Breakout on 2026-05-29 with 2.6× avg volume. Volume confirmed breakout. Entry at 182.29, stop at 173.65.</t>
        </is>
      </c>
      <c r="M302" t="inlineStr">
        <is>
          <t>WATCH</t>
        </is>
      </c>
      <c r="N302" t="inlineStr">
        <is>
          <t>WATCH: Technical setup detected, but weighted risk/reward 1.78 is below minimum 2.00. Market regime NEUTRAL; sector STRONG; net R/R 1.60.</t>
        </is>
      </c>
      <c r="O302" t="inlineStr">
        <is>
          <t>CRM
Breakout + Retest
0.42
score
Price
182.29
R/R
1.78x
Grade
A
Quality
80%
Buy Zone
178.24 - 187.44
Stop
173.65
Targets
190.31 / 211.34
High-quality watchlist candidate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(182.29) retesting broken resistance (187.44) as support. Breakout on 2026-05-29 with 2.6× avg volume. Volume confirmed breakout. Entry at 182.29, stop at 173.65.
Fib 61.8
186.81
Fib Zone
184.51 - 189.11
Swing Low
171.65
Swing High
211.34
Save setup
Click chart to open full size</t>
        </is>
      </c>
      <c r="P302" t="inlineStr">
        <is>
          <t>agent_results/charts/market_lens_agent_20260608_163424_crm.png</t>
        </is>
      </c>
      <c r="Q302" t="inlineStr">
        <is>
          <t>Smart Universe: broad liquid US universe, diversified by sector | Sector: Technology - Strong (98/100); XLK sector regime is strong: 32.9% 3m return, 23.0% vs SPY | Setup: Breakout + Retest; score 0.42; R/R 1.78x; price 182.29 | Market: NEUTRAL; Sector regime: STRONG; Net R/R: 1.60; Factors: Technology | Agent action: WATCH - WATCH: Technical setup detected, but weighted risk/reward 1.78 is below minimum 2.00. Market regime NEUTRAL; sector STRONG; net R/R 1.60.</t>
        </is>
      </c>
      <c r="R302" t="inlineStr">
        <is>
          <t>{"adjusted_cash_out": 0.0, "adjusted_position_size": 0, "adjusted_risk_amount": 0.0, "ask": 0.0, "bid": 0.0, "buy_zone_high": 187.44, "buy_zone_low": 178.24, "cash_available": 87010.85, "company_name": "Salesforce, Inc.", "correlation_warning": false, "days_to_earnings": 62, "earnings_blackout": false, "earnings_date": "2026-09-02T00:00:00", "estimated_fees": 0.0, "estimated_slippage": 0.6198, "estimated_spread": 0.0547, "executable_entry": 182.29, "execution_liquidity_bucket": "large_liquid", "factor_exposure_after": {"Energy": 13015.94}, "factor_exposure_before": {"Energy": 13015.94}, "factor_exposure_cap": 7000.0, "factor_exposure_limit_exceeded": false, "factor_tags": ["Technology"], "final_action": "WATCH", "gross_reward_1_per_share": 8.02, "gross_reward_2_per_share": 29.05, "gross_risk_per_share": 8.64, "gross_rr": 1.7802, "gross_rr_1": 0.9282, "gross_rr_2": 3.3623, "gross_rr_decision": 1.7802, "highest_correlation_ticker": "APA", "highest_correlation_value": 0.1177, "initial_action": "WATCH", "market_cap": 149262750000.0,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182.6272, "net_reward_1_per_share": 7.5005, "net_reward_2_per_share": 28.5305, "net_risk_per_share": 9.3145, "net_rr": 1.5955, "net_rr_1": 0.8052, "net_rr_2": 3.063, "net_stop_assumption": 173.3128, "net_target_1_assumption": 190.1277, "net_target_2_assumption": 211.1577, "normalized_atr_score": 100.0, "normalized_liquidity_score": 97.08, "normalized_momentum_score": 30.34, "normalized_quality_score": 67.78,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211.34, "price": 182.29, "prior_high_20": 211.34, "prior_high_63": 211.34, "reason": "WATCH: Technical setup detected, but weighted risk/reward 1.78 is below minimum 2.00. Market regime NEUTRAL; sector STRONG; net R/R 1.60.",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0.42, "setup_type": "Breakout + Retest", "sizing_adjustment_reason": "", "spread_source": "liquidity_fallback", "stock_score": 0.42, "stop_loss": 173.65, "target_1": 190.31, "target_1_atr_distance": 0.8722, "target_2": 211.34, "target_2_atr_distance": 3.1593, "target_feasibility_status": "OK", "theoretical_entry": 178.24, "ticker": "CRM", "timestamp": "2026-06-08T16:36:35", "warnings": []}</t>
        </is>
      </c>
    </row>
    <row r="303">
      <c r="A303" t="inlineStr">
        <is>
          <t>2026-06-08T16:36:35</t>
        </is>
      </c>
      <c r="B303" t="inlineStr">
        <is>
          <t>CB</t>
        </is>
      </c>
      <c r="C303" t="inlineStr">
        <is>
          <t>Fib 61.8 Confluence Buy Zone</t>
        </is>
      </c>
      <c r="D303" t="n">
        <v>0.42</v>
      </c>
      <c r="E303" t="n">
        <v>322.46</v>
      </c>
      <c r="F303" t="n">
        <v>320.72</v>
      </c>
      <c r="G303" t="n">
        <v>323.87</v>
      </c>
      <c r="H303" t="n">
        <v>318.47</v>
      </c>
      <c r="I303" t="n">
        <v>323.56</v>
      </c>
      <c r="J303" t="n">
        <v>334.03</v>
      </c>
      <c r="K303" t="n">
        <v>1.2</v>
      </c>
      <c r="L303" t="inlineStr">
        <is>
          <t>Price at 61.8% fib retracement (322.29) with confluence at VAL, VWAP. Planned entry at zone low 320.72; executable entry 322.46, stop below fib 78.6% at 318.47.</t>
        </is>
      </c>
      <c r="M303" t="inlineStr">
        <is>
          <t>WATCH</t>
        </is>
      </c>
      <c r="N303" t="inlineStr">
        <is>
          <t>WATCH: Technical setup detected, but weighted risk/reward 1.20 is below minimum 2.00. Market regime NEUTRAL; sector STRONG; net R/R 0.95.</t>
        </is>
      </c>
      <c r="O303" t="inlineStr">
        <is>
          <t>CB
Fib 61.8 Confluence Buy Zone
0.42
score
Price
322.46
R/R
1.20x
Grade
C
Quality
58%
Buy Zone
320.72 - 323.87
Stop
318.47
Targets
323.56 / 334.03
Watch only; needs confirmation
Mixed
Relative Strength
Leadership
83%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320.72; executable entry 322.46, stop below fib 78.6% at 318.47.
Fib 61.8
322.29
Fib Zone
320.72 - 323.87
Swing Low
315.04
Swing High
334.03
Save setup
Click chart to open full size</t>
        </is>
      </c>
      <c r="P303" t="inlineStr">
        <is>
          <t>agent_results/charts/market_lens_agent_20260608_163424_cb.png</t>
        </is>
      </c>
      <c r="Q303" t="inlineStr">
        <is>
          <t>Smart Universe: broad liquid US universe, diversified by sector | Sector: Financials - Strong (69/100); XLF sector regime is strong: 4.8% 3m return, -5.1% vs SPY | Setup: Fib 61.8 Confluence Buy Zone; score 0.42; R/R 1.20x; price 322.46 | Market: NEUTRAL; Sector regime: STRONG; Net R/R: 0.95; Factors: Financials | Agent action: WATCH - WATCH: Technical setup detected, but weighted risk/reward 1.20 is below minimum 2.00. Market regime NEUTRAL; sector STRONG; net R/R 0.95.</t>
        </is>
      </c>
      <c r="R303" t="inlineStr">
        <is>
          <t>{"adjusted_cash_out": 0.0, "adjusted_position_size": 0, "adjusted_risk_amount": 0.0, "ask": 0.0, "bid": 0.0, "buy_zone_high": 323.87, "buy_zone_low": 320.72, "cash_available": 87010.85, "company_name": "Chubb Limited", "correlation_warning": false, "days_to_earnings": 36, "earnings_blackout": false, "earnings_date": "2026-07-28T00:00:00", "estimated_fees": 0.0, "estimated_slippage": 0.4514, "estimated_spread": 0.0967, "executable_entry": 322.46, "execution_liquidity_bucket": "large_liquid", "factor_exposure_after": {"Energy": 13015.94}, "factor_exposure_before": {"Energy": 13015.94}, "factor_exposure_cap": 7000.0, "factor_exposure_limit_exceeded": false, "factor_tags": ["Financials"], "final_action": "WATCH", "gross_reward_1_per_share": 1.1, "gross_reward_2_per_share": 11.57, "gross_risk_per_share": 3.99, "gross_rr": 1.1941, "gross_rr_1": 0.2757, "gross_rr_2": 2.8997, "gross_rr_decision": 1.1941, "highest_correlation_ticker": "XOM", "highest_correlation_value": 0.0891, "initial_action": "WATCH", "market_cap": 125236155307.88,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322.7341, "net_reward_1_per_share": 0.6647, "net_reward_2_per_share": 11.1347, "net_risk_per_share": 4.5382, "net_rr": 0.9539, "net_rr_1": 0.1465, "net_rr_2": 2.4536, "net_stop_assumption": 318.1959, "net_target_1_assumption": 323.3988, "net_target_2_assumption": 333.8688, "normalized_atr_score": 100.0, "normalized_liquidity_score": 49.52, "normalized_momentum_score": 50.25, "normalized_quality_score": 62.47,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334.03, "price": 322.46, "prior_high_20": 334.03, "prior_high_63": 336.14, "reason": "WATCH: Technical setup detected, but weighted risk/reward 1.20 is below minimum 2.00. Market regime NEUTRAL; sector STRONG; net R/R 0.95.",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69.36, "setup_score": 0.42, "setup_type": "Fib 61.8 Confluence Buy Zone", "sizing_adjustment_reason": "", "spread_source": "liquidity_fallback", "stock_score": 0.42, "stop_loss": 318.47, "target_1": 323.56, "target_1_atr_distance": 0.1748, "target_2": 334.03, "target_2_atr_distance": 1.8383, "target_feasibility_status": "LOW_REWARD_DISTANCE", "theoretical_entry": 320.72, "ticker": "CB", "timestamp": "2026-06-08T16:36:35", "warnings": ["Target 1 is close versus daily ATR."]}</t>
        </is>
      </c>
    </row>
    <row r="304">
      <c r="A304" t="inlineStr">
        <is>
          <t>2026-06-08T16:36:35</t>
        </is>
      </c>
      <c r="B304" t="inlineStr">
        <is>
          <t>PH</t>
        </is>
      </c>
      <c r="C304" t="inlineStr">
        <is>
          <t>Breakout + Retest</t>
        </is>
      </c>
      <c r="D304" t="n">
        <v>0.41</v>
      </c>
      <c r="E304" t="n">
        <v>886.98</v>
      </c>
      <c r="F304" t="n">
        <v>857.64</v>
      </c>
      <c r="G304" t="n">
        <v>880</v>
      </c>
      <c r="H304" t="n">
        <v>846.46</v>
      </c>
      <c r="I304" t="n">
        <v>903.96</v>
      </c>
      <c r="J304" t="n">
        <v>1026.68</v>
      </c>
      <c r="K304" t="n">
        <v>1.48</v>
      </c>
      <c r="L304" t="inlineStr">
        <is>
          <t>Price (886.98) retesting broken resistance (880.00) as support. Breakout on 2026-06-05 with 1.2× avg volume. Entry at 886.98, stop at 846.46.</t>
        </is>
      </c>
      <c r="M304" t="inlineStr">
        <is>
          <t>WATCH</t>
        </is>
      </c>
      <c r="N304" t="inlineStr">
        <is>
          <t>WATCH: Technical setup detected, but weighted risk/reward 1.48 is below minimum 2.00. Market regime NEUTRAL; sector NEUTRAL; net R/R 1.31.</t>
        </is>
      </c>
      <c r="O304" t="inlineStr">
        <is>
          <t>PH
Breakout + Retest
0.41
score
Price
886.98
R/R
1.48x
Grade
B
Quality
67%
Buy Zone
857.64 - 880.00
Stop
846.46
Targets
903.96 / 1026.68
Tradable if trigger confirms
Mixed
Relative Strength
Leadership
100%
Trend Quality
Messy
18%
Liquidity
Institutional liquidity
100%
Volume
Neutral
65%
Trigger
Close above 898.98 or reclaim of broken resistance.
Invalidation
Exit if price closes below 846.46 or setup support fails.
Trend quality is not clean.
Market regime: Mixed.
Relative strength: Leadership.
Price (886.98) retesting broken resistance (880.00) as support. Breakout on 2026-06-05 with 1.2× avg volume. Entry at 886.98, stop at 846.46.
Fib 61.8
921.68
Fib Zone
916.09 - 927.27
Swing Low
856.78
Swing High
1026.68
Save setup
Click chart to open full size</t>
        </is>
      </c>
      <c r="P304" t="inlineStr">
        <is>
          <t>agent_results/charts/market_lens_agent_20260608_163424_ph.png</t>
        </is>
      </c>
      <c r="Q304" t="inlineStr">
        <is>
          <t>Smart Universe: broad liquid US universe, diversified by sector | Sector: Industrials - Neutral (67/100); XLI sector regime is neutral: 2.7% 3m return, -7.2% vs SPY | Setup: Breakout + Retest; score 0.41; R/R 1.48x; price 886.98 | Market: NEUTRAL; Sector regime: NEUTRAL; Net R/R: 1.31; Factors: Industrials | Agent action: WATCH - WATCH: Technical setup detected, but weighted risk/reward 1.48 is below minimum 2.00. Market regime NEUTRAL; sector NEUTRAL; net R/R 1.31.</t>
        </is>
      </c>
      <c r="R304" t="inlineStr">
        <is>
          <t>{"adjusted_cash_out": 0.0, "adjusted_position_size": 0, "adjusted_risk_amount": 0.0, "ask": 0.0, "bid": 0.0, "buy_zone_high": 880.0, "buy_zone_low": 857.64, "cash_available": 87010.85, "company_name": "Parker Hannifin Corporation", "correlation_warning": false, "days_to_earnings": 43, "earnings_blackout": false, "earnings_date": "2026-08-06T00:00:00", "estimated_fees": 0.0, "estimated_slippage": 3.0157, "estimated_spread": 0.2661, "executable_entry": 886.98, "execution_liquidity_bucket": "large_liquid", "factor_exposure_after": {"Energy": 13015.94}, "factor_exposure_before": {"Energy": 13015.94}, "factor_exposure_cap": 7000.0, "factor_exposure_limit_exceeded": false, "factor_tags": ["Industrials"], "final_action": "WATCH", "gross_reward_1_per_share": 16.98, "gross_reward_2_per_share": 139.7, "gross_risk_per_share": 40.52, "gross_rr": 1.4791, "gross_rr_1": 0.4191, "gross_rr_2": 3.4477, "gross_rr_decision": 1.4791, "highest_correlation_ticker": "XOM", "highest_correlation_value": -0.3416, "initial_action": "WATCH", "market_cap": 111737128423.34,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888.6209, "net_reward_1_per_share": 14.4521, "net_reward_2_per_share": 137.1721, "net_risk_per_share": 43.8018, "net_rr": 1.3105, "net_rr_1": 0.3299, "net_rr_2": 3.1317, "net_stop_assumption": 844.8191, "net_target_1_assumption": 903.073, "net_target_2_assumption": 1025.793, "normalized_atr_score": 100.0, "normalized_liquidity_score": 56.15, "normalized_momentum_score": 30.4, "normalized_quality_score": 55.52,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898.98, "price": 886.98,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66.57, "setup_score": 0.41, "setup_type": "Breakout + Retest", "sizing_adjustment_reason": "", "spread_source": "liquidity_fallback", "stock_score": 0.41, "stop_loss": 846.46, "target_1": 903.96, "target_1_atr_distance": 0.7594, "target_2": 1026.68, "target_2_atr_distance": 6.2476, "target_feasibility_status": "OK", "theoretical_entry": 857.64, "ticker": "PH", "timestamp": "2026-06-08T16:36:35", "warnings": []}</t>
        </is>
      </c>
    </row>
    <row r="305">
      <c r="A305" t="inlineStr">
        <is>
          <t>2026-06-08T16:36:35</t>
        </is>
      </c>
      <c r="B305" t="inlineStr">
        <is>
          <t>TMO</t>
        </is>
      </c>
      <c r="C305" t="inlineStr">
        <is>
          <t>Breakout + Retest</t>
        </is>
      </c>
      <c r="D305" t="n">
        <v>0.4</v>
      </c>
      <c r="E305" t="n">
        <v>472.15</v>
      </c>
      <c r="F305" t="n">
        <v>467.54</v>
      </c>
      <c r="G305" t="n">
        <v>481.83</v>
      </c>
      <c r="H305" t="n">
        <v>460.4</v>
      </c>
      <c r="I305" t="n">
        <v>483.58</v>
      </c>
      <c r="J305" t="n">
        <v>528.33</v>
      </c>
      <c r="K305" t="n">
        <v>2.31</v>
      </c>
      <c r="L305" t="inlineStr">
        <is>
          <t>Price (472.15) retesting broken resistance (481.83) as support. Breakout on 2026-05-28 with 1.8× avg volume. Volume confirmed breakout. Entry at 472.15, stop at 460.40.</t>
        </is>
      </c>
      <c r="M305" t="inlineStr">
        <is>
          <t>WATCH</t>
        </is>
      </c>
      <c r="N305" t="inlineStr">
        <is>
          <t>WATCH: Neutral market requires stronger setup score (0.40 &lt; 0.45).</t>
        </is>
      </c>
      <c r="O305" t="inlineStr">
        <is>
          <t>TMO
Breakout + Retest
0.40
score
Price
472.15
R/R
2.31x
Grade
B
Quality
74%
Buy Zone
467.54 - 481.83
Stop
460.40
Targets
483.58 / 528.33
Tradable if trigger confirms
Mixed
Relative Strength
Leadership
100%
Trend Quality
Messy
28%
Liquidity
Institutional liquidity
100%
Volume
Confirmed
80%
Trigger
Close above 486.79 or reclaim of broken resistance.
Invalidation
Exit if price closes below 460.40 or setup support fails.
Trend quality is not clean.
Market regime: Mixed.
Relative strength: Leadership.
Price (472.15) retesting broken resistance (481.83) as support. Breakout on 2026-05-28 with 1.8× avg volume. Volume confirmed breakout. Entry at 472.15, stop at 460.40.
Fib 61.8
459.61
Fib Zone
456.04 - 463.19
Swing Low
435.27
Swing High
499.00
Save setup
Click chart to open full size</t>
        </is>
      </c>
      <c r="P305" t="inlineStr">
        <is>
          <t>agent_results/charts/market_lens_agent_20260608_163424_tmo.png</t>
        </is>
      </c>
      <c r="Q305" t="inlineStr">
        <is>
          <t>Smart Universe: broad liquid US universe, diversified by sector | Sector: Healthcare - Neutral (66/100); XLV sector regime is neutral: 0.2% 3m return, -9.7% vs SPY | Setup: Breakout + Retest; score 0.40; R/R 2.31x; price 472.15 | Market: NEUTRAL; Sector regime: NEUTRAL; Net R/R: 1.91; Factors: Defensive, Healthcare | Agent action: WATCH - WATCH: Neutral market requires stronger setup score (0.40 &lt; 0.45).</t>
        </is>
      </c>
      <c r="R305" t="inlineStr">
        <is>
          <t>{"adjusted_cash_out": 5665.8, "adjusted_position_size": 12, "adjusted_risk_amount": 141.0, "ask": 0.0, "bid": 0.0, "buy_zone_high": 481.83, "buy_zone_low": 467.54, "cash_available": 87010.85, "company_name": "Thermo Fisher Scientific Inc.", "correlation_warning": false, "days_to_earnings": 32, "earnings_blackout": false, "earnings_date": "2026-07-22T00:00:00", "estimated_fees": 0.0, "estimated_slippage": 1.6053, "estimated_spread": 0.1416, "executable_entry": 472.15, "execution_liquidity_bucket": "large_liquid", "factor_exposure_after": {"Defensive": 5665.8, "Energy": 13015.94, "Healthcare": 5665.8}, "factor_exposure_before": {"Energy": 13015.94}, "factor_exposure_cap": 7000.0, "factor_exposure_limit_exceeded": false, "factor_tags": ["Defensive", "Healthcare"], "final_action": "WATCH", "gross_reward_1_per_share": 11.43, "gross_reward_2_per_share": 56.18, "gross_risk_per_share": 11.75, "gross_rr": 2.3057, "gross_rr_1": 0.9728, "gross_rr_2": 4.7813, "gross_rr_decision": 2.3057, "highest_correlation_ticker": "APA", "highest_correlation_value": -0.185, "initial_action": "BUY_SIMULATED", "market_cap": 175472220621.86,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473.0235, "net_reward_1_per_share": 10.0844, "net_reward_2_per_share": 54.8344, "net_risk_per_share": 13.497, "net_rr": 1.9076, "net_rr_1": 0.7472, "net_rr_2": 4.0627, "net_stop_assumption": 459.5265, "net_target_1_assumption": 483.1078, "net_target_2_assumption": 527.8579, "normalized_atr_score": 100.0, "normalized_liquidity_score": 70.99, "normalized_momentum_score": 34.92, "normalized_quality_score": 62.01, "original_cash_out": 9915.15, "original_position_size": 21, "original_risk_amount": 246.75, "portfolio_exposure_after": 13008.06, "portfolio_exposure_before": 13008.06, "position_size": 0, "position_size_adjusted": true, "position_sizing_explanation": "Base position sizing produced a candidate trade, but the risk transparency layer blocked the new buy. Candidate size: 12 shares, cash 5665.80, risk 141.00.", "previous_resistance": 499.0, "price": 472.15, "prior_high_20": 499.0, "prior_high_63": 538.41, "reason": "WATCH: Neutral market requires stronger setup score (0.40 &lt; 0.45).", "risk_amount": 0.0, "scan_source": "Smart Universe: broad liquid US universe filtered and diversified by the Market Lens UI.", "sector": "Healthcare", "sector_etf": "XLV", "sector_exposure_after": 5665.8, "sector_exposure_before": 0.0, "sector_exposure_cap": 6000.0, "sector_exposure_limit_exceeded": false, "sector_regime": "NEUTRAL", "sector_score": 65.88, "setup_score": 0.4, "setup_type": "Breakout + Retest", "sizing_adjustment_reason": "Position size reduced by Healthcare sector exposure cap (21 -&gt; 12 shares).", "spread_source": "liquidity_fallback", "stock_score": 0.4, "stop_loss": 460.4, "target_1": 483.58, "target_1_atr_distance": 0.8001, "target_2": 528.33, "target_2_atr_distance": 3.9326, "target_feasibility_status": "OK", "theoretical_entry": 467.54, "ticker": "TMO", "timestamp": "2026-06-08T16:36:35", "warnings": ["Position size reduced by Healthcare sector exposure cap (21 -&gt; 12 shares).", "Gross R/R is valid, but Net R/R 1.91 failed minimum 2.50 after slippage/spread adjustment."]}</t>
        </is>
      </c>
    </row>
    <row r="306">
      <c r="A306" t="inlineStr">
        <is>
          <t>2026-06-08T16:36:35</t>
        </is>
      </c>
      <c r="B306" t="inlineStr">
        <is>
          <t>QCOM</t>
        </is>
      </c>
      <c r="C306" t="inlineStr">
        <is>
          <t>Fib 61.8 Confluence Buy Zone</t>
        </is>
      </c>
      <c r="D306" t="n">
        <v>0.38</v>
      </c>
      <c r="E306" t="n">
        <v>218.21</v>
      </c>
      <c r="F306" t="n">
        <v>212.25</v>
      </c>
      <c r="G306" t="n">
        <v>220.83</v>
      </c>
      <c r="H306" t="n">
        <v>203.29</v>
      </c>
      <c r="I306" t="n">
        <v>218.35</v>
      </c>
      <c r="J306" t="n">
        <v>258.96</v>
      </c>
      <c r="K306" t="n">
        <v>0.96</v>
      </c>
      <c r="L306" t="inlineStr">
        <is>
          <t>Price at 61.8% fib retracement (216.54) with confluence at VWAP. Planned entry at zone low 212.25; executable entry 218.21, stop below fib 78.6% at 203.29. Structural confluence: swing low at 121.54 aligns with VAL (125.53).</t>
        </is>
      </c>
      <c r="M306" t="inlineStr">
        <is>
          <t>WATCH</t>
        </is>
      </c>
      <c r="N306" t="inlineStr">
        <is>
          <t>WATCH: Technical setup detected, but weighted risk/reward 0.96 is below minimum 2.00. Market regime NEUTRAL; sector STRONG; net R/R 0.92.</t>
        </is>
      </c>
      <c r="O306" t="inlineStr">
        <is>
          <t>QCOM
Fib 61.8 Confluence Buy Zone
0.38
score
Price
218.21
R/R
0.96x
Grade
A
Quality
79%
Buy Zone
212.25 - 220.83
Stop
203.29
Targets
218.35 / 258.96
High-quality watchlist candidate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218.21, stop below fib 78.6% at 203.29. Structural confluence: swing low at 121.54 aligns with VAL (125.53).
Fib 61.8
216.54
Fib Zone
212.25 - 220.83
Swing Low
190.32
Swing High
258.96
Save setup
Click chart to open full size</t>
        </is>
      </c>
      <c r="P306" t="inlineStr">
        <is>
          <t>agent_results/charts/market_lens_agent_20260608_163424_qcom.png</t>
        </is>
      </c>
      <c r="Q306" t="inlineStr">
        <is>
          <t>Smart Universe: broad liquid US universe, diversified by sector | Sector: Technology - Strong (98/100); XLK sector regime is strong: 32.9% 3m return, 23.0% vs SPY | Setup: Fib 61.8 Confluence Buy Zone; score 0.38; R/R 0.96x; price 218.21 | Market: NEUTRAL; Sector regime: STRONG; Net R/R: 0.92; Factors: AI / Semiconductors, Technology | Agent action: WATCH - WATCH: Technical setup detected, but weighted risk/reward 0.96 is below minimum 2.00. Market regime NEUTRAL; sector STRONG; net R/R 0.92.</t>
        </is>
      </c>
      <c r="R306"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0.3513, "estimated_spread": 0.0655, "executable_entry": 218.21, "execution_liquidity_bucket": "large_liquid", "factor_exposure_after": {"Energy": 13015.94}, "factor_exposure_before": {"Energy": 13015.94}, "factor_exposure_cap": 7000.0, "factor_exposure_limit_exceeded": false, "factor_tags": ["AI / Semiconductors", "Technology"], "final_action": "WATCH", "gross_reward_1_per_share": 0.14, "gross_reward_2_per_share": 40.75, "gross_risk_per_share": 14.92, "gross_rr": 0.962, "gross_rr_1": 0.0094, "gross_rr_2": 2.7312, "gross_rr_decision": 0.962, "highest_correlation_ticker": "APA", "highest_correlation_value": -0.1165, "initial_action": "WATCH", "market_cap": 230688974853.52, "market_cap_bucket": "Mega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218.4184, "net_reward_1_per_share": 0.0, "net_reward_2_per_share": 40.421, "net_risk_per_share": 15.3368, "net_rr": 0.9224, "net_rr_1": 0.0, "net_rr_2": 2.6356, "net_stop_assumption": 203.0816, "net_target_1_assumption": 218.2294, "net_target_2_assumption": 258.8394, "normalized_atr_score": 68.41, "normalized_liquidity_score": 81.01, "normalized_momentum_score": 100, "normalized_quality_score": 86.41,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258.9635, "price": 218.21, "prior_high_20": 258.9635, "prior_high_63": 258.9635, "reason": "WATCH: Technical setup detected, but weighted risk/reward 0.96 is below minimum 2.00. Market regime NEUTRAL; sector STRONG; net R/R 0.92.",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97.87, "setup_score": 0.38, "setup_type": "Fib 61.8 Confluence Buy Zone", "sizing_adjustment_reason": "", "spread_source": "liquidity_fallback", "stock_score": 0.38, "stop_loss": 203.29, "target_1": 218.35, "target_1_atr_distance": 0.0082, "target_2": 258.96, "target_2_atr_distance": 2.377, "target_feasibility_status": "LOW_REWARD_DISTANCE", "theoretical_entry": 212.25, "ticker": "QCOM", "timestamp": "2026-06-08T16:36:35", "warnings": ["Target 1 is close versus daily ATR."]}</t>
        </is>
      </c>
    </row>
    <row r="307">
      <c r="A307" t="inlineStr">
        <is>
          <t>2026-06-08T16:36:35</t>
        </is>
      </c>
      <c r="B307" t="inlineStr">
        <is>
          <t>LNG</t>
        </is>
      </c>
      <c r="C307" t="inlineStr">
        <is>
          <t>Swing Low + Volume Support Buy Zone</t>
        </is>
      </c>
      <c r="D307" t="n">
        <v>0.31</v>
      </c>
      <c r="E307" t="n">
        <v>237.28</v>
      </c>
      <c r="F307" t="n">
        <v>233.3</v>
      </c>
      <c r="G307" t="n">
        <v>239.04</v>
      </c>
      <c r="H307" t="n">
        <v>224.7</v>
      </c>
      <c r="I307" t="n">
        <v>238.22</v>
      </c>
      <c r="J307" t="n">
        <v>296.84</v>
      </c>
      <c r="K307" t="n">
        <v>1.7</v>
      </c>
      <c r="L307" t="inlineStr">
        <is>
          <t>Price is pulling into a recent swing-low support (235.45) that overlaps with a high-volume area (VAL at 236.23), creating structural + volume confluence. Liquidity sweep below swing low detected — wick and reclaim. Stop below 224.70.</t>
        </is>
      </c>
      <c r="M307" t="inlineStr">
        <is>
          <t>WATCH</t>
        </is>
      </c>
      <c r="N307" t="inlineStr">
        <is>
          <t>WATCH: Technical setup detected, but weighted risk/reward 1.70 is below minimum 2.00. Market regime NEUTRAL; sector STRONG; net R/R 1.54.</t>
        </is>
      </c>
      <c r="O307" t="inlineStr">
        <is>
          <t>LNG
Swing Low + Volume Support Buy Zone
0.31
score
Price
237.28
R/R
1.70x
Grade
C
Quality
64%
Buy Zone
233.30 - 239.04
Stop
224.70
Targets
238.22 / 296.84
Watch only; needs confirmation
Mixed
Relative Strength
Leadership
100%
Trend Quality
Messy
0%
Liquidity
Institutional liquidity
100%
Volume
Neutral
65%
Trigger
Break above prior-day high at 241.10 after holding buy zone.
Invalidation
Exit if price closes below 224.70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224.70.
Fib 61.8
241.67
Fib Zone
239.88 - 243.46
Swing Low
235.45
Swing High
251.73
Save setup
Click chart to open full size</t>
        </is>
      </c>
      <c r="P307" t="inlineStr">
        <is>
          <t>agent_results/charts/market_lens_agent_20260608_163424_lng.png</t>
        </is>
      </c>
      <c r="Q307" t="inlineStr">
        <is>
          <t>Smart Universe: broad liquid US universe, diversified by sector | Sector: Energy - Strong (71/100); XLE sector regime is strong: 5.4% 3m return, -4.5% vs SPY | Setup: Swing Low + Volume Support Buy Zone; score 0.31; R/R 1.70x; price 237.28 | Market: NEUTRAL; Sector regime: STRONG; Net R/R: 1.54; Factors: Energy | Agent action: WATCH - WATCH: Technical setup detected, but weighted risk/reward 1.70 is below minimum 2.00. Market regime NEUTRAL; sector STRONG; net R/R 1.54.</t>
        </is>
      </c>
      <c r="R307" t="inlineStr">
        <is>
          <t>{"adjusted_cash_out": 0.0, "adjusted_position_size": 0, "adjusted_risk_amount": 0.0, "ask": 0.0, "bid": 0.0, "buy_zone_high": 239.04, "buy_zone_low": 233.3, "cash_available": 87010.85, "company_name": "Cheniere Energy, Inc.", "correlation_warning": false, "days_to_earnings": 43, "earnings_blackout": false, "earnings_date": "2026-08-06T00:00:00", "estimated_fees": 0.0, "estimated_slippage": 0.7118, "estimated_spread": 0.1898, "executable_entry": 237.28, "execution_liquidity_bucket": "mid_liquid", "factor_exposure_after": {"Energy": 13015.94}, "factor_exposure_before": {"Energy": 13015.94}, "factor_exposure_cap": 7000.0, "factor_exposure_limit_exceeded": false, "factor_tags": ["Energy"], "final_action": "WATCH", "gross_reward_1_per_share": 0.94, "gross_reward_2_per_share": 59.56, "gross_risk_per_share": 12.58, "gross_rr": 1.7056, "gross_rr_1": 0.0747, "gross_rr_2": 4.7345, "gross_rr_decision": 1.7056, "highest_correlation_ticker": "APA", "highest_correlation_value": 0.6658, "initial_action": "WATCH", "market_cap": 49668003833.71,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2.2, "net_entry": 237.7308, "net_reward_1_per_share": 0.2163, "net_reward_2_per_share": 58.8363, "net_risk_per_share": 13.4817, "net_rr": 1.5379, "net_rr_1": 0.016, "net_rr_2": 4.3642, "net_stop_assumption": 224.2492, "net_target_1_assumption": 237.9471, "net_target_2_assumption": 296.5671, "normalized_atr_score": 100.0, "normalized_liquidity_score": 47.74, "normalized_momentum_score": 37.64, "normalized_quality_score": 56.26,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251.73, "price": 237.28, "prior_high_20": 251.73, "prior_high_63": 300.1945, "reason": "WATCH: Technical setup detected, but weighted risk/reward 1.70 is below minimum 2.00. Market regime NEUTRAL; sector STRONG; net R/R 1.54.", "risk_amount": 0.0, "scan_source": "Smart Universe: broad liquid US universe filtered and diversified by the Market Lens UI.", "sector": "Energy", "sector_etf": "XLE", "sector_exposure_after": 13015.94, "sector_exposure_before": 13015.94, "sector_exposure_cap": 6000.0, "sector_exposure_limit_exceeded": false, "sector_regime": "STRONG", "sector_score": 70.92, "setup_score": 0.31, "setup_type": "Swing Low + Volume Support Buy Zone", "sizing_adjustment_reason": "", "spread_source": "liquidity_fallback", "stock_score": 0.31, "stop_loss": 224.7, "target_1": 238.22, "target_1_atr_distance": 0.1311, "target_2": 296.84, "target_2_atr_distance": 8.3042, "target_feasibility_status": "LOW_REWARD_DISTANCE", "theoretical_entry": 233.3, "ticker": "LNG", "timestamp": "2026-06-08T16:36:35", "warnings": ["Target 1 is close versus daily ATR."]}</t>
        </is>
      </c>
    </row>
    <row r="308">
      <c r="A308" t="inlineStr">
        <is>
          <t>2026-06-08T16:36:35</t>
        </is>
      </c>
      <c r="B308" t="inlineStr">
        <is>
          <t>DLR</t>
        </is>
      </c>
      <c r="C308" t="inlineStr">
        <is>
          <t>Breakout + Retest</t>
        </is>
      </c>
      <c r="D308" t="n">
        <v>0.27</v>
      </c>
      <c r="E308" t="n">
        <v>184.04</v>
      </c>
      <c r="F308" t="n">
        <v>178.83</v>
      </c>
      <c r="G308" t="n">
        <v>182.95</v>
      </c>
      <c r="H308" t="n">
        <v>176.77</v>
      </c>
      <c r="I308" t="n">
        <v>187.42</v>
      </c>
      <c r="J308" t="n">
        <v>201.34</v>
      </c>
      <c r="K308" t="n">
        <v>1.13</v>
      </c>
      <c r="L308" t="inlineStr">
        <is>
          <t>Price (184.04) retesting broken resistance (182.95) as support. Breakout on 2026-04-08 with 2.2× avg volume. Volume confirmed breakout. Entry at 184.04, stop at 176.77.</t>
        </is>
      </c>
      <c r="M308" t="inlineStr">
        <is>
          <t>WATCH</t>
        </is>
      </c>
      <c r="N308" t="inlineStr">
        <is>
          <t>WATCH: Technical setup detected, but weighted risk/reward 1.13 is below minimum 2.00. Market regime NEUTRAL; sector NEUTRAL; net R/R 0.89.</t>
        </is>
      </c>
      <c r="O308" t="inlineStr">
        <is>
          <t>DLR
Breakout + Retest
0.27
score
Price
184.04
R/R
1.13x
Grade
C
Quality
59%
Buy Zone
178.83 - 182.95
Stop
176.77
Targets
187.42 / 201.34
Watch only; needs confirmation
Mixed
Relative Strength
Leadership
100%
Trend Quality
Messy
0%
Liquidity
Institutional liquidity
100%
Volume
Distribution risk
45%
Trigger
Close above 188.85 or reclaim of broken resistance.
Invalidation
Exit if price closes below 176.77 or setup support fails.
Trend quality is not clean.
Recent volume shows distribution risk.
Market regime: Mixed.
Relative strength: Leadership.
Price (184.04) retesting broken resistance (182.95) as support. Breakout on 2026-04-08 with 2.2× avg volume. Volume confirmed breakout. Entry at 184.04, stop at 176.77.
Fib 61.8
188.75
Fib Zone
187.72 - 189.78
Swing Low
184.95
Swing High
194.89
Save setup
Click chart to open full size</t>
        </is>
      </c>
      <c r="P308" t="inlineStr">
        <is>
          <t>agent_results/charts/market_lens_agent_20260608_163424_dlr.png</t>
        </is>
      </c>
      <c r="Q308" t="inlineStr">
        <is>
          <t>Smart Universe: broad liquid US universe, diversified by sector | Sector: Real Estate - Neutral (67/100); XLRE sector regime is neutral: 3.7% 3m return, -6.3% vs SPY | Setup: Breakout + Retest; score 0.27; R/R 1.13x; price 184.04 | Market: NEUTRAL; Sector regime: NEUTRAL; Net R/R: 0.89; Factors: Real Estate | Agent action: WATCH - WATCH: Technical setup detected, but weighted risk/reward 1.13 is below minimum 2.00. Market regime NEUTRAL; sector NEUTRAL; net R/R 0.89.</t>
        </is>
      </c>
      <c r="R308" t="inlineStr">
        <is>
          <t>{"adjusted_cash_out": 0.0, "adjusted_position_size": 0, "adjusted_risk_amount": 0.0, "ask": 0.0, "bid": 0.0, "buy_zone_high": 182.95, "buy_zone_low": 178.83, "cash_available": 87010.85, "company_name": "Digital Realty", "correlation_warning": false, "days_to_earnings": 33, "earnings_blackout": false, "earnings_date": "2026-07-23T00:00:00", "estimated_fees": 0.0, "estimated_slippage": 0.9202, "estimated_spread": 0.1472, "executable_entry": 184.04, "execution_liquidity_bucket": "mid_liquid", "factor_exposure_after": {"Energy": 13015.94}, "factor_exposure_before": {"Energy": 13015.94}, "factor_exposure_cap": 7000.0, "factor_exposure_limit_exceeded": false, "factor_tags": ["Real Estate"], "final_action": "WATCH", "gross_reward_1_per_share": 3.38, "gross_reward_2_per_share": 17.3, "gross_risk_per_share": 7.27, "gross_rr": 1.1351, "gross_rr_1": 0.4649, "gross_rr_2": 2.3796, "gross_rr_decision": 1.1351, "highest_correlation_ticker": "XOM", "highest_correlation_value": -0.2621, "initial_action": "WATCH", "market_cap": 64700883892.55, "market_cap_bucket": "Large Cap", "market_regime": "NEUTRAL", "market_regime_indicators": {"DXY": {"ema20": 99.2096, "ema200": 98.7985, "ema50": 98.9471, "price": 99.937, "return_1m": 2.14, "return_3m": 1.12, "trend": "bullish"}, "IWM": {"ema20": 284.8926, "ema200": 267.04, "ema50": 277.1839, "price": 285.45, "return_1m": 0.45, "return_3m": 12.87, "trend": "bullish"}, "QQQ": {"ema20": 717.7686, "ema200": 650.7253, "ema50": 684.5147, "price": 719.62, "return_1m": 1.18, "return_3m": 18.55, "trend": "bullish"}, "SPY": {"ema20": 743.5591, "ema200": 702.818, "ema50": 723.848, "price": 742.42, "return_1m": 0.65, "return_3m": 9.93, "trend": "mixed"}, "US10Y": {"ema20": 4.4891, "ema200": 4.3154, "ema50": 4.417, "price": 4.556, "return_1m": 4.4, "return_3m": 10.15, "trend": "bullish"}, "VIX": {"ema20": 17.3039, "ema200": 18.7737, "ema50": 18.3794, "price": 18.21, "return_1m": -0.92, "return_3m": -24.85, "trend": "mixed"}}, "market_regime_reason": "Market regime is mixed; use lower exposure and higher net R/R.", "market_regime_score": 0.52, "market_structure_status": "SUPPORTED_BY_20D_RESISTANCE", "minimum_net_rr_required": 2.5, "net_entry": 184.5737, "net_reward_1_per_share": 2.5426, "net_reward_2_per_share": 16.4626, "net_risk_per_share": 8.3374, "net_rr": 0.8893, "net_rr_1": 0.305, "net_rr_2": 1.9745, "net_stop_assumption": 176.2363, "net_target_1_assumption": 187.1163, "net_target_2_assumption": 201.0363, "normalized_atr_score": 100.0, "normalized_liquidity_score": 40.08, "normalized_momentum_score": 48.82, "normalized_quality_score": 58.99, "original_cash_out": 0.0, "original_position_size": 0, "original_risk_amount": 0.0, "portfolio_exposure_after": 13008.06, "portfolio_exposure_before": 13008.06, "position_size": 0, "position_size_adjusted": false, "position_sizing_explanation": "No new position size was calculated because the base decision did not open a simulated buy.", "previous_resistance": 197.54, "price": 184.04, "prior_high_20": 197.54, "prior_high_63": 208.14, "reason": "WATCH: Technical setup detected, but weighted risk/reward 1.13 is below minimum 2.00. Market regime NEUTRAL; sector NEUTRAL; net R/R 0.89.",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67.29, "setup_score": 0.27, "setup_type": "Breakout + Retest", "sizing_adjustment_reason": "", "spread_source": "liquidity_fallback", "stock_score": 0.27, "stop_loss": 176.77, "target_1": 187.42, "target_1_atr_distance": 0.8201, "target_2": 201.34, "target_2_atr_distance": 4.1977, "target_feasibility_status": "OK", "theoretical_entry": 178.83, "ticker": "DLR", "timestamp": "2026-06-08T16:36:35", "warnings": []}</t>
        </is>
      </c>
    </row>
    <row r="309">
      <c r="A309" t="inlineStr">
        <is>
          <t>2026-06-08T21:14:42</t>
        </is>
      </c>
      <c r="B309" t="inlineStr">
        <is>
          <t>XOM</t>
        </is>
      </c>
      <c r="C309" t="inlineStr">
        <is>
          <t>Fib 61.8 Confluence Buy Zone</t>
        </is>
      </c>
      <c r="D309" t="n">
        <v>0.49</v>
      </c>
      <c r="E309" t="n">
        <v>151.75</v>
      </c>
      <c r="F309" t="n">
        <v>149.87</v>
      </c>
      <c r="G309" t="n">
        <v>151.87</v>
      </c>
      <c r="H309" t="n">
        <v>146.99</v>
      </c>
      <c r="I309" t="n">
        <v>151.87</v>
      </c>
      <c r="J309" t="n">
        <v>173.86</v>
      </c>
      <c r="K309" t="n">
        <v>1.64</v>
      </c>
      <c r="L309" t="inlineStr">
        <is>
          <t>Price at 61.8% fib retracement (150.87) with confluence at VWAP. Planned entry at zone low 149.87; executable entry 151.75, stop below fib 78.6% at 146.99.</t>
        </is>
      </c>
      <c r="M309" t="inlineStr">
        <is>
          <t>HOLD</t>
        </is>
      </c>
      <c r="N309" t="inlineStr">
        <is>
          <t>HOLD: Existing simulated position remains open. NEUTRAL regime recorded.</t>
        </is>
      </c>
      <c r="O309" t="inlineStr">
        <is>
          <t>XOM
Fib 61.8 Confluence Buy Zone
0.49
score
Price
151.75
R/R
1.64x
Grade
C
Quality
61%
Buy Zone
149.87 - 151.87
Stop
146.99
Targets
151.87 / 173.86
Watch only; needs confirmation
Mixed
Relative Strength
Leadership
100%
Trend Quality
Messy
0%
Liquidity
Institutional liquidity
100%
Volume
Neutral
65%
Trigger
Break above prior-day high at 152.13 after holding buy zone.
Invalidation
Exit if price closes below 146.99 or setup support fails.
Trend quality is not clean.
Market regime: Mixed.
Relative strength: Leadership.
Price at 61.8% fib retracement (150.87) with confluence at VWAP. Planned entry at zone low 149.87; executable entry 151.75, stop below fib 78.6% at 146.99.
Fib 61.8
150.87
Fib Zone
149.87 - 151.87
Swing Low
142.95
Swing High
163.68
Save setup
Click chart to open full size</t>
        </is>
      </c>
      <c r="P309" t="inlineStr">
        <is>
          <t>agent_results/charts/market_lens_agent_20260608_210745_xom.png</t>
        </is>
      </c>
      <c r="Q309"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R309"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310">
      <c r="A310" t="inlineStr">
        <is>
          <t>2026-06-08T21:14:42</t>
        </is>
      </c>
      <c r="B310" t="inlineStr">
        <is>
          <t>HAL</t>
        </is>
      </c>
      <c r="C310" t="inlineStr">
        <is>
          <t>Fib 61.8 Confluence Buy Zone</t>
        </is>
      </c>
      <c r="D310" t="n">
        <v>0.48</v>
      </c>
      <c r="E310" t="n">
        <v>40.5</v>
      </c>
      <c r="F310" t="n">
        <v>40.16</v>
      </c>
      <c r="G310" t="n">
        <v>40.8</v>
      </c>
      <c r="H310" t="n">
        <v>39.55</v>
      </c>
      <c r="I310" t="n">
        <v>41.04</v>
      </c>
      <c r="J310" t="n">
        <v>43.41</v>
      </c>
      <c r="K310" t="n">
        <v>1.44</v>
      </c>
      <c r="L310" t="inlineStr">
        <is>
          <t>Price at 61.8% fib retracement (40.48) with confluence at POC, VWAP. Planned entry at zone low 40.16; executable entry 40.50, stop below fib 78.6% at 39.55.</t>
        </is>
      </c>
      <c r="M310" t="inlineStr">
        <is>
          <t>WATCH</t>
        </is>
      </c>
      <c r="N310" t="inlineStr">
        <is>
          <t>WATCH: Technical setup detected, but weighted risk/reward 1.44 is below minimum 2.00. Market regime NEUTRAL; sector STRONG; net R/R 1.13.</t>
        </is>
      </c>
      <c r="O310" t="inlineStr">
        <is>
          <t>HAL
Fib 61.8 Confluence Buy Zone
0.48
score
Price
40.50
R/R
1.44x
Grade
B
Quality
68%
Buy Zone
40.16 - 40.80
Stop
39.55
Targets
41.04 / 43.41
Tradable if trigger confirms
Mixed
Relative Strength
Leadership
100%
Trend Quality
Constructive
58%
Liquidity
Institutional liquidity
100%
Volume
Distribution risk
30%
Trigger
Break above prior-day high at 41.15 after holding buy zone.
Invalidation
Exit if price closes below 39.55 or setup support fails.
Recent volume shows distribution risk.
Market regime: Mixed.
Relative strength: Leadership.
Price at 61.8% fib retracement (40.48) with confluence at POC, VWAP. Planned entry at zone low 40.16; executable entry 40.50, stop below fib 78.6% at 39.55.
Fib 61.8
40.48
Fib Zone
40.16 - 40.80
Swing Low
38.67
Swing High
43.41
Save setup
Click chart to open full size</t>
        </is>
      </c>
      <c r="P310" t="inlineStr">
        <is>
          <t>agent_results/charts/market_lens_agent_20260608_210745_hal.png</t>
        </is>
      </c>
      <c r="Q310" t="inlineStr">
        <is>
          <t>Smart Universe: broad liquid US universe, diversified by sector | Sector: Energy - Strong (72/100); XLE sector regime is strong: 5.6% 3m return, -3.9% vs SPY | Setup: Fib 61.8 Confluence Buy Zone; score 0.48; R/R 1.44x; price 40.50 | Market: NEUTRAL; Sector regime: STRONG; Net R/R: 1.13; Factors: Energy | Agent action: WATCH - WATCH: Technical setup detected, but weighted risk/reward 1.44 is below minimum 2.00. Market regime NEUTRAL; sector STRONG; net R/R 1.13.</t>
        </is>
      </c>
      <c r="R310" t="inlineStr">
        <is>
          <t>{"adjusted_cash_out": 0.0, "adjusted_position_size": 0, "adjusted_risk_amount": 0.0, "ask": 0.0, "bid": 0.0, "buy_zone_high": 40.8, "buy_zone_low": 40.16, "cash_available": 87010.85, "company_name": "Halliburton Company", "correlation_warning": false, "days_to_earnings": 31, "earnings_blackout": false, "earnings_date": "2026-07-21T00:00:00", "estimated_fees": 0.0, "estimated_slippage": 0.1215, "estimated_spread": 0.0324, "executable_entry": 40.5, "execution_liquidity_bucket": "mid_liquid", "factor_exposure_after": {"Energy": 13083.54}, "factor_exposure_before": {"Energy": 13083.54}, "factor_exposure_cap": 7000.0, "factor_exposure_limit_exceeded": false, "factor_tags": ["Energy"], "final_action": "WATCH", "gross_reward_1_per_share": 0.54, "gross_reward_2_per_share": 2.91, "gross_risk_per_share": 0.95, "gross_rr": 1.4416, "gross_rr_1": 0.5684, "gross_rr_2": 3.0632, "gross_rr_decision": 1.4416, "highest_correlation_ticker": "APA", "highest_correlation_value": 0.6139, "initial_action": "WATCH", "market_cap": 33833608267.5,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40.5769, "net_reward_1_per_share": 0.4165, "net_reward_2_per_share": 2.7865, "net_risk_per_share": 1.1039, "net_rr": 1.1287, "net_rr_1": 0.3773, "net_rr_2": 2.5242, "net_stop_assumption": 39.4731, "net_target_1_assumption": 40.9934, "net_target_2_assumption": 43.3634, "normalized_atr_score": 100.0, "normalized_liquidity_score": 44.52, "normalized_momentum_score": 100, "normalized_quality_score": 83.36,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43.4053, "price": 40.5, "prior_high_20": 43.4053, "prior_high_63": 43.4053, "reason": "WATCH: Technical setup detected, but weighted risk/reward 1.44 is below minimum 2.00. Market regime NEUTRAL; sector STRONG; net R/R 1.13.",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0.48, "setup_type": "Fib 61.8 Confluence Buy Zone", "sizing_adjustment_reason": "", "spread_source": "liquidity_fallback", "stock_score": 0.48, "stop_loss": 39.55, "target_1": 41.04, "target_1_atr_distance": 0.4216, "target_2": 43.41, "target_2_atr_distance": 2.272, "target_feasibility_status": "LOW_REWARD_DISTANCE", "theoretical_entry": 40.16, "ticker": "HAL", "timestamp": "2026-06-08T21:14:42", "warnings": ["Target 1 is close versus daily ATR."]}</t>
        </is>
      </c>
    </row>
    <row r="311">
      <c r="A311" t="inlineStr">
        <is>
          <t>2026-06-08T21:14:42</t>
        </is>
      </c>
      <c r="B311" t="inlineStr">
        <is>
          <t>CB</t>
        </is>
      </c>
      <c r="C311" t="inlineStr">
        <is>
          <t>Fib 61.8 Confluence Buy Zone</t>
        </is>
      </c>
      <c r="D311" t="n">
        <v>0.44</v>
      </c>
      <c r="E311" t="n">
        <v>321.88</v>
      </c>
      <c r="F311" t="n">
        <v>320.71</v>
      </c>
      <c r="G311" t="n">
        <v>323.87</v>
      </c>
      <c r="H311" t="n">
        <v>318.47</v>
      </c>
      <c r="I311" t="n">
        <v>323.17</v>
      </c>
      <c r="J311" t="n">
        <v>334.03</v>
      </c>
      <c r="K311" t="n">
        <v>1.49</v>
      </c>
      <c r="L311" t="inlineStr">
        <is>
          <t>Price at 61.8% fib retracement (322.29) with confluence at VAL, VWAP. Planned entry at zone low 320.71; executable entry 321.88, stop below fib 78.6% at 318.47.</t>
        </is>
      </c>
      <c r="M311" t="inlineStr">
        <is>
          <t>WATCH</t>
        </is>
      </c>
      <c r="N311" t="inlineStr">
        <is>
          <t>WATCH: Technical setup detected, but weighted risk/reward 1.49 is below minimum 2.00. Market regime NEUTRAL; sector STRONG; net R/R 1.18.</t>
        </is>
      </c>
      <c r="O311" t="inlineStr">
        <is>
          <t>CB
Fib 61.8 Confluence Buy Zone
0.44
score
Price
321.88
R/R
1.49x
Grade
C
Quality
57%
Buy Zone
320.71 - 323.87
Stop
318.47
Targets
323.17 / 334.03
Watch only; needs confirmation
Mixed
Relative Strength
Leadership
91%
Trend Quality
Messy
18%
Liquidity
Institutional liquidity
100%
Volume
Distribution risk
30%
Trigger
Break above prior-day high at 328.60 after holding buy zone.
Invalidation
Exit if price closes below 318.47 or setup support fails.
Trend quality is not clean.
Recent volume shows distribution risk.
Market regime: Mixed.
Relative strength: Leadership.
Price at 61.8% fib retracement (322.29) with confluence at VAL, VWAP. Planned entry at zone low 320.71; executable entry 321.88, stop below fib 78.6% at 318.47.
Fib 61.8
322.29
Fib Zone
320.71 - 323.87
Swing Low
315.04
Swing High
334.03
Save setup
Click chart to open full size</t>
        </is>
      </c>
      <c r="P311" t="inlineStr">
        <is>
          <t>agent_results/charts/market_lens_agent_20260608_210745_cb.png</t>
        </is>
      </c>
      <c r="Q311" t="inlineStr">
        <is>
          <t>Smart Universe: broad liquid US universe, diversified by sector | Sector: Financials - Strong (69/100); XLF sector regime is strong: 4.3% 3m return, -5.1% vs SPY | Setup: Fib 61.8 Confluence Buy Zone; score 0.44; R/R 1.49x; price 321.88 | Market: NEUTRAL; Sector regime: STRONG; Net R/R: 1.18; Factors: Financials | Agent action: WATCH - WATCH: Technical setup detected, but weighted risk/reward 1.49 is below minimum 2.00. Market regime NEUTRAL; sector STRONG; net R/R 1.18.</t>
        </is>
      </c>
      <c r="R311" t="inlineStr">
        <is>
          <t>{"adjusted_cash_out": 0.0, "adjusted_position_size": 0, "adjusted_risk_amount": 0.0, "ask": 0.0, "bid": 0.0, "buy_zone_high": 323.87, "buy_zone_low": 320.71, "cash_available": 87010.85, "company_name": "Chubb Limited", "correlation_warning": false, "days_to_earnings": 36, "earnings_blackout": false, "earnings_date": "2026-07-28T00:00:00", "estimated_fees": 0.0, "estimated_slippage": 0.4506, "estimated_spread": 0.0966, "executable_entry": 321.88, "execution_liquidity_bucket": "large_liquid", "factor_exposure_after": {"Energy": 13083.54}, "factor_exposure_before": {"Energy": 13083.54}, "factor_exposure_cap": 7000.0, "factor_exposure_limit_exceeded": false, "factor_tags": ["Financials"], "final_action": "WATCH", "gross_reward_1_per_share": 1.29, "gross_reward_2_per_share": 12.15, "gross_risk_per_share": 3.41, "gross_rr": 1.493, "gross_rr_1": 0.3783, "gross_rr_2": 3.563, "gross_rr_decision": 1.493, "highest_correlation_ticker": "XOM", "highest_correlation_value": 0.0849, "initial_action": "WATCH", "market_cap": 124844412813.13,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322.1536, "net_reward_1_per_share": 0.8555, "net_reward_2_per_share": 11.7155, "net_risk_per_share": 3.9572, "net_rr": 1.1767, "net_rr_1": 0.2162, "net_rr_2": 2.9605, "net_stop_assumption": 318.1964, "net_target_1_assumption": 323.0091, "net_target_2_assumption": 333.8691, "normalized_atr_score": 100.0, "normalized_liquidity_score": 50.24, "normalized_momentum_score": 48.75, "normalized_quality_score": 62.01,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334.03, "price": 321.88, "prior_high_20": 334.03, "prior_high_63": 336.14, "reason": "WATCH: Technical setup detected, but weighted risk/reward 1.49 is below minimum 2.00. Market regime NEUTRAL; sector STRONG; net R/R 1.18.",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0.44, "setup_type": "Fib 61.8 Confluence Buy Zone", "sizing_adjustment_reason": "", "spread_source": "liquidity_fallback", "stock_score": 0.44, "stop_loss": 318.47, "target_1": 323.17, "target_1_atr_distance": 0.2041, "target_2": 334.03, "target_2_atr_distance": 1.9224, "target_feasibility_status": "LOW_REWARD_DISTANCE", "theoretical_entry": 320.71, "ticker": "CB", "timestamp": "2026-06-08T21:14:42", "warnings": ["Target 1 is close versus daily ATR."]}</t>
        </is>
      </c>
    </row>
    <row r="312">
      <c r="A312" t="inlineStr">
        <is>
          <t>2026-06-08T21:14:42</t>
        </is>
      </c>
      <c r="B312" t="inlineStr">
        <is>
          <t>INTC</t>
        </is>
      </c>
      <c r="C312" t="inlineStr">
        <is>
          <t>Fib 61.8 Confluence Buy Zone</t>
        </is>
      </c>
      <c r="D312" t="n">
        <v>0.43</v>
      </c>
      <c r="E312" t="n">
        <v>110.27</v>
      </c>
      <c r="F312" t="n">
        <v>109.46</v>
      </c>
      <c r="G312" t="n">
        <v>113.86</v>
      </c>
      <c r="H312" t="n">
        <v>106.71</v>
      </c>
      <c r="I312" t="n">
        <v>114.52</v>
      </c>
      <c r="J312" t="n">
        <v>126.64</v>
      </c>
      <c r="K312" t="n">
        <v>2.38</v>
      </c>
      <c r="L312" t="inlineStr">
        <is>
          <t>Price at 61.8% fib retracement (111.66) with confluence at POC, VWAP. Planned entry at zone low 109.46; executable entry 110.27, stop below fib 78.6% at 106.71. Structural confluence: swing low at 40.63 aligns with VAL (42.49).</t>
        </is>
      </c>
      <c r="M312" t="inlineStr">
        <is>
          <t>WATCH</t>
        </is>
      </c>
      <c r="N312" t="inlineStr">
        <is>
          <t>WATCH: Neutral market requires stronger setup score (0.43 &lt; 0.45).</t>
        </is>
      </c>
      <c r="O312" t="inlineStr">
        <is>
          <t>INTC
Fib 61.8 Confluence Buy Zone
0.43
score
Price
110.27
R/R
2.38x
Grade
C
Quality
65%
Buy Zone
109.46 - 113.86
Stop
106.71
Targets
114.52 / 126.64
Watch only; needs confirmation
Mixed
Relative Strength
Leadership
100%
Trend Quality
Constructive
68%
Liquidity
Institutional liquidity
100%
Volume
Distribution risk
30%
Trigger
Break above prior-day high at 110.27 after holding buy zone.
Invalidation
Exit if price closes below 106.71 or setup support fails.
Recent volume shows distribution risk.
Recent large gap increases volatility risk.
Market regime: Mixed.
Relative strength: Leadership.
Price at 61.8% fib retracement (111.66) with confluence at POC, VWAP. Planned entry at zone low 109.46; executable entry 110.27, stop below fib 78.6% at 106.71. Structural confluence: swing low at 40.63 aligns with VAL (42.49).
Fib 61.8
111.66
Fib Zone
109.46 - 113.86
Swing Low
102.40
Swing High
126.64
Save setup
Click chart to open full size</t>
        </is>
      </c>
      <c r="P312" t="inlineStr">
        <is>
          <t>agent_results/charts/market_lens_agent_20260608_210745_intc.png</t>
        </is>
      </c>
      <c r="Q312" t="inlineStr">
        <is>
          <t>Smart Universe: broad liquid US universe, diversified by sector | Sector: Technology - Strong (97/100); XLK sector regime is strong: 31.9% 3m return, 22.5% vs SPY | Setup: Fib 61.8 Confluence Buy Zone; score 0.43; R/R 2.38x; price 110.27 | Market: NEUTRAL; Sector regime: STRONG; Net R/R: 2.21; Factors: AI / Semiconductors, Technology | Agent action: WATCH - WATCH: Neutral market requires stronger setup score (0.43 &lt; 0.45).</t>
        </is>
      </c>
      <c r="R312" t="inlineStr">
        <is>
          <t>{"adjusted_cash_out": 5954.58, "adjusted_position_size": 54, "adjusted_risk_amount": 192.24, "ask": 0.0, "bid": 0.0, "buy_zone_high": 113.86, "buy_zone_low": 109.46, "cash_available": 87010.85, "company_name": "Intel Corporation", "correlation_warning": false, "days_to_earnings": 33, "earnings_blackout": false, "earnings_date": "2026-07-23T00:00:00", "estimated_fees": 0.0, "estimated_slippage": 0.1775, "estimated_spread": 0.0331, "executable_entry": 110.27, "execution_liquidity_bucket": "large_liquid", "factor_exposure_after": {"AI / Semiconductors": 5954.58, "Energy": 13083.54, "Technology": 5954.58}, "factor_exposure_before": {"Energy": 13083.54}, "factor_exposure_cap": 7000.0, "factor_exposure_limit_exceeded": false, "factor_tags": ["AI / Semiconductors", "Technology"], "final_action": "WATCH", "gross_reward_1_per_share": 4.25, "gross_reward_2_per_share": 16.37, "gross_risk_per_share": 3.56, "gross_rr": 2.3854, "gross_rr_1": 1.1938, "gross_rr_2": 4.5983, "gross_rr_decision": 2.3854, "highest_correlation_ticker": "APA", "highest_correlation_value": -0.1839, "initial_action": "BUY_SIMULATED", "market_cap": 554217003128.05,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110.3753, "net_reward_1_per_share": 4.0838, "net_reward_2_per_share": 16.2038, "net_risk_per_share": 3.7706, "net_rr": 2.2081, "net_rr_1": 1.0831, "net_rr_2": 4.2974, "net_stop_assumption": 106.6047, "net_target_1_assumption": 114.4591, "net_target_2_assumption": 126.5791, "normalized_atr_score": 66.82, "normalized_liquidity_score": 100, "normalized_momentum_score": 100, "normalized_quality_score": 91.7, "original_cash_out": 9924.3, "original_position_size": 90, "original_risk_amount": 320.4, "portfolio_exposure_after": 13083.54, "portfolio_exposure_before": 13083.54, "position_size": 0, "position_size_adjusted": true, "position_sizing_explanation": "Base position sizing produced a candidate trade, but the risk transparency layer blocked the new buy. Candidate size: 54 shares, cash 5954.58, risk 192.24.", "previous_resistance": 132.75, "price": 110.27, "prior_high_20": 132.75, "prior_high_63": 132.75, "reason": "WATCH: Neutral market requires stronger setup score (0.43 &lt; 0.45).", "risk_amount": 0.0, "scan_source": "Smart Universe: broad liquid US universe filtered and diversified by the Market Lens UI.", "sector": "Technology", "sector_etf": "XLK", "sector_exposure_after": 5954.58, "sector_exposure_before": 0.0, "sector_exposure_cap": 6000.0, "sector_exposure_limit_exceeded": false, "sector_regime": "STRONG", "sector_score": 97.43, "setup_score": 0.43, "setup_type": "Fib 61.8 Confluence Buy Zone", "sizing_adjustment_reason": "Position size reduced by Technology sector exposure cap (90 -&gt; 54 shares).", "spread_source": "liquidity_fallback", "stock_score": 0.43, "stop_loss": 106.71, "target_1": 114.52, "target_1_atr_distance": 0.4827, "target_2": 126.64, "target_2_atr_distance": 1.8592, "target_feasibility_status": "LOW_REWARD_DISTANCE", "theoretical_entry": 109.46, "ticker": "INTC", "timestamp": "2026-06-08T21:14:42", "warnings": ["Target 1 is close versus daily ATR.", "Position size reduced by Technology sector exposure cap (90 -&gt; 54 shares)."]}</t>
        </is>
      </c>
    </row>
    <row r="313">
      <c r="A313" t="inlineStr">
        <is>
          <t>2026-06-08T21:14:42</t>
        </is>
      </c>
      <c r="B313" t="inlineStr">
        <is>
          <t>PH</t>
        </is>
      </c>
      <c r="C313" t="inlineStr">
        <is>
          <t>Breakout + Retest</t>
        </is>
      </c>
      <c r="D313" t="n">
        <v>0.43</v>
      </c>
      <c r="E313" t="n">
        <v>883.14</v>
      </c>
      <c r="F313" t="n">
        <v>857.63</v>
      </c>
      <c r="G313" t="n">
        <v>880</v>
      </c>
      <c r="H313" t="n">
        <v>846.4400000000001</v>
      </c>
      <c r="I313" t="n">
        <v>902.3099999999999</v>
      </c>
      <c r="J313" t="n">
        <v>1026.68</v>
      </c>
      <c r="K313" t="n">
        <v>1.71</v>
      </c>
      <c r="L313" t="inlineStr">
        <is>
          <t>Price (883.14) retesting broken resistance (880.00) as support. Breakout on 2026-06-05 with 1.2× avg volume. Entry at 883.14, stop at 846.44.</t>
        </is>
      </c>
      <c r="M313" t="inlineStr">
        <is>
          <t>WATCH</t>
        </is>
      </c>
      <c r="N313" t="inlineStr">
        <is>
          <t>WATCH: Technical setup detected, but weighted risk/reward 1.71 is below minimum 2.00. Market regime NEUTRAL; sector NEUTRAL; net R/R 1.51.</t>
        </is>
      </c>
      <c r="O313" t="inlineStr">
        <is>
          <t>PH
Breakout + Retest
0.43
score
Price
883.14
R/R
1.71x
Grade
C
Quality
65%
Buy Zone
857.63 - 880.00
Stop
846.44
Targets
902.31 / 1026.68
Watch only; needs confirmation
Mixed
Relative Strength
Leadership
100%
Trend Quality
Messy
18%
Liquidity
Institutional liquidity
100%
Volume
Neutral
65%
Trigger
Close above 898.98 or reclaim of broken resistance.
Invalidation
Exit if price closes below 846.44 or setup support fails.
Trend quality is not clean.
Market regime: Mixed.
Relative strength: Leadership.
Price (883.14) retesting broken resistance (880.00) as support. Breakout on 2026-06-05 with 1.2× avg volume. Entry at 883.14, stop at 846.44.
Fib 61.8
921.68
Fib Zone
916.09 - 927.28
Swing Low
856.78
Swing High
1026.68
Save setup
Click chart to open full size</t>
        </is>
      </c>
      <c r="P313" t="inlineStr">
        <is>
          <t>agent_results/charts/market_lens_agent_20260608_210745_ph.png</t>
        </is>
      </c>
      <c r="Q313" t="inlineStr">
        <is>
          <t>Smart Universe: broad liquid US universe, diversified by sector | Sector: Industrials - Neutral (67/100); XLI sector regime is neutral: 2.4% 3m return, -7.0% vs SPY | Setup: Breakout + Retest; score 0.43; R/R 1.71x; price 883.14 | Market: NEUTRAL; Sector regime: NEUTRAL; Net R/R: 1.51; Factors: Industrials | Agent action: WATCH - WATCH: Technical setup detected, but weighted risk/reward 1.71 is below minimum 2.00. Market regime NEUTRAL; sector NEUTRAL; net R/R 1.51.</t>
        </is>
      </c>
      <c r="R313" t="inlineStr">
        <is>
          <t>{"adjusted_cash_out": 0.0, "adjusted_position_size": 0, "adjusted_risk_amount": 0.0, "ask": 0.0, "bid": 0.0, "buy_zone_high": 880.0, "buy_zone_low": 857.63, "cash_available": 87010.85, "company_name": "Parker Hannifin Corporation", "correlation_warning": false, "days_to_earnings": 43, "earnings_blackout": false, "earnings_date": "2026-08-06T00:00:00", "estimated_fees": 0.0, "estimated_slippage": 3.0027, "estimated_spread": 0.2649, "executable_entry": 883.14, "execution_liquidity_bucket": "large_liquid", "factor_exposure_after": {"Energy": 13083.54}, "factor_exposure_before": {"Energy": 13083.54}, "factor_exposure_cap": 7000.0, "factor_exposure_limit_exceeded": false, "factor_tags": ["Industrials"], "final_action": "WATCH", "gross_reward_1_per_share": 19.17, "gross_reward_2_per_share": 143.54, "gross_risk_per_share": 36.7, "gross_rr": 1.7084, "gross_rr_1": 0.5223, "gross_rr_2": 3.9112, "gross_rr_decision": 1.7084, "highest_correlation_ticker": "XOM", "highest_correlation_value": -0.3419, "initial_action": "WATCH", "market_cap": 111351935428.43,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884.7738, "net_reward_1_per_share": 16.6531, "net_reward_2_per_share": 141.0231, "net_risk_per_share": 39.9676, "net_rr": 1.5058, "net_rr_1": 0.4167, "net_rr_2": 3.5284, "net_stop_assumption": 844.8062, "net_target_1_assumption": 901.4269, "net_target_2_assumption": 1025.7969, "normalized_atr_score": 100.0, "normalized_liquidity_score": 56.62, "normalized_momentum_score": 28.81, "normalized_quality_score": 54.95,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898.98, "price": 883.14, "prior_high_20": 898.98, "prior_high_63": 1026.6794, "reason": "WATCH: Technical setup detected, but weighted risk/reward 1.71 is below minimum 2.00. Market regime NEUTRAL; sector NEUTRAL; net R/R 1.51.",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0.43, "setup_type": "Breakout + Retest", "sizing_adjustment_reason": "", "spread_source": "liquidity_fallback", "stock_score": 0.43, "stop_loss": 846.44, "target_1": 902.31, "target_1_atr_distance": 0.8568, "target_2": 1026.68, "target_2_atr_distance": 6.4158, "target_feasibility_status": "OK", "theoretical_entry": 857.63, "ticker": "PH", "timestamp": "2026-06-08T21:14:42", "warnings": []}</t>
        </is>
      </c>
    </row>
    <row r="314">
      <c r="A314" t="inlineStr">
        <is>
          <t>2026-06-08T21:14:42</t>
        </is>
      </c>
      <c r="B314" t="inlineStr">
        <is>
          <t>NVDA</t>
        </is>
      </c>
      <c r="C314" t="inlineStr">
        <is>
          <t>Fib 61.8 Confluence Buy Zone</t>
        </is>
      </c>
      <c r="D314" t="n">
        <v>0.42</v>
      </c>
      <c r="E314" t="n">
        <v>208.64</v>
      </c>
      <c r="F314" t="n">
        <v>208.39</v>
      </c>
      <c r="G314" t="n">
        <v>212.53</v>
      </c>
      <c r="H314" t="n">
        <v>202.62</v>
      </c>
      <c r="I314" t="n">
        <v>215.39</v>
      </c>
      <c r="J314" t="n">
        <v>236.26</v>
      </c>
      <c r="K314" t="n">
        <v>2.33</v>
      </c>
      <c r="L314" t="inlineStr">
        <is>
          <t>Price at 61.8% fib retracement (210.46) with confluence at VWAP. Planned entry at zone low 208.39; executable entry 208.64, stop below fib 78.6% at 202.62.</t>
        </is>
      </c>
      <c r="M314" t="inlineStr">
        <is>
          <t>WATCH</t>
        </is>
      </c>
      <c r="N314" t="inlineStr">
        <is>
          <t>WATCH: Neutral market requires stronger setup score (0.42 &lt; 0.45).</t>
        </is>
      </c>
      <c r="O314" t="inlineStr">
        <is>
          <t>NVDA
Fib 61.8 Confluence Buy Zone
0.42
score
Price
208.64
R/R
2.33x
Grade
B
Quality
75%
Buy Zone
208.39 - 212.53
Stop
202.62
Targets
215.39 / 236.26
Tradable if trigger confirms
Mixed
Relative Strength
Leadership
100%
Trend Quality
Constructive
68%
Liquidity
Institutional liquidity
100%
Volume
Distribution risk
45%
Trigger
Break above prior-day high at 214.87 after holding buy zone.
Invalidation
Exit if price closes below 202.62 or setup support fails.
Recent volume shows distribution risk.
Market regime: Mixed.
Relative strength: Leadership.
Price at 61.8% fib retracement (210.46) with confluence at VWAP. Planned entry at zone low 208.39; executable entry 208.64, stop below fib 78.6% at 202.62.
Fib 61.8
210.46
Fib Zone
208.39 - 212.53
Swing Low
194.51
Swing High
236.26
Save setup
Click chart to open full size</t>
        </is>
      </c>
      <c r="P314" t="inlineStr">
        <is>
          <t>agent_results/charts/market_lens_agent_20260608_210745_nvda.png</t>
        </is>
      </c>
      <c r="Q314" t="inlineStr">
        <is>
          <t>Smart Universe: broad liquid US universe, diversified by sector | Sector: Technology - Strong (97/100); XLK sector regime is strong: 31.9% 3m return, 22.5% vs SPY | Setup: Fib 61.8 Confluence Buy Zone; score 0.42; R/R 2.33x; price 208.64 | Market: NEUTRAL; Sector regime: STRONG; Net R/R: 2.16; Factors: AI / Semiconductors, High Beta Growth, Mega Cap Tech, Rates-sensitive Growth, Technology | Agent action: WATCH - WATCH: Neutral market requires stronger setup score (0.42 &lt; 0.45).</t>
        </is>
      </c>
      <c r="R314" t="inlineStr">
        <is>
          <t>{"adjusted_cash_out": 5841.92, "adjusted_position_size": 28, "adjusted_risk_amount": 168.56, "ask": 0.0, "bid": 0.0, "buy_zone_high": 212.53, "buy_zone_low": 208.39, "cash_available": 87010.85, "company_name": "NVIDIA Corporation", "correlation_warning": false, "days_to_earnings": 57, "earnings_blackout": false, "earnings_date": "2026-08-26T00:00:00", "estimated_fees": 0.0, "estimated_slippage": 0.2921, "estimated_spread": 0.0626, "executable_entry": 208.64, "execution_liquidity_bucket": "large_liquid", "factor_exposure_after": {"AI / Semiconductors": 5841.92, "Energy": 13083.54, "High Beta Growth": 5841.92, "Mega Cap Tech": 5841.92, "Rates-sensitive Growth": 5841.92, "Technology": 5841.92}, "factor_exposure_before": {"Energy": 13083.54}, "factor_exposure_cap": 7000.0, "factor_exposure_limit_exceeded": false, "factor_tags": ["AI / Semiconductors", "High Beta Growth", "Mega Cap Tech", "Rates-sensitive Growth", "Technology"], "final_action": "WATCH", "gross_reward_1_per_share": 6.75, "gross_reward_2_per_share": 27.62, "gross_risk_per_share": 6.02, "gross_rr": 2.3346, "gross_rr_1": 1.1213, "gross_rr_2": 4.588, "gross_rr_decision": 2.3346, "highest_correlation_ticker": "XOM", "highest_correlation_value": -0.1935, "initial_action": "BUY_SIMULATED", "market_cap": 5053469425216.67,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208.8173, "net_reward_1_per_share": 6.4683, "net_reward_2_per_share": 27.3383, "net_risk_per_share": 6.3747, "net_rr": 2.1606, "net_rr_1": 1.0147, "net_rr_2": 4.2886, "net_stop_assumption": 202.4427, "net_target_1_assumption": 215.2857, "net_target_2_assumption": 236.1557, "normalized_atr_score": 100.0, "normalized_liquidity_score": 100, "normalized_momentum_score": 92.31, "normalized_quality_score": 96.54, "original_cash_out": 9806.08, "original_position_size": 47, "original_risk_amount": 282.94, "portfolio_exposure_after": 13083.54, "portfolio_exposure_before": 13083.54, "position_size": 0, "position_size_adjusted": true, "position_sizing_explanation": "Base position sizing produced a candidate trade, but the risk transparency layer blocked the new buy. Candidate size: 28 shares, cash 5841.92, risk 168.56.", "previous_resistance": 236.2646, "price": 208.64, "prior_high_20": 236.2646, "prior_high_63": 236.2646, "reason": "WATCH: Neutral market requires stronger setup score (0.42 &lt; 0.45).", "risk_amount": 0.0, "scan_source": "Smart Universe: broad liquid US universe filtered and diversified by the Market Lens UI.", "sector": "Technology", "sector_etf": "XLK", "sector_exposure_after": 5841.92, "sector_exposure_before": 0.0, "sector_exposure_cap": 6000.0, "sector_exposure_limit_exceeded": false, "sector_regime": "STRONG", "sector_score": 97.43, "setup_score": 0.42, "setup_type": "Fib 61.8 Confluence Buy Zone", "sizing_adjustment_reason": "Position size reduced by Technology sector exposure cap (47 -&gt; 28 shares).", "spread_source": "liquidity_fallback", "stock_score": 0.42, "stop_loss": 202.62, "target_1": 215.39, "target_1_atr_distance": 0.8146, "target_2": 236.26, "target_2_atr_distance": 3.3331, "target_feasibility_status": "OK", "theoretical_entry": 208.39, "ticker": "NVDA", "timestamp": "2026-06-08T21:14:42", "warnings": ["Position size reduced by Technology sector exposure cap (47 -&gt; 28 shares).", "Gross R/R is valid, but Net R/R 2.16 failed minimum 2.20 after slippage/spread adjustment."]}</t>
        </is>
      </c>
    </row>
    <row r="315">
      <c r="A315" t="inlineStr">
        <is>
          <t>2026-06-08T21:14:42</t>
        </is>
      </c>
      <c r="B315" t="inlineStr">
        <is>
          <t>OXY</t>
        </is>
      </c>
      <c r="C315" t="inlineStr">
        <is>
          <t>Fib 61.8 Confluence Buy Zone</t>
        </is>
      </c>
      <c r="D315" t="n">
        <v>0.41</v>
      </c>
      <c r="E315" t="n">
        <v>57.48</v>
      </c>
      <c r="F315" t="n">
        <v>57.47</v>
      </c>
      <c r="G315" t="n">
        <v>58.39</v>
      </c>
      <c r="H315" t="n">
        <v>55.16</v>
      </c>
      <c r="I315" t="n">
        <v>57.58</v>
      </c>
      <c r="J315" t="n">
        <v>67.45</v>
      </c>
      <c r="K315" t="n">
        <v>1.53</v>
      </c>
      <c r="L315" t="inlineStr">
        <is>
          <t>Price at 61.8% fib retracement (57.93) with confluence at VWAP. Planned entry at zone low 57.47; executable entry 57.48, stop below fib 78.6% at 55.16.</t>
        </is>
      </c>
      <c r="M315" t="inlineStr">
        <is>
          <t>WATCH</t>
        </is>
      </c>
      <c r="N315" t="inlineStr">
        <is>
          <t>WATCH: Technical setup detected, but weighted risk/reward 1.53 is below minimum 2.00. Market regime NEUTRAL; sector STRONG; net R/R 1.44.</t>
        </is>
      </c>
      <c r="O315" t="inlineStr">
        <is>
          <t>OXY
Fib 61.8 Confluence Buy Zone
0.41
score
Price
57.48
R/R
1.53x
Grade
C
Quality
65%
Buy Zone
57.47 - 58.39
Stop
55.16
Targets
57.58 / 67.45
Watch only; needs confirmation
Mixed
Relative Strength
Leadership
100%
Trend Quality
Messy
10%
Liquidity
Institutional liquidity
100%
Volume
Confirmed
80%
Trigger
Break above prior-day high at 58.89 after holding buy zone.
Invalidation
Exit if price closes below 55.16 or setup support fails.
Trend quality is not clean.
Market regime: Mixed.
Relative strength: Leadership.
Price at 61.8% fib retracement (57.93) with confluence at VWAP. Planned entry at zone low 57.47; executable entry 57.48, stop below fib 78.6% at 55.16.
Fib 61.8
57.93
Fib Zone
57.47 - 58.39
Swing Low
52.05
Swing High
67.45
Save setup
Click chart to open full size</t>
        </is>
      </c>
      <c r="P315" t="inlineStr">
        <is>
          <t>agent_results/charts/market_lens_agent_20260608_210745_oxy.png</t>
        </is>
      </c>
      <c r="Q315" t="inlineStr">
        <is>
          <t>Smart Universe: broad liquid US universe, diversified by sector | Sector: Energy - Strong (72/100); XLE sector regime is strong: 5.6% 3m return, -3.9% vs SPY | Setup: Fib 61.8 Confluence Buy Zone; score 0.41; R/R 1.53x; price 57.48 | Market: NEUTRAL; Sector regime: STRONG; Net R/R: 1.44; Factors: Energy | Agent action: WATCH - WATCH: Technical setup detected, but weighted risk/reward 1.53 is below minimum 2.00. Market regime NEUTRAL; sector STRONG; net R/R 1.44.</t>
        </is>
      </c>
      <c r="R315" t="inlineStr">
        <is>
          <t>{"adjusted_cash_out": 0.0, "adjusted_position_size": 0, "adjusted_risk_amount": 0.0, "ask": 0.0, "bid": 0.0, "buy_zone_high": 58.39, "buy_zone_low": 57.47, "cash_available": 87010.85, "company_name": "Occidental Petroleum Corporation", "correlation_warning": false, "days_to_earnings": 42, "earnings_blackout": false, "earnings_date": "2026-08-05T00:00:00", "estimated_fees": 0.0, "estimated_slippage": 0.0805, "estimated_spread": 0.0172, "executable_entry": 57.48, "execution_liquidity_bucket": "large_liquid", "factor_exposure_after": {"Energy": 13083.54}, "factor_exposure_before": {"Energy": 13083.54}, "factor_exposure_cap": 7000.0, "factor_exposure_limit_exceeded": false, "factor_tags": ["Energy"], "final_action": "WATCH", "gross_reward_1_per_share": 0.1, "gross_reward_2_per_share": 9.97, "gross_risk_per_share": 2.32, "gross_rr": 1.5321, "gross_rr_1": 0.0431, "gross_rr_2": 4.2974, "gross_rr_decision": 1.5321, "highest_correlation_ticker": "APA", "highest_correlation_value": 0.7901, "initial_action": "WATCH", "market_cap": 57171602158.17,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57.5289, "net_reward_1_per_share": 0.0224, "net_reward_2_per_share": 9.8924, "net_risk_per_share": 2.4177, "net_rr": 1.4381, "net_rr_1": 0.0093, "net_rr_2": 4.0916, "net_stop_assumption": 55.1111, "net_target_1_assumption": 57.5513, "net_target_2_assumption": 67.4213, "normalized_atr_score": 100.0, "normalized_liquidity_score": 53.99, "normalized_momentum_score": 89.69, "normalized_quality_score": 81.56,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61.24, "price": 57.48, "prior_high_20": 61.24, "prior_high_63": 67.45, "reason": "WATCH: Technical setup detected, but weighted risk/reward 1.53 is below minimum 2.00. Market regime NEUTRAL; sector STRONG; net R/R 1.44.", "risk_amount": 0.0, "scan_source": "Smart Universe: broad liquid US universe filtered and diversified by the Market Lens UI.", "sector": "Energy", "sector_etf": "XLE", "sector_exposure_after": 13083.54, "sector_exposure_before": 13083.54, "sector_exposure_cap": 6000.0, "sector_exposure_limit_exceeded": false, "sector_regime": "STRONG", "sector_score": 71.6, "setup_score": 0.41, "setup_type": "Fib 61.8 Confluence Buy Zone", "sizing_adjustment_reason": "", "spread_source": "liquidity_fallback", "stock_score": 0.41, "stop_loss": 55.16, "target_1": 57.58, "target_1_atr_distance": 0.0542, "target_2": 67.45, "target_2_atr_distance": 5.407, "target_feasibility_status": "LOW_REWARD_DISTANCE", "theoretical_entry": 57.47, "ticker": "OXY", "timestamp": "2026-06-08T21:14:42", "warnings": ["Target 1 is close versus daily ATR."]}</t>
        </is>
      </c>
    </row>
    <row r="316">
      <c r="A316" t="inlineStr">
        <is>
          <t>2026-06-08T21:14:42</t>
        </is>
      </c>
      <c r="B316" t="inlineStr">
        <is>
          <t>CRM</t>
        </is>
      </c>
      <c r="C316" t="inlineStr">
        <is>
          <t>Breakout + Retest</t>
        </is>
      </c>
      <c r="D316" t="n">
        <v>0.41</v>
      </c>
      <c r="E316" t="n">
        <v>182.55</v>
      </c>
      <c r="F316" t="n">
        <v>178.25</v>
      </c>
      <c r="G316" t="n">
        <v>187.44</v>
      </c>
      <c r="H316" t="n">
        <v>173.65</v>
      </c>
      <c r="I316" t="n">
        <v>190.31</v>
      </c>
      <c r="J316" t="n">
        <v>211.34</v>
      </c>
      <c r="K316" t="n">
        <v>1.7</v>
      </c>
      <c r="L316" t="inlineStr">
        <is>
          <t>Price (182.55) retesting broken resistance (187.44) as support. Breakout on 2026-05-29 with 2.6× avg volume. Volume confirmed breakout. Entry at 182.55, stop at 173.65.</t>
        </is>
      </c>
      <c r="M316" t="inlineStr">
        <is>
          <t>WATCH</t>
        </is>
      </c>
      <c r="N316" t="inlineStr">
        <is>
          <t>WATCH: Technical setup detected, but weighted risk/reward 1.70 is below minimum 2.00. Market regime NEUTRAL; sector STRONG; net R/R 1.52.</t>
        </is>
      </c>
      <c r="O316" t="inlineStr">
        <is>
          <t>CRM
Breakout + Retest
0.41
score
Price
182.55
R/R
1.70x
Grade
B
Quality
77%
Buy Zone
178.25 - 187.44
Stop
173.65
Targets
190.31 / 211.34
Tradable if trigger confirms
Mixed
Relative Strength
Leadership
100%
Trend Quality
Clean uptrend
86%
Liquidity
Institutional liquidity
100%
Volume
Distribution risk
45%
Trigger
Close above 192.51 or reclaim of broken resistance.
Invalidation
Exit if price closes below 173.65 or setup support fails.
Recent volume shows distribution risk.
Market regime: Mixed.
Relative strength: Leadership.
Price (182.55) retesting broken resistance (187.44) as support. Breakout on 2026-05-29 with 2.6× avg volume. Volume confirmed breakout. Entry at 182.55, stop at 173.65.
Fib 61.8
186.81
Fib Zone
184.51 - 189.11
Swing Low
171.65
Swing High
211.34
Save setup
Click chart to open full size</t>
        </is>
      </c>
      <c r="P316" t="inlineStr">
        <is>
          <t>agent_results/charts/market_lens_agent_20260608_210745_crm.png</t>
        </is>
      </c>
      <c r="Q316" t="inlineStr">
        <is>
          <t>Smart Universe: broad liquid US universe, diversified by sector | Sector: Technology - Strong (97/100); XLK sector regime is strong: 31.9% 3m return, 22.5% vs SPY | Setup: Breakout + Retest; score 0.41; R/R 1.70x; price 182.55 | Market: NEUTRAL; Sector regime: STRONG; Net R/R: 1.52; Factors: Technology | Agent action: WATCH - WATCH: Technical setup detected, but weighted risk/reward 1.70 is below minimum 2.00. Market regime NEUTRAL; sector STRONG; net R/R 1.52.</t>
        </is>
      </c>
      <c r="R316" t="inlineStr">
        <is>
          <t>{"adjusted_cash_out": 0.0, "adjusted_position_size": 0, "adjusted_risk_amount": 0.0, "ask": 0.0, "bid": 0.0, "buy_zone_high": 187.44, "buy_zone_low": 178.25, "cash_available": 87010.85, "company_name": "Salesforce, Inc.", "correlation_warning": false, "days_to_earnings": 62, "earnings_blackout": false, "earnings_date": "2026-09-02T00:00:00", "estimated_fees": 0.0, "estimated_slippage": 0.6207, "estimated_spread": 0.0548, "executable_entry": 182.55, "execution_liquidity_bucket": "large_liquid", "factor_exposure_after": {"Energy": 13083.54}, "factor_exposure_before": {"Energy": 13083.54}, "factor_exposure_cap": 7000.0, "factor_exposure_limit_exceeded": false, "factor_tags": ["Technology"], "final_action": "WATCH", "gross_reward_1_per_share": 7.76, "gross_reward_2_per_share": 28.79, "gross_risk_per_share": 8.9, "gross_rr": 1.6989, "gross_rr_1": 0.8719, "gross_rr_2": 3.2348, "gross_rr_decision": 1.6989, "highest_correlation_ticker": "APA", "highest_correlation_value": 0.1165, "initial_action": "WATCH", "market_cap": 149508452499.39,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182.8877, "net_reward_1_per_share": 7.2397, "net_reward_2_per_share": 28.2697, "net_risk_per_share": 9.5754, "net_rr": 1.5248, "net_rr_1": 0.7561, "net_rr_2": 2.9523, "net_stop_assumption": 173.3123, "net_target_1_assumption": 190.1275, "net_target_2_assumption": 211.1575, "normalized_atr_score": 100.0, "normalized_liquidity_score": 97.69, "normalized_momentum_score": 31.1, "normalized_quality_score": 68.3,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211.34, "price": 182.55, "prior_high_20": 211.34, "prior_high_63": 211.34, "reason": "WATCH: Technical setup detected, but weighted risk/reward 1.70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0.41, "setup_type": "Breakout + Retest", "sizing_adjustment_reason": "", "spread_source": "liquidity_fallback", "stock_score": 0.41, "stop_loss": 173.65, "target_1": 190.31, "target_1_atr_distance": 0.844, "target_2": 211.34, "target_2_atr_distance": 3.1312, "target_feasibility_status": "OK", "theoretical_entry": 178.25, "ticker": "CRM", "timestamp": "2026-06-08T21:14:42", "warnings": []}</t>
        </is>
      </c>
    </row>
    <row r="317">
      <c r="A317" t="inlineStr">
        <is>
          <t>2026-06-08T21:14:42</t>
        </is>
      </c>
      <c r="B317" t="inlineStr">
        <is>
          <t>APA</t>
        </is>
      </c>
      <c r="C317" t="inlineStr">
        <is>
          <t>Fib 61.8 Confluence Buy Zone</t>
        </is>
      </c>
      <c r="D317" t="n">
        <v>0.4</v>
      </c>
      <c r="E317" t="n">
        <v>37.66</v>
      </c>
      <c r="F317" t="n">
        <v>37.24</v>
      </c>
      <c r="G317" t="n">
        <v>37.99</v>
      </c>
      <c r="H317" t="n">
        <v>36.39</v>
      </c>
      <c r="I317" t="n">
        <v>38.38</v>
      </c>
      <c r="J317" t="n">
        <v>44.19</v>
      </c>
      <c r="K317" t="n">
        <v>2.17</v>
      </c>
      <c r="L317" t="inlineStr">
        <is>
          <t>Price at 61.8% fib retracement (37.62) with confluence at VWAP. Planned entry at zone low 37.24; executable entry 37.66, stop below fib 78.6% at 36.39.</t>
        </is>
      </c>
      <c r="M317" t="inlineStr">
        <is>
          <t>HOLD</t>
        </is>
      </c>
      <c r="N317" t="inlineStr">
        <is>
          <t>HOLD: Existing simulated position remains open. NEUTRAL regime recorded.</t>
        </is>
      </c>
      <c r="O317" t="inlineStr">
        <is>
          <t>APA
Fib 61.8 Confluence Buy Zone
0.40
score
Price
37.66
R/R
2.17x
Grade
C
Quality
64%
Buy Zone
37.24 - 37.99
Stop
36.39
Targets
38.38 / 44.19
Watch only; needs confirmation
Mixed
Relative Strength
Leadership
100%
Trend Quality
Messy
0%
Liquidity
Institutional liquidity
100%
Volume
Confirmed
80%
Trigger
Break above prior-day high at 38.15 after holding buy zone.
Invalidation
Exit if price closes below 36.39 or setup support fails.
Trend quality is not clean.
Market regime: Mixed.
Relative strength: Leadership.
Price at 61.8% fib retracement (37.62) with confluence at VWAP. Planned entry at zone low 37.24; executable entry 37.66, stop below fib 78.6% at 36.39.
Fib 61.8
37.62
Fib Zone
37.24 - 37.99
Swing Low
35.17
Swing High
41.58
Save setup
Click chart to open full size</t>
        </is>
      </c>
      <c r="P317" t="inlineStr">
        <is>
          <t>agent_results/charts/market_lens_agent_20260608_210745_apa.png</t>
        </is>
      </c>
      <c r="Q317"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R317"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318">
      <c r="A318" t="inlineStr">
        <is>
          <t>2026-06-08T21:14:42</t>
        </is>
      </c>
      <c r="B318" t="inlineStr">
        <is>
          <t>QCOM</t>
        </is>
      </c>
      <c r="C318" t="inlineStr">
        <is>
          <t>Fib 61.8 Confluence Buy Zone</t>
        </is>
      </c>
      <c r="D318" t="n">
        <v>0.37</v>
      </c>
      <c r="E318" t="n">
        <v>217.77</v>
      </c>
      <c r="F318" t="n">
        <v>212.25</v>
      </c>
      <c r="G318" t="n">
        <v>220.83</v>
      </c>
      <c r="H318" t="n">
        <v>203.29</v>
      </c>
      <c r="I318" t="n">
        <v>218.3</v>
      </c>
      <c r="J318" t="n">
        <v>258.96</v>
      </c>
      <c r="K318" t="n">
        <v>1.02</v>
      </c>
      <c r="L318" t="inlineStr">
        <is>
          <t>Price at 61.8% fib retracement (216.54) with confluence at VWAP. Planned entry at zone low 212.25; executable entry 217.77, stop below fib 78.6% at 203.29. Structural confluence: swing low at 121.54 aligns with VAL (125.53).</t>
        </is>
      </c>
      <c r="M318" t="inlineStr">
        <is>
          <t>WATCH</t>
        </is>
      </c>
      <c r="N318" t="inlineStr">
        <is>
          <t>WATCH: Technical setup detected, but weighted risk/reward 1.02 is below minimum 2.00. Market regime NEUTRAL; sector STRONG; net R/R 0.97.</t>
        </is>
      </c>
      <c r="O318" t="inlineStr">
        <is>
          <t>QCOM
Fib 61.8 Confluence Buy Zone
0.37
score
Price
217.77
R/R
1.02x
Grade
B
Quality
76%
Buy Zone
212.25 - 220.83
Stop
203.29
Targets
218.30 / 258.96
Tradable if trigger confirms
Mixed
Relative Strength
Leadership
100%
Trend Quality
Constructive
68%
Liquidity
Institutional liquidity
100%
Volume
Confirmed
80%
Trigger
Break above prior-day high at 238.44 after holding buy zone.
Invalidation
Exit if price closes below 203.29 or setup support fails.
Market regime: Mixed.
Relative strength: Leadership.
Price at 61.8% fib retracement (216.54) with confluence at VWAP. Planned entry at zone low 212.25; executable entry 217.77, stop below fib 78.6% at 203.29. Structural confluence: swing low at 121.54 aligns with VAL (125.53).
Fib 61.8
216.54
Fib Zone
212.25 - 220.83
Swing Low
190.32
Swing High
258.96
Save setup
Click chart to open full size</t>
        </is>
      </c>
      <c r="P318" t="inlineStr">
        <is>
          <t>agent_results/charts/market_lens_agent_20260608_210745_qcom.png</t>
        </is>
      </c>
      <c r="Q318" t="inlineStr">
        <is>
          <t>Smart Universe: broad liquid US universe, diversified by sector | Sector: Technology - Strong (97/100); XLK sector regime is strong: 31.9% 3m return, 22.5% vs SPY | Setup: Fib 61.8 Confluence Buy Zone; score 0.37; R/R 1.02x; price 217.77 | Market: NEUTRAL; Sector regime: STRONG; Net R/R: 0.97; Factors: AI / Semiconductors, Technology | Agent action: WATCH - WATCH: Technical setup detected, but weighted risk/reward 1.02 is below minimum 2.00. Market regime NEUTRAL; sector STRONG; net R/R 0.97.</t>
        </is>
      </c>
      <c r="R318" t="inlineStr">
        <is>
          <t>{"adjusted_cash_out": 0.0, "adjusted_position_size": 0, "adjusted_risk_amount": 0.0, "ask": 0.0, "bid": 0.0, "buy_zone_high": 220.83, "buy_zone_low": 212.25, "cash_available": 87010.85, "company_name": "QUALCOMM Incorporated", "correlation_warning": false, "days_to_earnings": 37, "earnings_blackout": false, "earnings_date": "2026-07-29T00:00:00", "estimated_fees": 0.0, "estimated_slippage": 0.3506, "estimated_spread": 0.0653, "executable_entry": 217.77, "execution_liquidity_bucket": "large_liquid", "factor_exposure_after": {"Energy": 13090.22}, "factor_exposure_before": {"Energy": 13090.22}, "factor_exposure_cap": 7000.0, "factor_exposure_limit_exceeded": false, "factor_tags": ["AI / Semiconductors", "Technology"], "final_action": "WATCH", "gross_reward_1_per_share": 0.53, "gross_reward_2_per_share": 41.19, "gross_risk_per_share": 14.48, "gross_rr": 1.0194, "gross_rr_1": 0.0366, "gross_rr_2": 2.8446, "gross_rr_decision": 1.0194, "highest_correlation_ticker": "APA", "highest_correlation_value": -0.1169, "initial_action": "WATCH", "market_cap": 229529584503.17,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217.978, "net_reward_1_per_share": 0.2017, "net_reward_2_per_share": 40.8617, "net_risk_per_share": 14.8959, "net_rr": 0.9689, "net_rr_1": 0.0135, "net_rr_2": 2.7431, "net_stop_assumption": 203.082, "net_target_1_assumption": 218.1797, "net_target_2_assumption": 258.8397, "normalized_atr_score": 68.0, "normalized_liquidity_score": 81.46, "normalized_momentum_score": 100, "normalized_quality_score": 86.44,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258.9635, "price": 217.77, "prior_high_20": 258.9635, "prior_high_63": 258.9635, "reason": "WATCH: Technical setup detected, but weighted risk/reward 1.02 is below minimum 2.00. Market regime NEUTRAL; sector STRONG; net R/R 0.97.",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0.37, "setup_type": "Fib 61.8 Confluence Buy Zone", "sizing_adjustment_reason": "", "spread_source": "liquidity_fallback", "stock_score": 0.37, "stop_loss": 203.29, "target_1": 218.3, "target_1_atr_distance": 0.0309, "target_2": 258.96, "target_2_atr_distance": 2.4026, "target_feasibility_status": "LOW_REWARD_DISTANCE", "theoretical_entry": 212.25, "ticker": "QCOM", "timestamp": "2026-06-08T21:14:42", "warnings": ["Target 1 is close versus daily ATR."]}</t>
        </is>
      </c>
    </row>
    <row r="319">
      <c r="A319" t="inlineStr">
        <is>
          <t>2026-06-08T21:14:42</t>
        </is>
      </c>
      <c r="B319" t="inlineStr">
        <is>
          <t>TMO</t>
        </is>
      </c>
      <c r="C319" t="inlineStr">
        <is>
          <t>Breakout + Retest</t>
        </is>
      </c>
      <c r="D319" t="n">
        <v>0.37</v>
      </c>
      <c r="E319" t="n">
        <v>469.63</v>
      </c>
      <c r="F319" t="n">
        <v>467.4</v>
      </c>
      <c r="G319" t="n">
        <v>481.83</v>
      </c>
      <c r="H319" t="n">
        <v>460.19</v>
      </c>
      <c r="I319" t="n">
        <v>480.99</v>
      </c>
      <c r="J319" t="n">
        <v>528.33</v>
      </c>
      <c r="K319" t="n">
        <v>2.96</v>
      </c>
      <c r="L319" t="inlineStr">
        <is>
          <t>Price (469.63) retesting broken resistance (481.83) as support. Breakout on 2026-05-28 with 1.8× avg volume. Volume confirmed breakout. Entry at 469.63, stop at 460.19.</t>
        </is>
      </c>
      <c r="M319" t="inlineStr">
        <is>
          <t>WATCH</t>
        </is>
      </c>
      <c r="N319" t="inlineStr">
        <is>
          <t>WATCH: Neutral market requires stronger setup score (0.37 &lt; 0.45).</t>
        </is>
      </c>
      <c r="O319" t="inlineStr">
        <is>
          <t>TMO
Breakout + Retest
0.37
score
Price
469.63
R/R
2.96x
Grade
B
Quality
72%
Buy Zone
467.40 - 481.83
Stop
460.19
Targets
480.99 / 528.33
Tradable if trigger confirms
Mixed
Relative Strength
Leadership
100%
Trend Quality
Messy
28%
Liquidity
Institutional liquidity
100%
Volume
Confirmed
80%
Trigger
Close above 486.79 or reclaim of broken resistance.
Invalidation
Exit if price closes below 460.19 or setup support fails.
Trend quality is not clean.
Market regime: Mixed.
Relative strength: Leadership.
Price (469.63) retesting broken resistance (481.83) as support. Breakout on 2026-05-28 with 1.8× avg volume. Volume confirmed breakout. Entry at 469.63, stop at 460.19.
Fib 61.8
459.61
Fib Zone
456.01 - 463.22
Swing Low
435.27
Swing High
499.00
Save setup
Click chart to open full size</t>
        </is>
      </c>
      <c r="P319" t="inlineStr">
        <is>
          <t>agent_results/charts/market_lens_agent_20260608_210745_tmo.png</t>
        </is>
      </c>
      <c r="Q319" t="inlineStr">
        <is>
          <t>Smart Universe: broad liquid US universe, diversified by sector | Sector: Healthcare - Neutral (66/100); XLV sector regime is neutral: 0.1% 3m return, -9.4% vs SPY | Setup: Breakout + Retest; score 0.37; R/R 2.96x; price 469.63 | Market: NEUTRAL; Sector regime: NEUTRAL; Net R/R: 2.38; Factors: Defensive, Healthcare | Agent action: WATCH - WATCH: Neutral market requires stronger setup score (0.37 &lt; 0.45).</t>
        </is>
      </c>
      <c r="R319" t="inlineStr">
        <is>
          <t>{"adjusted_cash_out": 5635.56, "adjusted_position_size": 12, "adjusted_risk_amount": 113.28, "ask": 0.0, "bid": 0.0, "buy_zone_high": 481.83, "buy_zone_low": 467.4, "cash_available": 87010.85, "company_name": "Thermo Fisher Scientific Inc.", "correlation_warning": false, "days_to_earnings": 32, "earnings_blackout": false, "earnings_date": "2026-07-22T00:00:00", "estimated_fees": 0.0, "estimated_slippage": 1.5967, "estimated_spread": 0.1409, "executable_entry": 469.63, "execution_liquidity_bucket": "large_liquid", "factor_exposure_after": {"Defensive": 5635.56, "Energy": 13090.22, "Healthcare": 5635.56}, "factor_exposure_before": {"Energy": 13090.22}, "factor_exposure_cap": 7000.0, "factor_exposure_limit_exceeded": false, "factor_tags": ["Defensive", "Healthcare"], "final_action": "WATCH", "gross_reward_1_per_share": 11.36, "gross_reward_2_per_share": 58.7, "gross_risk_per_share": 9.44, "gross_rr": 2.9586, "gross_rr_1": 1.2034, "gross_rr_2": 6.2182, "gross_rr_decision": 2.9586, "highest_correlation_ticker": "APA", "highest_correlation_value": -0.1868, "initial_action": "BUY_SIMULATED", "market_cap": 174524590422.51,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470.4988, "net_reward_1_per_share": 10.0216, "net_reward_2_per_share": 57.3616, "net_risk_per_share": 11.1776, "net_rr": 2.3789, "net_rr_1": 0.8966, "net_rr_2": 5.1318, "net_stop_assumption": 459.3212, "net_target_1_assumption": 480.5204, "net_target_2_assumption": 527.8604, "normalized_atr_score": 100.0, "normalized_liquidity_score": 71.75, "normalized_momentum_score": 32.41, "normalized_quality_score": 61.11, "original_cash_out": 9862.23, "original_position_size": 21, "original_risk_amount": 198.24, "portfolio_exposure_after": 13083.54, "portfolio_exposure_before": 13083.54, "position_size": 0, "position_size_adjusted": true, "position_sizing_explanation": "Base position sizing produced a candidate trade, but the risk transparency layer blocked the new buy. Candidate size: 12 shares, cash 5635.56, risk 113.28.", "previous_resistance": 499.0, "price": 469.63, "prior_high_20": 499.0, "prior_high_63": 538.41, "reason": "WATCH: Neutral market requires stronger setup score (0.37 &lt; 0.45).", "risk_amount": 0.0, "scan_source": "Smart Universe: broad liquid US universe filtered and diversified by the Market Lens UI.", "sector": "Healthcare", "sector_etf": "XLV", "sector_exposure_after": 5635.56, "sector_exposure_before": 0.0, "sector_exposure_cap": 6000.0, "sector_exposure_limit_exceeded": false, "sector_regime": "NEUTRAL", "sector_score": 66.15, "setup_score": 0.37, "setup_type": "Breakout + Retest", "sizing_adjustment_reason": "Position size reduced by Healthcare sector exposure cap (21 -&gt; 12 shares).", "spread_source": "liquidity_fallback", "stock_score": 0.37, "stop_loss": 460.19, "target_1": 480.99, "target_1_atr_distance": 0.7874, "target_2": 528.33, "target_2_atr_distance": 4.0685, "target_feasibility_status": "OK", "theoretical_entry": 467.4, "ticker": "TMO", "timestamp": "2026-06-08T21:14:42", "warnings": ["Position size reduced by Healthcare sector exposure cap (21 -&gt; 12 shares).", "WATCH: Neutral sector requires a cleaner setup score.", "Gross R/R is valid, but Net R/R 2.38 failed minimum 2.50 after slippage/spread adjustment."]}</t>
        </is>
      </c>
    </row>
    <row r="320">
      <c r="A320" t="inlineStr">
        <is>
          <t>2026-06-08T21:14:42</t>
        </is>
      </c>
      <c r="B320" t="inlineStr">
        <is>
          <t>LNG</t>
        </is>
      </c>
      <c r="C320" t="inlineStr">
        <is>
          <t>Swing Low + Volume Support Buy Zone</t>
        </is>
      </c>
      <c r="D320" t="n">
        <v>0.3</v>
      </c>
      <c r="E320" t="n">
        <v>236.61</v>
      </c>
      <c r="F320" t="n">
        <v>233.29</v>
      </c>
      <c r="G320" t="n">
        <v>239.07</v>
      </c>
      <c r="H320" t="n">
        <v>224.61</v>
      </c>
      <c r="I320" t="n">
        <v>237.19</v>
      </c>
      <c r="J320" t="n">
        <v>296.84</v>
      </c>
      <c r="K320" t="n">
        <v>1.79</v>
      </c>
      <c r="L320" t="inlineStr">
        <is>
          <t>Price is pulling into a recent swing-low support (235.45) that overlaps with a high-volume area (VAL at 236.23), creating structural + volume confluence. Liquidity sweep below swing low detected — wick and reclaim. Stop below 224.61.</t>
        </is>
      </c>
      <c r="M320" t="inlineStr">
        <is>
          <t>WATCH</t>
        </is>
      </c>
      <c r="N320" t="inlineStr">
        <is>
          <t>WATCH: Technical setup detected, but weighted risk/reward 1.79 is below minimum 2.00. Market regime NEUTRAL; sector STRONG; net R/R 1.70.</t>
        </is>
      </c>
      <c r="O320" t="inlineStr">
        <is>
          <t>LNG
Swing Low + Volume Support Buy Zone
0.30
score
Price
236.61
R/R
1.79x
Grade
C
Quality
61%
Buy Zone
233.29 - 239.07
Stop
224.61
Targets
237.19 / 296.84
Watch only; needs confirmation
Mixed
Relative Strength
Leadership
100%
Trend Quality
Messy
0%
Liquidity
Institutional liquidity
100%
Volume
Neutral
65%
Trigger
Break above prior-day high at 241.10 after holding buy zone.
Invalidation
Exit if price closes below 224.61 or setup support fails.
Trend quality is not clean.
Market regime: Mixed.
Relative strength: Leadership.
Price is pulling into a recent swing-low support (235.45) that overlaps with a high-volume area (VAL at 236.23), creating structural + volume confluence. Liquidity sweep below swing low detected — wick and reclaim. Stop below 224.61.
Fib 61.8
241.67
Fib Zone
239.86 - 243.48
Swing Low
235.45
Swing High
251.73
Save setup
Click chart to open full size</t>
        </is>
      </c>
      <c r="P320" t="inlineStr">
        <is>
          <t>agent_results/charts/market_lens_agent_20260608_210745_lng.png</t>
        </is>
      </c>
      <c r="Q320" t="inlineStr">
        <is>
          <t>Smart Universe: broad liquid US universe, diversified by sector | Sector: Energy - Strong (72/100); XLE sector regime is strong: 5.6% 3m return, -3.9% vs SPY | Setup: Swing Low + Volume Support Buy Zone; score 0.30; R/R 1.79x; price 236.61 | Market: NEUTRAL; Sector regime: STRONG; Net R/R: 1.70; Factors: Energy | Agent action: WATCH - WATCH: Technical setup detected, but weighted risk/reward 1.79 is below minimum 2.00. Market regime NEUTRAL; sector STRONG; net R/R 1.70.</t>
        </is>
      </c>
      <c r="R320" t="inlineStr">
        <is>
          <t>{"adjusted_cash_out": 0.0, "adjusted_position_size": 0, "adjusted_risk_amount": 0.0, "ask": 0.0, "bid": 0.0, "buy_zone_high": 239.07, "buy_zone_low": 233.29, "cash_available": 87010.85, "company_name": "Cheniere Energy, Inc.", "correlation_warning": false, "days_to_earnings": 43, "earnings_blackout": false, "earnings_date": "2026-08-06T00:00:00", "estimated_fees": 0.0, "estimated_slippage": 0.3313, "estimated_spread": 0.071, "executable_entry": 236.61, "execution_liquidity_bucket": "large_liquid", "factor_exposure_after": {"Energy": 13090.22}, "factor_exposure_before": {"Energy": 13090.22}, "factor_exposure_cap": 7000.0, "factor_exposure_limit_exceeded": false, "factor_tags": ["Energy"], "final_action": "WATCH", "gross_reward_1_per_share": 0.58, "gross_reward_2_per_share": 60.23, "gross_risk_per_share": 12.0, "gross_rr": 1.7881, "gross_rr_1": 0.0483, "gross_rr_2": 5.0192, "gross_rr_decision": 1.7881, "highest_correlation_ticker": "APA", "highest_correlation_value": 0.6623, "initial_action": "WATCH", "market_cap": 49582067615.38,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236.8111, "net_reward_1_per_share": 0.2606, "net_reward_2_per_share": 59.9106, "net_risk_per_share": 12.4022, "net_rr": 1.7044, "net_rr_1": 0.021, "net_rr_2": 4.8306, "net_stop_assumption": 224.4089, "net_target_1_assumption": 237.0717, "net_target_2_assumption": 296.7217, "normalized_atr_score": 100.0, "normalized_liquidity_score": 48.25, "normalized_momentum_score": 36.83, "normalized_quality_score": 56.05,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251.73, "price": 236.61, "prior_high_20": 251.73, "prior_high_63": 300.1945, "reason": "WATCH: Technical setup detected, but weighted risk/reward 1.79 is below minimum 2.00. Market regime NEUTRAL; sector STRONG; net R/R 1.70.",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0.3, "setup_type": "Swing Low + Volume Support Buy Zone", "sizing_adjustment_reason": "", "spread_source": "liquidity_fallback", "stock_score": 0.3, "stop_loss": 224.61, "target_1": 237.19, "target_1_atr_distance": 0.0803, "target_2": 296.84, "target_2_atr_distance": 8.3337, "target_feasibility_status": "LOW_REWARD_DISTANCE", "theoretical_entry": 233.29, "ticker": "LNG", "timestamp": "2026-06-08T21:14:42", "warnings": ["Target 1 is close versus daily ATR."]}</t>
        </is>
      </c>
    </row>
    <row r="321">
      <c r="A321" t="inlineStr">
        <is>
          <t>2026-06-08T21:14:42</t>
        </is>
      </c>
      <c r="B321" t="inlineStr">
        <is>
          <t>DLR</t>
        </is>
      </c>
      <c r="C321" t="inlineStr">
        <is>
          <t>Breakout + Retest</t>
        </is>
      </c>
      <c r="D321" t="n">
        <v>0.26</v>
      </c>
      <c r="E321" t="n">
        <v>182.15</v>
      </c>
      <c r="F321" t="n">
        <v>178.65</v>
      </c>
      <c r="G321" t="n">
        <v>182.95</v>
      </c>
      <c r="H321" t="n">
        <v>176.5</v>
      </c>
      <c r="I321" t="n">
        <v>186.45</v>
      </c>
      <c r="J321" t="n">
        <v>201.34</v>
      </c>
      <c r="K321" t="n">
        <v>1.68</v>
      </c>
      <c r="L321" t="inlineStr">
        <is>
          <t>Price (182.15) retesting broken resistance (182.95) as support. Breakout on 2026-04-08 with 2.2× avg volume. Volume confirmed breakout. Entry at 182.15, stop at 176.50.</t>
        </is>
      </c>
      <c r="M321" t="inlineStr">
        <is>
          <t>WATCH</t>
        </is>
      </c>
      <c r="N321" t="inlineStr">
        <is>
          <t>WATCH: Technical setup detected, but weighted risk/reward 1.68 is below minimum 2.00. Market regime NEUTRAL; sector NEUTRAL; net R/R 1.29.</t>
        </is>
      </c>
      <c r="O321" t="inlineStr">
        <is>
          <t>DLR
Breakout + Retest
0.26
score
Price
182.15
R/R
1.68x
Grade
C
Quality
59%
Buy Zone
178.65 - 182.95
Stop
176.50
Targets
186.45 / 201.34
Watch only; needs confirmation
Mixed
Relative Strength
Leadership
100%
Trend Quality
Messy
0%
Liquidity
Institutional liquidity
100%
Volume
Neutral
50%
Trigger
Close above 188.85 or reclaim of broken resistance.
Invalidation
Exit if price closes below 176.50 or setup support fails.
Trend quality is not clean.
Market regime: Mixed.
Relative strength: Leadership.
Price (182.15) retesting broken resistance (182.95) as support. Breakout on 2026-04-08 with 2.2× avg volume. Volume confirmed breakout. Entry at 182.15, stop at 176.50.
Fib 61.8
188.75
Fib Zone
187.67 - 189.82
Swing Low
184.95
Swing High
194.89
Save setup
Click chart to open full size</t>
        </is>
      </c>
      <c r="P321" t="inlineStr">
        <is>
          <t>agent_results/charts/market_lens_agent_20260608_210745_dlr.png</t>
        </is>
      </c>
      <c r="Q321" t="inlineStr">
        <is>
          <t>Smart Universe: broad liquid US universe, diversified by sector | Sector: Real Estate - Neutral (46/100); XLRE sector regime is neutral: 3.3% 3m return, -6.2% vs SPY | Setup: Breakout + Retest; score 0.26; R/R 1.68x; price 182.15 | Market: NEUTRAL; Sector regime: NEUTRAL; Net R/R: 1.29; Factors: Real Estate | Agent action: WATCH - WATCH: Technical setup detected, but weighted risk/reward 1.68 is below minimum 2.00. Market regime NEUTRAL; sector NEUTRAL; net R/R 1.29.</t>
        </is>
      </c>
      <c r="R321" t="inlineStr">
        <is>
          <t>{"adjusted_cash_out": 0.0, "adjusted_position_size": 0, "adjusted_risk_amount": 0.0, "ask": 0.0, "bid": 0.0, "buy_zone_high": 182.95, "buy_zone_low": 178.65, "cash_available": 87010.85, "company_name": "Digital Realty", "correlation_warning": false, "days_to_earnings": 33, "earnings_blackout": false, "earnings_date": "2026-07-23T00:00:00", "estimated_fees": 0.0, "estimated_slippage": 0.9108, "estimated_spread": 0.1457, "executable_entry": 182.15, "execution_liquidity_bucket": "mid_liquid", "factor_exposure_after": {"Energy": 13090.22}, "factor_exposure_before": {"Energy": 13090.22}, "factor_exposure_cap": 7000.0, "factor_exposure_limit_exceeded": false, "factor_tags": ["Real Estate"], "final_action": "WATCH", "gross_reward_1_per_share": 4.3, "gross_reward_2_per_share": 19.19, "gross_risk_per_share": 5.65, "gross_rr": 1.6835, "gross_rr_1": 0.7611, "gross_rr_2": 3.3965, "gross_rr_decision": 1.6835, "highest_correlation_ticker": "XOM", "highest_correlation_value": -0.2659, "initial_action": "WATCH", "market_cap": 64008613505.69,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2.5, "net_entry": 182.6782, "net_reward_1_per_share": 3.4712, "net_reward_2_per_share": 18.3612, "net_risk_per_share": 6.7065, "net_rr": 1.2947, "net_rr_1": 0.5176, "net_rr_2": 2.7378, "net_stop_assumption": 175.9718, "net_target_1_assumption": 186.1495, "net_target_2_assumption": 201.0395, "normalized_atr_score": 100.0, "normalized_liquidity_score": 41.08, "normalized_momentum_score": 43.7, "normalized_quality_score": 56.99,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197.54, "price": 182.15, "prior_high_20": 197.54, "prior_high_63": 208.14, "reason": "WATCH: Technical setup detected, but weighted risk/reward 1.68 is below minimum 2.00. Market regime NEUTRAL; sector NEUTRAL; net R/R 1.29.", "risk_amount": 0.0, "scan_source": "Smart Universe: broad liquid US universe filtered and diversified by the Market Lens UI.", "sector": "Real Estate", "sector_etf": "XLRE", "sector_exposure_after": 0.0, "sector_exposure_before": 0.0, "sector_exposure_cap": 6000.0, "sector_exposure_limit_exceeded": false, "sector_regime": "NEUTRAL", "sector_score": 46.02, "setup_score": 0.26, "setup_type": "Breakout + Retest", "sizing_adjustment_reason": "", "spread_source": "liquidity_fallback", "stock_score": 0.26, "stop_loss": 176.5, "target_1": 186.45, "target_1_atr_distance": 0.9997, "target_2": 201.34, "target_2_atr_distance": 4.4614, "target_feasibility_status": "OK", "theoretical_entry": 178.65, "ticker": "DLR", "timestamp": "2026-06-08T21:14:42", "warnings": []}</t>
        </is>
      </c>
    </row>
    <row r="322">
      <c r="A322" t="inlineStr">
        <is>
          <t>2026-06-08T21:14:42</t>
        </is>
      </c>
      <c r="B322" t="inlineStr">
        <is>
          <t>AMAT</t>
        </is>
      </c>
      <c r="C322" t="inlineStr">
        <is>
          <t>No Trade</t>
        </is>
      </c>
      <c r="D322" t="n">
        <v>0</v>
      </c>
      <c r="E322" t="n">
        <v>492.17</v>
      </c>
      <c r="H322" t="n">
        <v>0</v>
      </c>
      <c r="K322" t="n">
        <v>0</v>
      </c>
      <c r="L322" t="inlineStr">
        <is>
          <t>No clean technical setup detected. Price in middle of value area or poor risk/reward.</t>
        </is>
      </c>
      <c r="M322" t="inlineStr">
        <is>
          <t>SKIP</t>
        </is>
      </c>
      <c r="N322" t="inlineStr">
        <is>
          <t>SKIP: No Trade result. Market regime NEUTRAL; sector STRONG; net R/R 0.00.</t>
        </is>
      </c>
      <c r="O322" t="inlineStr">
        <is>
          <t>AMAT
No Trade
0.00
score
Price
492.17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403.84
Fib Zone
397.79 - 409.88
Swing Low
376.60
Swing High
447.89
Click chart to open full size</t>
        </is>
      </c>
      <c r="P322" t="inlineStr">
        <is>
          <t>agent_results/charts/market_lens_agent_20260608_210745_amat.png</t>
        </is>
      </c>
      <c r="Q322" t="inlineStr">
        <is>
          <t>Smart Universe: broad liquid US universe, diversified by sector | Sector: Semiconductors - Strong (100/100); SMH sector regime is strong: 50.5% 3m return, 41.1% vs SPY | Setup: No Trade; score 0.00; R/R 0.00x; price 492.17 | Market: NEUTRAL; Sector regime: STRONG; Net R/R: 0.00; Factors: AI / Semiconductors, Semiconductors | Agent action: SKIP - SKIP: No Trade result. Market regime NEUTRAL; sector STRONG; net R/R 0.00.</t>
        </is>
      </c>
      <c r="R322" t="inlineStr">
        <is>
          <t>{"adjusted_cash_out": 0.0, "adjusted_position_size": 0, "adjusted_risk_amount": 0.0, "ask": 0.0, "bid": 0.0, "buy_zone_high": null, "buy_zone_low": null, "cash_available": 87010.85, "company_name": "Applied Materials, Inc.", "correlation_warning": false, "days_to_earnings": 48, "earnings_blackout": false, "earnings_date": "2026-08-13T00:00:00", "estimated_fees": 0.0, "estimated_slippage": 0.689, "estimated_spread": 0.1477, "executable_entry": 492.17,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492.17, "gross_rr": 0.0, "gross_rr_1": 0.0, "gross_rr_2": 0.0, "gross_rr_decision": 0.0, "highest_correlation_ticker": "APA", "highest_correlation_value": -0.175, "initial_action": "SKIP", "market_cap": 390763023324.18,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492.5883, "net_reward_1_per_share": 0.0, "net_reward_2_per_share": 0.0, "net_risk_per_share": 493.0067, "net_rr": 0.0, "net_rr_1": 0.0, "net_rr_2": 0.0, "net_stop_assumption": -0.4183, "net_target_1_assumption": -0.2461, "net_target_2_assumption": -0.2461, "normalized_atr_score": 98.81, "normalized_liquidity_score": 70.11, "normalized_momentum_score": 100, "normalized_quality_score": 90.74,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492.17,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492.17, "ticker": "AMAT", "timestamp": "2026-06-08T21:14:42", "warnings": ["Target ATR feasibility unavailable."]}</t>
        </is>
      </c>
    </row>
    <row r="323">
      <c r="A323" t="inlineStr">
        <is>
          <t>2026-06-08T21:14:42</t>
        </is>
      </c>
      <c r="B323" t="inlineStr">
        <is>
          <t>LRCX</t>
        </is>
      </c>
      <c r="C323" t="inlineStr">
        <is>
          <t>No Trade</t>
        </is>
      </c>
      <c r="D323" t="n">
        <v>0</v>
      </c>
      <c r="E323" t="n">
        <v>324.45</v>
      </c>
      <c r="H323" t="n">
        <v>0</v>
      </c>
      <c r="K323" t="n">
        <v>0</v>
      </c>
      <c r="L323" t="inlineStr">
        <is>
          <t>No clean technical setup detected. Price in middle of value area or poor risk/reward.</t>
        </is>
      </c>
      <c r="M323" t="inlineStr">
        <is>
          <t>SKIP</t>
        </is>
      </c>
      <c r="N323" t="inlineStr">
        <is>
          <t>SKIP: No Trade result. Market regime NEUTRAL; sector STRONG; net R/R 0.00.</t>
        </is>
      </c>
      <c r="O323" t="inlineStr">
        <is>
          <t>LRCX
No Trade
0.00
score
Price
324.45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227.21
Fib Zone
223.02 - 231.40
Swing Low
198.60
Swing High
273.50
Click chart to open full size</t>
        </is>
      </c>
      <c r="P323" t="inlineStr">
        <is>
          <t>agent_results/charts/market_lens_agent_20260608_210745_lrcx.png</t>
        </is>
      </c>
      <c r="Q323" t="inlineStr">
        <is>
          <t>Smart Universe: broad liquid US universe, diversified by sector | Sector: Semiconductors - Strong (100/100); SMH sector regime is strong: 50.5% 3m return, 41.1% vs SPY | Setup: No Trade; score 0.00; R/R 0.00x; price 324.45 | Market: NEUTRAL; Sector regime: STRONG; Net R/R: 0.00; Factors: AI / Semiconductors, Semiconductors | Agent action: SKIP - SKIP: No Trade result. Market regime NEUTRAL; sector STRONG; net R/R 0.00.</t>
        </is>
      </c>
      <c r="R323" t="inlineStr">
        <is>
          <t>{"adjusted_cash_out": 0.0, "adjusted_position_size": 0, "adjusted_risk_amount": 0.0, "ask": 0.0, "bid": 0.0, "buy_zone_high": null, "buy_zone_low": null, "cash_available": 87010.85, "company_name": "Lam Research Corporation", "correlation_warning": false, "days_to_earnings": 37, "earnings_blackout": false, "earnings_date": "2026-07-29T00:00:00", "estimated_fees": 0.0, "estimated_slippage": 0.4542, "estimated_spread": 0.0973, "executable_entry": 324.45,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324.45, "gross_rr": 0.0, "gross_rr_1": 0.0, "gross_rr_2": 0.0, "gross_rr_decision": 0.0, "highest_correlation_ticker": "APA", "highest_correlation_value": -0.3008, "initial_action": "SKIP", "market_cap": 405737393815.37,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324.7258, "net_reward_1_per_share": 0.0, "net_reward_2_per_share": 0.0, "net_risk_per_share": 325.0016, "net_rr": 0.0, "net_rr_1": 0.0, "net_rr_2": 0.0, "net_stop_assumption": -0.2758, "net_target_1_assumption": -0.1622, "net_target_2_assumption": -0.1622, "normalized_atr_score": 96.19, "normalized_liquidity_score": 61.45, "normalized_momentum_score": 100, "normalized_quality_score": 87.48,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324.45,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324.45, "ticker": "LRCX", "timestamp": "2026-06-08T21:14:42", "warnings": ["Target ATR feasibility unavailable."]}</t>
        </is>
      </c>
    </row>
    <row r="324">
      <c r="A324" t="inlineStr">
        <is>
          <t>2026-06-08T21:14:42</t>
        </is>
      </c>
      <c r="B324" t="inlineStr">
        <is>
          <t>AMD</t>
        </is>
      </c>
      <c r="C324" t="inlineStr">
        <is>
          <t>No Trade</t>
        </is>
      </c>
      <c r="D324" t="n">
        <v>0</v>
      </c>
      <c r="E324" t="n">
        <v>490.33</v>
      </c>
      <c r="H324" t="n">
        <v>0</v>
      </c>
      <c r="K324" t="n">
        <v>0</v>
      </c>
      <c r="L324" t="inlineStr">
        <is>
          <t>No clean technical setup detected. Price in middle of value area or poor risk/reward.</t>
        </is>
      </c>
      <c r="M324" t="inlineStr">
        <is>
          <t>SKIP</t>
        </is>
      </c>
      <c r="N324" t="inlineStr">
        <is>
          <t>SKIP: No Trade result. Market regime NEUTRAL; sector STRONG; net R/R 0.00.</t>
        </is>
      </c>
      <c r="O324" t="inlineStr">
        <is>
          <t>AMD
No Trade
0.00
score
Price
490.33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298.44
Fib Zone
291.10 - 305.77
Swing Low
192.87
Swing High
469.22
Click chart to open full size</t>
        </is>
      </c>
      <c r="P324" t="inlineStr">
        <is>
          <t>agent_results/charts/market_lens_agent_20260608_210745_amd.png</t>
        </is>
      </c>
      <c r="Q324" t="inlineStr">
        <is>
          <t>Smart Universe: broad liquid US universe, diversified by sector | Sector: Technology - Strong (97/100); XLK sector regime is strong: 31.9% 3m return, 22.5% vs SPY | Setup: No Trade; score 0.00; R/R 0.00x; price 490.33 | Market: NEUTRAL; Sector regime: STRONG; Net R/R: 0.00; Factors: AI / Semiconductors, High Beta Growth, Technology | Agent action: SKIP - SKIP: No Trade result. Market regime NEUTRAL; sector STRONG; net R/R 0.00.</t>
        </is>
      </c>
      <c r="R324" t="inlineStr">
        <is>
          <t>{"adjusted_cash_out": 0.0, "adjusted_position_size": 0, "adjusted_risk_amount": 0.0, "ask": 0.0, "bid": 0.0, "buy_zone_high": null, "buy_zone_low": null, "cash_available": 87010.85, "company_name": "Advanced Micro Devices, Inc.", "correlation_warning": false, "days_to_earnings": 41, "earnings_blackout": false, "earnings_date": "2026-08-04T00:00:00", "estimated_fees": 0.0, "estimated_slippage": 0.6865, "estimated_spread": 0.1471, "executable_entry": 490.33, "execution_liquidity_bucket": "large_liquid", "factor_exposure_after": {"Energy": 13090.22}, "factor_exposure_before": {"Energy": 13090.22}, "factor_exposure_cap": 7000.0, "factor_exposure_limit_exceeded": false, "factor_tags": ["AI / Semiconductors", "High Beta Growth", "Technology"], "final_action": "SKIP", "gross_reward_1_per_share": 0.0, "gross_reward_2_per_share": 0.0, "gross_risk_per_share": 490.33, "gross_rr": 0.0, "gross_rr_1": 0.0, "gross_rr_2": 0.0, "gross_rr_decision": 0.0, "highest_correlation_ticker": "APA", "highest_correlation_value": -0.2618, "initial_action": "SKIP", "market_cap": 799532389425.6,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490.7468, "net_reward_1_per_share": 0.0, "net_reward_2_per_share": 0.0, "net_risk_per_share": 491.1636, "net_rr": 0.0, "net_rr_1": 0.0, "net_rr_2": 0.0, "net_stop_assumption": -0.4168, "net_target_1_assumption": -0.2452, "net_target_2_assumption": -0.2452, "normalized_atr_score": 87.64, "normalized_liquidity_score": 100, "normalized_momentum_score": 100, "normalized_quality_score": 96.91,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490.33,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490.33, "ticker": "AMD", "timestamp": "2026-06-08T21:14:42", "warnings": ["Target ATR feasibility unavailable."]}</t>
        </is>
      </c>
    </row>
    <row r="325">
      <c r="A325" t="inlineStr">
        <is>
          <t>2026-06-08T21:14:42</t>
        </is>
      </c>
      <c r="B325" t="inlineStr">
        <is>
          <t>KLAC</t>
        </is>
      </c>
      <c r="C325" t="inlineStr">
        <is>
          <t>No Trade</t>
        </is>
      </c>
      <c r="D325" t="n">
        <v>0</v>
      </c>
      <c r="E325" t="n">
        <v>2108.06</v>
      </c>
      <c r="H325" t="n">
        <v>0</v>
      </c>
      <c r="K325" t="n">
        <v>0</v>
      </c>
      <c r="L325" t="inlineStr">
        <is>
          <t>No clean technical setup detected. Price in middle of value area or poor risk/reward.</t>
        </is>
      </c>
      <c r="M325" t="inlineStr">
        <is>
          <t>SKIP</t>
        </is>
      </c>
      <c r="N325" t="inlineStr">
        <is>
          <t>SKIP: No Trade result. Market regime NEUTRAL; sector STRONG; net R/R 0.00.</t>
        </is>
      </c>
      <c r="O325" t="inlineStr">
        <is>
          <t>KLAC
No Trade
0.00
score
Price
2108.06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1745.04
Fib Zone
1719.00 - 1771.09
Swing Low
1643.90
Swing High
1908.67
Click chart to open full size</t>
        </is>
      </c>
      <c r="P325" t="inlineStr">
        <is>
          <t>agent_results/charts/market_lens_agent_20260608_210745_klac.png</t>
        </is>
      </c>
      <c r="Q325" t="inlineStr">
        <is>
          <t>Smart Universe: broad liquid US universe, diversified by sector | Sector: Semiconductors - Strong (100/100); SMH sector regime is strong: 50.5% 3m return, 41.1% vs SPY | Setup: No Trade; score 0.00; R/R 0.00x; price 2108.06 | Market: NEUTRAL; Sector regime: STRONG; Net R/R: 0.00; Factors: AI / Semiconductors, Semiconductors | Agent action: SKIP - SKIP: No Trade result. Market regime NEUTRAL; sector STRONG; net R/R 0.00.</t>
        </is>
      </c>
      <c r="R325" t="inlineStr">
        <is>
          <t>{"adjusted_cash_out": 0.0, "adjusted_position_size": 0, "adjusted_risk_amount": 0.0, "ask": 0.0, "bid": 0.0, "buy_zone_high": null, "buy_zone_low": null, "cash_available": 87010.85, "company_name": "KLA Corporation", "correlation_warning": false, "days_to_earnings": 38, "earnings_blackout": false, "earnings_date": "2026-07-30T00:00:00", "estimated_fees": 0.0, "estimated_slippage": 2.9513, "estimated_spread": 0.6324, "executable_entry": 2108.06,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2108.06, "gross_rr": 0.0, "gross_rr_1": 0.0, "gross_rr_2": 0.0, "gross_rr_decision": 0.0, "highest_correlation_ticker": "APA", "highest_correlation_value": -0.1972, "initial_action": "SKIP", "market_cap": 275370659573.22,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2109.8519, "net_reward_1_per_share": 0.0, "net_reward_2_per_share": 0.0, "net_risk_per_share": 2111.6437, "net_rr": 0.0, "net_rr_1": 0.0, "net_rr_2": 0.0, "net_stop_assumption": -1.7919, "net_target_1_assumption": -1.054, "net_target_2_assumption": -1.054, "normalized_atr_score": 98.51, "normalized_liquidity_score": 51.7, "normalized_momentum_score": 100, "normalized_quality_score": 85.14,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2108.06,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2108.06, "ticker": "KLAC", "timestamp": "2026-06-08T21:14:42", "warnings": ["Target ATR feasibility unavailable."]}</t>
        </is>
      </c>
    </row>
    <row r="326">
      <c r="A326" t="inlineStr">
        <is>
          <t>2026-06-08T21:14:42</t>
        </is>
      </c>
      <c r="B326" t="inlineStr">
        <is>
          <t>PANW</t>
        </is>
      </c>
      <c r="C326" t="inlineStr">
        <is>
          <t>No Trade</t>
        </is>
      </c>
      <c r="D326" t="n">
        <v>0</v>
      </c>
      <c r="E326" t="n">
        <v>266.33</v>
      </c>
      <c r="H326" t="n">
        <v>0</v>
      </c>
      <c r="K326" t="n">
        <v>0</v>
      </c>
      <c r="L326" t="inlineStr">
        <is>
          <t>No clean technical setup detected. Price in middle of value area or poor risk/reward.</t>
        </is>
      </c>
      <c r="M326" t="inlineStr">
        <is>
          <t>SKIP</t>
        </is>
      </c>
      <c r="N326" t="inlineStr">
        <is>
          <t>SKIP: No Trade result. Market regime NEUTRAL; sector STRONG; net R/R 0.00.</t>
        </is>
      </c>
      <c r="O326" t="inlineStr">
        <is>
          <t>PANW
No Trade
0.00
score
Price
266.33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209.22
Fib Zone
206.08 - 212.35
Swing Low
151.28
Swing High
302.95
Click chart to open full size</t>
        </is>
      </c>
      <c r="P326" t="inlineStr">
        <is>
          <t>agent_results/charts/market_lens_agent_20260608_210745_panw.png</t>
        </is>
      </c>
      <c r="Q326" t="inlineStr">
        <is>
          <t>Smart Universe: broad liquid US universe, diversified by sector | Sector: Technology - Strong (97/100); XLK sector regime is strong: 31.9% 3m return, 22.5% vs SPY | Setup: No Trade; score 0.00; R/R 0.00x; price 266.33 | Market: NEUTRAL; Sector regime: STRONG; Net R/R: 0.00; Factors: High Beta Growth, Technology | Agent action: SKIP - SKIP: No Trade result. Market regime NEUTRAL; sector STRONG; net R/R 0.00.</t>
        </is>
      </c>
      <c r="R326" t="inlineStr">
        <is>
          <t>{"adjusted_cash_out": 0.0, "adjusted_position_size": 0, "adjusted_risk_amount": 0.0, "ask": 0.0, "bid": 0.0, "buy_zone_high": null, "buy_zone_low": null, "cash_available": 87010.85, "company_name": "Palo Alto Networks, Inc.", "correlation_warning": false, "days_to_earnings": 51, "earnings_blackout": false, "earnings_date": "2026-08-18T00:00:00", "estimated_fees": 0.0, "estimated_slippage": 0.3729, "estimated_spread": 0.0799, "executable_entry": 266.33,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266.33, "gross_rr": 0.0, "gross_rr_1": 0.0, "gross_rr_2": 0.0, "gross_rr_decision": 0.0, "highest_correlation_ticker": "APA", "highest_correlation_value": -0.0467, "initial_action": "SKIP", "market_cap": 217058939056.4,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266.5564, "net_reward_1_per_share": 0.0, "net_reward_2_per_share": 0.0, "net_risk_per_share": 266.7828, "net_rr": 0.0, "net_rr_1": 0.0, "net_rr_2": 0.0, "net_stop_assumption": -0.2264, "net_target_1_assumption": -0.1332, "net_target_2_assumption": -0.1332, "normalized_atr_score": 100.0, "normalized_liquidity_score": 59.45, "normalized_momentum_score": 100, "normalized_quality_score": 87.84,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266.33,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266.33, "ticker": "PANW", "timestamp": "2026-06-08T21:14:42", "warnings": ["Target ATR feasibility unavailable."]}</t>
        </is>
      </c>
    </row>
    <row r="327">
      <c r="A327" t="inlineStr">
        <is>
          <t>2026-06-08T21:14:42</t>
        </is>
      </c>
      <c r="B327" t="inlineStr">
        <is>
          <t>ORCL</t>
        </is>
      </c>
      <c r="C327" t="inlineStr">
        <is>
          <t>No Trade</t>
        </is>
      </c>
      <c r="D327" t="n">
        <v>0</v>
      </c>
      <c r="E327" t="n">
        <v>211.82</v>
      </c>
      <c r="H327" t="n">
        <v>0</v>
      </c>
      <c r="K327" t="n">
        <v>0</v>
      </c>
      <c r="L327" t="inlineStr">
        <is>
          <t>No clean technical setup detected. Price in middle of value area or poor risk/reward.</t>
        </is>
      </c>
      <c r="M327" t="inlineStr">
        <is>
          <t>SKIP</t>
        </is>
      </c>
      <c r="N327" t="inlineStr">
        <is>
          <t>SKIP: No Trade result. Market regime NEUTRAL; sector STRONG; net R/R 0.00.</t>
        </is>
      </c>
      <c r="O327" t="inlineStr">
        <is>
          <t>ORCL
No Trade
0.00
score
Price
211.82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206.09
Fib Zone
203.01 - 209.18
Swing Low
178.80
Swing High
250.25
Click chart to open full size</t>
        </is>
      </c>
      <c r="P327" t="inlineStr">
        <is>
          <t>agent_results/charts/market_lens_agent_20260608_210745_orcl.png</t>
        </is>
      </c>
      <c r="Q327" t="inlineStr">
        <is>
          <t>Smart Universe: broad liquid US universe, diversified by sector | Sector: Technology - Strong (97/100); XLK sector regime is strong: 31.9% 3m return, 22.5% vs SPY | Setup: No Trade; score 0.00; R/R 0.00x; price 211.82 | Market: NEUTRAL; Sector regime: STRONG; Net R/R: 0.00; Factors: Technology | Agent action: SKIP - SKIP: No Trade result. Market regime NEUTRAL; sector STRONG; net R/R 0.00.</t>
        </is>
      </c>
      <c r="R327" t="inlineStr">
        <is>
          <t>{"adjusted_cash_out": 0.0, "adjusted_position_size": 0, "adjusted_risk_amount": 0.0, "ask": 0.0, "bid": 0.0, "buy_zone_high": null, "buy_zone_low": null, "cash_available": 87010.85, "company_name": "Oracle Corporation", "correlation_warning": false, "days_to_earnings": 2, "earnings_blackout": true, "earnings_date": "2026-06-10T00:00:00", "estimated_fees": 0.0, "estimated_slippage": 0.2965, "estimated_spread": 0.0635, "executable_entry": 211.82,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211.82, "gross_rr": 0.0, "gross_rr_1": 0.0, "gross_rr_2": 0.0, "gross_rr_decision": 0.0, "highest_correlation_ticker": "APA", "highest_correlation_value": 0.0029, "initial_action": "SKIP", "market_cap": 609204084784.79,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212.0, "net_reward_1_per_share": 0.0, "net_reward_2_per_share": 0.0, "net_risk_per_share": 212.1801, "net_rr": 0.0, "net_rr_1": 0.0, "net_rr_2": 0.0, "net_stop_assumption": -0.18, "net_target_1_assumption": -0.1059, "net_target_2_assumption": -0.1059, "normalized_atr_score": 89.39, "normalized_liquidity_score": 75.19, "normalized_momentum_score": 100, "normalized_quality_score": 89.9,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211.82,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211.82, "ticker": "ORCL", "timestamp": "2026-06-08T21:14:42", "warnings": ["Target ATR feasibility unavailable.", "Earnings blackout active."]}</t>
        </is>
      </c>
    </row>
    <row r="328">
      <c r="A328" t="inlineStr">
        <is>
          <t>2026-06-08T21:14:42</t>
        </is>
      </c>
      <c r="B328" t="inlineStr">
        <is>
          <t>MU</t>
        </is>
      </c>
      <c r="C328" t="inlineStr">
        <is>
          <t>No Trade</t>
        </is>
      </c>
      <c r="D328" t="n">
        <v>0</v>
      </c>
      <c r="E328" t="n">
        <v>949.28</v>
      </c>
      <c r="H328" t="n">
        <v>0</v>
      </c>
      <c r="K328" t="n">
        <v>0</v>
      </c>
      <c r="L328" t="inlineStr">
        <is>
          <t>No clean technical setup detected. Price in middle of value area or poor risk/reward.</t>
        </is>
      </c>
      <c r="M328" t="inlineStr">
        <is>
          <t>SKIP</t>
        </is>
      </c>
      <c r="N328" t="inlineStr">
        <is>
          <t>SKIP: No Trade result. Market regime NEUTRAL; sector STRONG; net R/R 0.00.</t>
        </is>
      </c>
      <c r="O328" t="inlineStr">
        <is>
          <t>MU
No Trade
0.00
score
Price
949.28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505.23
Fib Zone
488.19 - 522.27
Swing Low
311.49
Swing High
818.67
Click chart to open full size</t>
        </is>
      </c>
      <c r="P328" t="inlineStr">
        <is>
          <t>agent_results/charts/market_lens_agent_20260608_210745_mu.png</t>
        </is>
      </c>
      <c r="Q328" t="inlineStr">
        <is>
          <t>Smart Universe: broad liquid US universe, diversified by sector | Sector: Semiconductors - Strong (100/100); SMH sector regime is strong: 50.5% 3m return, 41.1% vs SPY | Setup: No Trade; score 0.00; R/R 0.00x; price 949.28 | Market: NEUTRAL; Sector regime: STRONG; Net R/R: 0.00; Factors: AI / Semiconductors, Semiconductors | Agent action: SKIP - SKIP: No Trade result. Market regime NEUTRAL; sector STRONG; net R/R 0.00.</t>
        </is>
      </c>
      <c r="R328" t="inlineStr">
        <is>
          <t>{"adjusted_cash_out": 0.0, "adjusted_position_size": 0, "adjusted_risk_amount": 0.0, "ask": 0.0, "bid": 0.0, "buy_zone_high": null, "buy_zone_low": null, "cash_available": 87010.85, "company_name": "Micron Technology, Inc.", "correlation_warning": false, "days_to_earnings": 12, "earnings_blackout": false, "earnings_date": "2026-06-24T00:00:00", "estimated_fees": 0.0, "estimated_slippage": 1.5283, "estimated_spread": 0.2848, "executable_entry": 949.28,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949.28, "gross_rr": 0.0, "gross_rr_1": 0.0, "gross_rr_2": 0.0, "gross_rr_decision": 0.0, "highest_correlation_ticker": "APA", "highest_correlation_value": -0.1977, "initial_action": "SKIP", "market_cap": 1070535412972.36,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950.1866, "net_reward_1_per_share": 0.0, "net_reward_2_per_share": 0.0, "net_risk_per_share": 951.0931, "net_rr": 0.0, "net_rr_1": 0.0, "net_rr_2": 0.0, "net_stop_assumption": -0.9066, "net_target_1_assumption": -0.5245, "net_target_2_assumption": -0.5245, "normalized_atr_score": 75.2, "normalized_liquidity_score": 100, "normalized_momentum_score": 100, "normalized_quality_score": 93.8,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949.28,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949.28, "ticker": "MU", "timestamp": "2026-06-08T21:14:42", "warnings": ["Target ATR feasibility unavailable."]}</t>
        </is>
      </c>
    </row>
    <row r="329">
      <c r="A329" t="inlineStr">
        <is>
          <t>2026-06-08T21:14:42</t>
        </is>
      </c>
      <c r="B329" t="inlineStr">
        <is>
          <t>CRWD</t>
        </is>
      </c>
      <c r="C329" t="inlineStr">
        <is>
          <t>No Trade</t>
        </is>
      </c>
      <c r="D329" t="n">
        <v>0</v>
      </c>
      <c r="E329" t="n">
        <v>658.79</v>
      </c>
      <c r="H329" t="n">
        <v>0</v>
      </c>
      <c r="K329" t="n">
        <v>0</v>
      </c>
      <c r="L329" t="inlineStr">
        <is>
          <t>No clean technical setup detected. Price in middle of value area or poor risk/reward.</t>
        </is>
      </c>
      <c r="M329" t="inlineStr">
        <is>
          <t>SKIP</t>
        </is>
      </c>
      <c r="N329" t="inlineStr">
        <is>
          <t>SKIP: No Trade result. Market regime NEUTRAL; sector STRONG; net R/R 0.00.</t>
        </is>
      </c>
      <c r="O329" t="inlineStr">
        <is>
          <t>CRWD
No Trade
0.00
score
Price
658.79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567.44
Fib Zone
558.72 - 576.16
Swing Low
432.55
Swing High
785.66
Click chart to open full size</t>
        </is>
      </c>
      <c r="P329" t="inlineStr">
        <is>
          <t>agent_results/charts/market_lens_agent_20260608_210745_crwd.png</t>
        </is>
      </c>
      <c r="Q329" t="inlineStr">
        <is>
          <t>Smart Universe: broad liquid US universe, diversified by sector | Sector: Technology - Strong (97/100); XLK sector regime is strong: 31.9% 3m return, 22.5% vs SPY | Setup: No Trade; score 0.00; R/R 0.00x; price 658.79 | Market: NEUTRAL; Sector regime: STRONG; Net R/R: 0.00; Factors: High Beta Growth, Technology | Agent action: SKIP - SKIP: No Trade result. Market regime NEUTRAL; sector STRONG; net R/R 0.00.</t>
        </is>
      </c>
      <c r="R329" t="inlineStr">
        <is>
          <t>{"adjusted_cash_out": 0.0, "adjusted_position_size": 0, "adjusted_risk_amount": 0.0, "ask": 0.0, "bid": 0.0, "buy_zone_high": null, "buy_zone_low": null, "cash_available": 87010.85, "company_name": "CrowdStrike Holdings, Inc.", "correlation_warning": false, "days_to_earnings": 61, "earnings_blackout": false, "earnings_date": "2026-09-01T00:00:00", "estimated_fees": 0.0, "estimated_slippage": 0.9223, "estimated_spread": 0.1976, "executable_entry": 658.79,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658.79, "gross_rr": 0.0, "gross_rr_1": 0.0, "gross_rr_2": 0.0, "gross_rr_decision": 0.0, "highest_correlation_ticker": "APA", "highest_correlation_value": 0.0807, "initial_action": "SKIP", "market_cap": 167704752174.33,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659.35, "net_reward_1_per_share": 0.0, "net_reward_2_per_share": 0.0, "net_risk_per_share": 659.9099, "net_rr": 0.0, "net_rr_1": 0.0, "net_rr_2": 0.0, "net_stop_assumption": -0.56, "net_target_1_assumption": -0.3294, "net_target_2_assumption": -0.3294, "normalized_atr_score": 100.0, "normalized_liquidity_score": 94.41, "normalized_momentum_score": 100, "normalized_quality_score": 98.32,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658.79,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658.79, "ticker": "CRWD", "timestamp": "2026-06-08T21:14:42", "warnings": ["Target ATR feasibility unavailable."]}</t>
        </is>
      </c>
    </row>
    <row r="330">
      <c r="A330" t="inlineStr">
        <is>
          <t>2026-06-08T21:14:42</t>
        </is>
      </c>
      <c r="B330" t="inlineStr">
        <is>
          <t>SMCI</t>
        </is>
      </c>
      <c r="C330" t="inlineStr">
        <is>
          <t>No Trade</t>
        </is>
      </c>
      <c r="D330" t="n">
        <v>0</v>
      </c>
      <c r="E330" t="n">
        <v>43.99</v>
      </c>
      <c r="H330" t="n">
        <v>0</v>
      </c>
      <c r="K330" t="n">
        <v>0</v>
      </c>
      <c r="L330" t="inlineStr">
        <is>
          <t>No clean technical setup detected. Price in middle of value area or poor risk/reward.</t>
        </is>
      </c>
      <c r="M330" t="inlineStr">
        <is>
          <t>SKIP</t>
        </is>
      </c>
      <c r="N330" t="inlineStr">
        <is>
          <t>SKIP: No Trade result. Market regime NEUTRAL; sector STRONG; net R/R 0.00.</t>
        </is>
      </c>
      <c r="O330" t="inlineStr">
        <is>
          <t>SMCI
No Trade
0.00
score
Price
43.99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29.63
Fib Zone
28.83 - 30.42
Swing Low
25.46
Swing High
36.37
Click chart to open full size</t>
        </is>
      </c>
      <c r="P330" t="inlineStr">
        <is>
          <t>agent_results/charts/market_lens_agent_20260608_210745_smci.png</t>
        </is>
      </c>
      <c r="Q330" t="inlineStr">
        <is>
          <t>Smart Universe: broad liquid US universe, diversified by sector | Sector: Semiconductors - Strong (100/100); SMH sector regime is strong: 50.5% 3m return, 41.1% vs SPY | Setup: No Trade; score 0.00; R/R 0.00x; price 43.99 | Market: NEUTRAL; Sector regime: STRONG; Net R/R: 0.00; Factors: AI / Semiconductors, High Beta Growth, Semiconductors | Agent action: SKIP - SKIP: No Trade result. Market regime NEUTRAL; sector STRONG; net R/R 0.00.</t>
        </is>
      </c>
      <c r="R330" t="inlineStr">
        <is>
          <t>{"adjusted_cash_out": 0.0, "adjusted_position_size": 0, "adjusted_risk_amount": 0.0, "ask": 0.0, "bid": 0.0, "buy_zone_high": null, "buy_zone_low": null, "cash_available": 87010.85, "company_name": "Super Micro Computer, Inc.", "correlation_warning": false, "days_to_earnings": 41, "earnings_blackout": false, "earnings_date": "2026-08-04T00:00:00", "estimated_fees": 0.0, "estimated_slippage": 0.0708, "estimated_spread": 0.0132, "executable_entry": 43.99, "execution_liquidity_bucket": "large_liquid", "factor_exposure_after": {"Energy": 13090.22}, "factor_exposure_before": {"Energy": 13090.22}, "factor_exposure_cap": 7000.0, "factor_exposure_limit_exceeded": false, "factor_tags": ["AI / Semiconductors", "High Beta Growth", "Semiconductors"], "final_action": "SKIP", "gross_reward_1_per_share": 0.0, "gross_reward_2_per_share": 0.0, "gross_risk_per_share": 43.99, "gross_rr": 0.0, "gross_rr_1": 0.0, "gross_rr_2": 0.0, "gross_rr_decision": 0.0, "highest_correlation_ticker": "APA", "highest_correlation_value": -0.2263, "initial_action": "SKIP", "market_cap": 26456400032.64,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44.032, "net_reward_1_per_share": 0.0, "net_reward_2_per_share": 0.0, "net_risk_per_share": 44.074, "net_rr": 0.0, "net_rr_1": 0.0, "net_rr_2": 0.0, "net_stop_assumption": -0.042, "net_target_1_assumption": -0.0243, "net_target_2_assumption": -0.0243, "normalized_atr_score": 84.34, "normalized_liquidity_score": 81.13, "normalized_momentum_score": 100, "normalized_quality_score": 90.42,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43.99,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43.99, "ticker": "SMCI", "timestamp": "2026-06-08T21:14:42", "warnings": ["Target ATR feasibility unavailable."]}</t>
        </is>
      </c>
    </row>
    <row r="331">
      <c r="A331" t="inlineStr">
        <is>
          <t>2026-06-08T21:14:42</t>
        </is>
      </c>
      <c r="B331" t="inlineStr">
        <is>
          <t>ASML</t>
        </is>
      </c>
      <c r="C331" t="inlineStr">
        <is>
          <t>No Trade</t>
        </is>
      </c>
      <c r="D331" t="n">
        <v>0</v>
      </c>
      <c r="E331" t="n">
        <v>1749.04</v>
      </c>
      <c r="H331" t="n">
        <v>0</v>
      </c>
      <c r="K331" t="n">
        <v>0</v>
      </c>
      <c r="L331" t="inlineStr">
        <is>
          <t>No clean technical setup detected. Price in middle of value area or poor risk/reward.</t>
        </is>
      </c>
      <c r="M331" t="inlineStr">
        <is>
          <t>SKIP</t>
        </is>
      </c>
      <c r="N331" t="inlineStr">
        <is>
          <t>SKIP: No Trade result. Market regime NEUTRAL; sector STRONG; net R/R 0.00.</t>
        </is>
      </c>
      <c r="O331" t="inlineStr">
        <is>
          <t>ASML
No Trade
0.00
score
Price
1749.04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1437.76 - 1474.21
Swing Low
1364.81
Swing High
1603.49
Click chart to open full size</t>
        </is>
      </c>
      <c r="P331" t="inlineStr">
        <is>
          <t>agent_results/charts/market_lens_agent_20260608_210745_asml.png</t>
        </is>
      </c>
      <c r="Q331" t="inlineStr">
        <is>
          <t>Smart Universe: broad liquid US universe, diversified by sector | Sector: Semiconductors - Strong (100/100); SMH sector regime is strong: 50.5% 3m return, 41.1% vs SPY | Setup: No Trade; score 0.00; R/R 0.00x; price 1749.04 | Market: NEUTRAL; Sector regime: STRONG; Net R/R: 0.00; Factors: AI / Semiconductors, Semiconductors | Agent action: SKIP - SKIP: No Trade result. Market regime NEUTRAL; sector STRONG; net R/R 0.00.</t>
        </is>
      </c>
      <c r="R331" t="inlineStr">
        <is>
          <t>{"adjusted_cash_out": 0.0, "adjusted_position_size": 0, "adjusted_risk_amount": 0.0, "ask": 0.0, "bid": 0.0, "buy_zone_high": null, "buy_zone_low": null, "cash_available": 87010.85, "company_name": "ASML Holding N.V.", "correlation_warning": false, "days_to_earnings": 27, "earnings_blackout": false, "earnings_date": "2026-07-15T00:00:00", "estimated_fees": 0.0, "estimated_slippage": 2.4487, "estimated_spread": 0.5247, "executable_entry": 1749.04,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1749.04, "gross_rr": 0.0, "gross_rr_1": 0.0, "gross_rr_2": 0.0, "gross_rr_decision": 0.0, "highest_correlation_ticker": "XOM", "highest_correlation_value": -0.337, "initial_action": "SKIP", "market_cap": 674110927846.98,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1750.5267, "net_reward_1_per_share": 0.0, "net_reward_2_per_share": 0.0, "net_risk_per_share": 1752.0134, "net_rr": 0.0, "net_rr_1": 0.0, "net_rr_2": 0.0, "net_stop_assumption": -1.4867, "net_target_1_assumption": -0.8745, "net_target_2_assumption": -0.8745, "normalized_atr_score": 100.0, "normalized_liquidity_score": 60.23, "normalized_momentum_score": 100, "normalized_quality_score": 88.07,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1749.04,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1749.04, "ticker": "ASML", "timestamp": "2026-06-08T21:14:42", "warnings": ["Target ATR feasibility unavailable."]}</t>
        </is>
      </c>
    </row>
    <row r="332">
      <c r="A332" t="inlineStr">
        <is>
          <t>2026-06-08T21:14:42</t>
        </is>
      </c>
      <c r="B332" t="inlineStr">
        <is>
          <t>UNH</t>
        </is>
      </c>
      <c r="C332" t="inlineStr">
        <is>
          <t>No Trade</t>
        </is>
      </c>
      <c r="D332" t="n">
        <v>0</v>
      </c>
      <c r="E332" t="n">
        <v>406.57</v>
      </c>
      <c r="H332" t="n">
        <v>0</v>
      </c>
      <c r="K332" t="n">
        <v>0</v>
      </c>
      <c r="L332" t="inlineStr">
        <is>
          <t>No clean technical setup detected. Price in middle of value area or poor risk/reward.</t>
        </is>
      </c>
      <c r="M332" t="inlineStr">
        <is>
          <t>SKIP</t>
        </is>
      </c>
      <c r="N332" t="inlineStr">
        <is>
          <t>SKIP: No Trade result. Market regime NEUTRAL; sector NEUTRAL; net R/R 0.00.</t>
        </is>
      </c>
      <c r="O332" t="inlineStr">
        <is>
          <t>UNH
No Trade
0.00
score
Price
406.57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310.03 - 315.12
Swing Low
255.97
Swing High
404.15
Click chart to open full size</t>
        </is>
      </c>
      <c r="P332" t="inlineStr">
        <is>
          <t>agent_results/charts/market_lens_agent_20260608_210745_unh.png</t>
        </is>
      </c>
      <c r="Q332" t="inlineStr">
        <is>
          <t>Smart Universe: broad liquid US universe, diversified by sector | Sector: Healthcare - Neutral (66/100); XLV sector regime is neutral: 0.1% 3m return, -9.4% vs SPY | Setup: No Trade; score 0.00; R/R 0.00x; price 406.57 | Market: NEUTRAL; Sector regime: NEUTRAL; Net R/R: 0.00; Factors: Defensive, Healthcare | Agent action: SKIP - SKIP: No Trade result. Market regime NEUTRAL; sector NEUTRAL; net R/R 0.00.</t>
        </is>
      </c>
      <c r="R332" t="inlineStr">
        <is>
          <t>{"adjusted_cash_out": 0.0, "adjusted_position_size": 0, "adjusted_risk_amount": 0.0, "ask": 0.0, "bid": 0.0, "buy_zone_high": null, "buy_zone_low": null, "cash_available": 87010.85, "company_name": "UnitedHealth Group Incorporated", "correlation_warning": false, "days_to_earnings": 36, "earnings_blackout": false, "earnings_date": "2026-07-28T00:00:00", "estimated_fees": 0.0, "estimated_slippage": 0.5692, "estimated_spread": 0.122, "executable_entry": 406.57,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406.57, "gross_rr": 0.0, "gross_rr_1": 0.0, "gross_rr_2": 0.0, "gross_rr_decision": 0.0, "highest_correlation_ticker": "APA", "highest_correlation_value": 0.0331, "initial_action": "SKIP", "market_cap": 369224276985.73,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406.9156, "net_reward_1_per_share": 0.0, "net_reward_2_per_share": 0.0, "net_risk_per_share": 407.2612, "net_rr": 0.0, "net_rr_1": 0.0, "net_rr_2": 0.0, "net_stop_assumption": -0.3456, "net_target_1_assumption": -0.2033, "net_target_2_assumption": -0.2033, "normalized_atr_score": 100.0, "normalized_liquidity_score": 61.51, "normalized_momentum_score": 100, "normalized_quality_score": 88.45,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406.57,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406.57, "ticker": "UNH", "timestamp": "2026-06-08T21:14:42", "warnings": ["Target ATR feasibility unavailable."]}</t>
        </is>
      </c>
    </row>
    <row r="333">
      <c r="A333" t="inlineStr">
        <is>
          <t>2026-06-08T21:14:42</t>
        </is>
      </c>
      <c r="B333" t="inlineStr">
        <is>
          <t>TSM</t>
        </is>
      </c>
      <c r="C333" t="inlineStr">
        <is>
          <t>No Trade</t>
        </is>
      </c>
      <c r="D333" t="n">
        <v>0</v>
      </c>
      <c r="E333" t="n">
        <v>426.8</v>
      </c>
      <c r="H333" t="n">
        <v>0</v>
      </c>
      <c r="K333" t="n">
        <v>0</v>
      </c>
      <c r="L333" t="inlineStr">
        <is>
          <t>No clean technical setup detected. Price in middle of value area or poor risk/reward.</t>
        </is>
      </c>
      <c r="M333" t="inlineStr">
        <is>
          <t>SKIP</t>
        </is>
      </c>
      <c r="N333" t="inlineStr">
        <is>
          <t>SKIP: No Trade result. Market regime NEUTRAL; sector STRONG; net R/R 0.00.</t>
        </is>
      </c>
      <c r="O333" t="inlineStr">
        <is>
          <t>TSM
No Trade
0.00
score
Price
426.80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381.16
Fib Zone
376.94 - 385.38
Swing Low
360.55
Swing High
414.50
Click chart to open full size</t>
        </is>
      </c>
      <c r="P333" t="inlineStr">
        <is>
          <t>agent_results/charts/market_lens_agent_20260608_210745_tsm.png</t>
        </is>
      </c>
      <c r="Q333" t="inlineStr">
        <is>
          <t>Smart Universe: broad liquid US universe, diversified by sector | Sector: Semiconductors - Strong (100/100); SMH sector regime is strong: 50.5% 3m return, 41.1% vs SPY | Setup: No Trade; score 0.00; R/R 0.00x; price 426.80 | Market: NEUTRAL; Sector regime: STRONG; Net R/R: 0.00; Factors: AI / Semiconductors, Semiconductors | Agent action: SKIP - SKIP: No Trade result. Market regime NEUTRAL; sector STRONG; net R/R 0.00.</t>
        </is>
      </c>
      <c r="R333" t="inlineStr">
        <is>
          <t>{"adjusted_cash_out": 0.0, "adjusted_position_size": 0, "adjusted_risk_amount": 0.0, "ask": 0.0, "bid": 0.0, "buy_zone_high": null, "buy_zone_low": null, "cash_available": 87010.85, "company_name": "Taiwan Semiconductor Manufacturing Company Limited", "correlation_warning": false, "days_to_earnings": 28, "earnings_blackout": false, "earnings_date": "2026-07-16T00:00:00", "estimated_fees": 0.0, "estimated_slippage": 0.5975, "estimated_spread": 0.128, "executable_entry": 426.8, "execution_liquidity_bucket": "large_liquid", "factor_exposure_after": {"Energy": 13090.22}, "factor_exposure_before": {"Energy": 13090.22}, "factor_exposure_cap": 7000.0, "factor_exposure_limit_exceeded": false, "factor_tags": ["AI / Semiconductors", "Semiconductors"], "final_action": "SKIP", "gross_reward_1_per_share": 0.0, "gross_reward_2_per_share": 0.0, "gross_risk_per_share": 426.8, "gross_rr": 0.0, "gross_rr_1": 0.0, "gross_rr_2": 0.0, "gross_rr_decision": 0.0, "highest_correlation_ticker": "XOM", "highest_correlation_value": -0.2816, "initial_action": "SKIP", "market_cap": 2213587045436.95,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427.1628, "net_reward_1_per_share": 0.0, "net_reward_2_per_share": 0.0, "net_risk_per_share": 427.5256, "net_rr": 0.0, "net_rr_1": 0.0, "net_rr_2": 0.0, "net_stop_assumption": -0.3628, "net_target_1_assumption": -0.2134, "net_target_2_assumption": -0.2134, "normalized_atr_score": 100.0, "normalized_liquidity_score": 79.67, "normalized_momentum_score": 100, "normalized_quality_score": 93.9,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426.8,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426.8, "ticker": "TSM", "timestamp": "2026-06-08T21:14:42", "warnings": ["Target ATR feasibility unavailable."]}</t>
        </is>
      </c>
    </row>
    <row r="334">
      <c r="A334" t="inlineStr">
        <is>
          <t>2026-06-08T21:14:42</t>
        </is>
      </c>
      <c r="B334" t="inlineStr">
        <is>
          <t>MS</t>
        </is>
      </c>
      <c r="C334" t="inlineStr">
        <is>
          <t>No Trade</t>
        </is>
      </c>
      <c r="D334" t="n">
        <v>0</v>
      </c>
      <c r="E334" t="n">
        <v>212.24</v>
      </c>
      <c r="H334" t="n">
        <v>0</v>
      </c>
      <c r="K334" t="n">
        <v>0</v>
      </c>
      <c r="L334" t="inlineStr">
        <is>
          <t>No clean technical setup detected. Price in middle of value area or poor risk/reward.</t>
        </is>
      </c>
      <c r="M334" t="inlineStr">
        <is>
          <t>SKIP</t>
        </is>
      </c>
      <c r="N334" t="inlineStr">
        <is>
          <t>SKIP: No Trade result. Market regime NEUTRAL; sector STRONG; net R/R 0.00.</t>
        </is>
      </c>
      <c r="O334" t="inlineStr">
        <is>
          <t>MS
No Trade
0.00
score
Price
212.24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167.86
Fib Zone
166.56 - 169.17
Swing Low
151.98
Swing High
193.55
Click chart to open full size</t>
        </is>
      </c>
      <c r="P334" t="inlineStr">
        <is>
          <t>agent_results/charts/market_lens_agent_20260608_210745_ms.png</t>
        </is>
      </c>
      <c r="Q334" t="inlineStr">
        <is>
          <t>Smart Universe: broad liquid US universe, diversified by sector | Sector: Financials - Strong (69/100); XLF sector regime is strong: 4.3% 3m return, -5.1% vs SPY | Setup: No Trade; score 0.00; R/R 0.00x; price 212.24 | Market: NEUTRAL; Sector regime: STRONG; Net R/R: 0.00; Factors: Financials | Agent action: SKIP - SKIP: No Trade result. Market regime NEUTRAL; sector STRONG; net R/R 0.00.</t>
        </is>
      </c>
      <c r="R334" t="inlineStr">
        <is>
          <t>{"adjusted_cash_out": 0.0, "adjusted_position_size": 0, "adjusted_risk_amount": 0.0, "ask": 0.0, "bid": 0.0, "buy_zone_high": null, "buy_zone_low": null, "cash_available": 87010.85, "company_name": "Morgan Stanley", "correlation_warning": false, "days_to_earnings": 27, "earnings_blackout": false, "earnings_date": "2026-07-15T00:00:00", "estimated_fees": 0.0, "estimated_slippage": 0.2971, "estimated_spread": 0.0637, "executable_entry": 212.24,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212.24, "gross_rr": 0.0, "gross_rr_1": 0.0, "gross_rr_2": 0.0, "gross_rr_decision": 0.0, "highest_correlation_ticker": "APA", "highest_correlation_value": -0.2299, "initial_action": "SKIP", "market_cap": 334762938224.36,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212.4204, "net_reward_1_per_share": 0.0, "net_reward_2_per_share": 0.0, "net_risk_per_share": 212.6008, "net_rr": 0.0, "net_rr_1": 0.0, "net_rr_2": 0.0, "net_stop_assumption": -0.1804, "net_target_1_assumption": -0.1061, "net_target_2_assumption": -0.1061, "normalized_atr_score": 100.0, "normalized_liquidity_score": 39.36, "normalized_momentum_score": 100, "normalized_quality_score": 81.81,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212.24,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212.24, "ticker": "MS", "timestamp": "2026-06-08T21:14:42", "warnings": ["Target ATR feasibility unavailable."]}</t>
        </is>
      </c>
    </row>
    <row r="335">
      <c r="A335" t="inlineStr">
        <is>
          <t>2026-06-08T21:14:42</t>
        </is>
      </c>
      <c r="B335" t="inlineStr">
        <is>
          <t>URI</t>
        </is>
      </c>
      <c r="C335" t="inlineStr">
        <is>
          <t>No Trade</t>
        </is>
      </c>
      <c r="D335" t="n">
        <v>0</v>
      </c>
      <c r="E335" t="n">
        <v>1084.05</v>
      </c>
      <c r="H335" t="n">
        <v>0</v>
      </c>
      <c r="K335" t="n">
        <v>0</v>
      </c>
      <c r="L335" t="inlineStr">
        <is>
          <t>No clean technical setup detected. Price in middle of value area or poor risk/reward.</t>
        </is>
      </c>
      <c r="M335" t="inlineStr">
        <is>
          <t>SKIP</t>
        </is>
      </c>
      <c r="N335" t="inlineStr">
        <is>
          <t>SKIP: No Trade result. Market regime NEUTRAL; sector NEUTRAL; net R/R 0.00.</t>
        </is>
      </c>
      <c r="O335" t="inlineStr">
        <is>
          <t>URI
No Trade
0.00
score
Price
1084.05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811.21 - 827.15
Swing Low
707.99
Swing High
999.06
Click chart to open full size</t>
        </is>
      </c>
      <c r="P335" t="inlineStr">
        <is>
          <t>agent_results/charts/market_lens_agent_20260608_210745_uri.png</t>
        </is>
      </c>
      <c r="Q335" t="inlineStr">
        <is>
          <t>Smart Universe: broad liquid US universe, diversified by sector | Sector: Industrials - Neutral (67/100); XLI sector regime is neutral: 2.4% 3m return, -7.0% vs SPY | Setup: No Trade; score 0.00; R/R 0.00x; price 1084.05 | Market: NEUTRAL; Sector regime: NEUTRAL; Net R/R: 0.00; Factors: Industrials | Agent action: SKIP - SKIP: No Trade result. Market regime NEUTRAL; sector NEUTRAL; net R/R 0.00.</t>
        </is>
      </c>
      <c r="R335" t="inlineStr">
        <is>
          <t>{"adjusted_cash_out": 0.0, "adjusted_position_size": 0, "adjusted_risk_amount": 0.0, "ask": 0.0, "bid": 0.0, "buy_zone_high": null, "buy_zone_low": null, "cash_available": 87010.85, "company_name": "United Rentals, Inc.", "correlation_warning": false, "days_to_earnings": 32, "earnings_blackout": false, "earnings_date": "2026-07-22T00:00:00", "estimated_fees": 0.0, "estimated_slippage": 1.5177, "estimated_spread": 0.3252, "executable_entry": 1084.05,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1084.05, "gross_rr": 0.0, "gross_rr_1": 0.0, "gross_rr_2": 0.0, "gross_rr_decision": 0.0, "highest_correlation_ticker": "APA", "highest_correlation_value": -0.0155, "initial_action": "SKIP", "market_cap": 67912003174.76,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1084.9714, "net_reward_1_per_share": 0.0, "net_reward_2_per_share": 0.0, "net_risk_per_share": 1085.8929, "net_rr": 0.0, "net_rr_1": 0.0, "net_rr_2": 0.0, "net_stop_assumption": -0.9214, "net_target_1_assumption": -0.542, "net_target_2_assumption": -0.542, "normalized_atr_score": 100.0, "normalized_liquidity_score": 47.91, "normalized_momentum_score": 100, "normalized_quality_score": 84.37,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1084.05,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1084.05, "ticker": "URI", "timestamp": "2026-06-08T21:14:42", "warnings": ["Target ATR feasibility unavailable."]}</t>
        </is>
      </c>
    </row>
    <row r="336">
      <c r="A336" t="inlineStr">
        <is>
          <t>2026-06-08T21:14:42</t>
        </is>
      </c>
      <c r="B336" t="inlineStr">
        <is>
          <t>TXN</t>
        </is>
      </c>
      <c r="C336" t="inlineStr">
        <is>
          <t>No Trade</t>
        </is>
      </c>
      <c r="D336" t="n">
        <v>0</v>
      </c>
      <c r="E336" t="n">
        <v>290.9</v>
      </c>
      <c r="H336" t="n">
        <v>0</v>
      </c>
      <c r="K336" t="n">
        <v>0</v>
      </c>
      <c r="L336" t="inlineStr">
        <is>
          <t>No clean technical setup detected. Price in middle of value area or poor risk/reward.</t>
        </is>
      </c>
      <c r="M336" t="inlineStr">
        <is>
          <t>SKIP</t>
        </is>
      </c>
      <c r="N336" t="inlineStr">
        <is>
          <t>SKIP: No Trade result. Market regime NEUTRAL; sector STRONG; net R/R 0.00.</t>
        </is>
      </c>
      <c r="O336" t="inlineStr">
        <is>
          <t>TXN
No Trade
0.00
score
Price
290.90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223.12
Fib Zone
220.08 - 226.16
Swing Low
184.01
Swing High
286.37
Click chart to open full size</t>
        </is>
      </c>
      <c r="P336" t="inlineStr">
        <is>
          <t>agent_results/charts/market_lens_agent_20260608_210745_txn.png</t>
        </is>
      </c>
      <c r="Q336" t="inlineStr">
        <is>
          <t>Smart Universe: broad liquid US universe, diversified by sector | Sector: Technology - Strong (97/100); XLK sector regime is strong: 31.9% 3m return, 22.5% vs SPY | Setup: No Trade; score 0.00; R/R 0.00x; price 290.90 | Market: NEUTRAL; Sector regime: STRONG; Net R/R: 0.00; Factors: AI / Semiconductors, Technology | Agent action: SKIP - SKIP: No Trade result. Market regime NEUTRAL; sector STRONG; net R/R 0.00.</t>
        </is>
      </c>
      <c r="R336" t="inlineStr">
        <is>
          <t>{"adjusted_cash_out": 0.0, "adjusted_position_size": 0, "adjusted_risk_amount": 0.0, "ask": 0.0, "bid": 0.0, "buy_zone_high": null, "buy_zone_low": null, "cash_available": 87010.85, "company_name": "Texas Instruments Incorporated", "correlation_warning": false, "days_to_earnings": 32, "earnings_blackout": false, "earnings_date": "2026-07-22T00:00:00", "estimated_fees": 0.0, "estimated_slippage": 0.4073, "estimated_spread": 0.0873, "executable_entry": 290.9, "execution_liquidity_bucket": "large_liquid", "factor_exposure_after": {"Energy": 13090.22}, "factor_exposure_before": {"Energy": 13090.22}, "factor_exposure_cap": 7000.0, "factor_exposure_limit_exceeded": false, "factor_tags": ["AI / Semiconductors", "Technology"], "final_action": "SKIP", "gross_reward_1_per_share": 0.0, "gross_reward_2_per_share": 0.0, "gross_risk_per_share": 290.9, "gross_rr": 0.0, "gross_rr_1": 0.0, "gross_rr_2": 0.0, "gross_rr_decision": 0.0, "highest_correlation_ticker": "XOM", "highest_correlation_value": -0.0877, "initial_action": "SKIP", "market_cap": 264745987347.13,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291.1473, "net_reward_1_per_share": 0.0, "net_reward_2_per_share": 0.0, "net_risk_per_share": 291.3945, "net_rr": 0.0, "net_rr_1": 0.0, "net_rr_2": 0.0, "net_stop_assumption": -0.2473, "net_target_1_assumption": -0.1454, "net_target_2_assumption": -0.1454, "normalized_atr_score": 100.0, "normalized_liquidity_score": 58.05, "normalized_momentum_score": 100, "normalized_quality_score": 87.41,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290.9,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290.9, "ticker": "TXN", "timestamp": "2026-06-08T21:14:42", "warnings": ["Target ATR feasibility unavailable."]}</t>
        </is>
      </c>
    </row>
    <row r="337">
      <c r="A337" t="inlineStr">
        <is>
          <t>2026-06-08T21:14:42</t>
        </is>
      </c>
      <c r="B337" t="inlineStr">
        <is>
          <t>POWL</t>
        </is>
      </c>
      <c r="C337" t="inlineStr">
        <is>
          <t>No Trade</t>
        </is>
      </c>
      <c r="D337" t="n">
        <v>0</v>
      </c>
      <c r="E337" t="n">
        <v>293.6</v>
      </c>
      <c r="H337" t="n">
        <v>0</v>
      </c>
      <c r="K337" t="n">
        <v>0</v>
      </c>
      <c r="L337" t="inlineStr">
        <is>
          <t>No clean technical setup detected. Price in middle of value area or poor risk/reward.</t>
        </is>
      </c>
      <c r="M337" t="inlineStr">
        <is>
          <t>SKIP</t>
        </is>
      </c>
      <c r="N337" t="inlineStr">
        <is>
          <t>SKIP: No Trade result. Market regime NEUTRAL; sector STRONG; net R/R 0.00.</t>
        </is>
      </c>
      <c r="O337" t="inlineStr">
        <is>
          <t>POWL
No Trade
0.00
score
Price
293.60
R/R
0.00x
Grade
No Trade
Quality
0%
Buy Zone
-
Stop
0.00
Targets
-
Skip
Mixed
Relative Strength
Leadership
100%
Trend Quality
Clean uptrend
86%
Liquidity
Institutional liquidity
100%
Volume
Distribution risk
45%
No actionable setup detected.
No clean technical setup detected. Price in middle of value area or poor risk/reward.
Fib 61.8
192.90
Fib Zone
188.42 - 197.38
Swing Low
165.20
Swing High
237.71
Click chart to open full size</t>
        </is>
      </c>
      <c r="P337" t="inlineStr">
        <is>
          <t>agent_results/charts/market_lens_agent_20260608_210745_powl.png</t>
        </is>
      </c>
      <c r="Q337" t="inlineStr">
        <is>
          <t>Smart Universe: broad liquid US universe, diversified by sector | Sector: Energy - Strong (72/100); XLE sector regime is strong: 5.6% 3m return, -3.9% vs SPY | Setup: No Trade; score 0.00; R/R 0.00x; price 293.60 | Market: NEUTRAL; Sector regime: STRONG; Net R/R: 0.00; Factors: Energy | Agent action: SKIP - SKIP: No Trade result. Market regime NEUTRAL; sector STRONG; net R/R 0.00.</t>
        </is>
      </c>
      <c r="R337" t="inlineStr">
        <is>
          <t>{"adjusted_cash_out": 0.0, "adjusted_position_size": 0, "adjusted_risk_amount": 0.0, "ask": 0.0, "bid": 0.0, "buy_zone_high": null, "buy_zone_low": null, "cash_available": 87010.85, "company_name": "Powell Industries Inc.", "correlation_warning": false, "days_to_earnings": 41, "earnings_blackout": false, "earnings_date": "2026-08-04T00:00:00", "estimated_fees": 0.0, "estimated_slippage": 1.0129, "estimated_spread": 0.2349, "executable_entry": 293.6,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293.6, "gross_rr": 0.0, "gross_rr_1": 0.0, "gross_rr_2": 0.0, "gross_rr_decision": 0.0, "highest_correlation_ticker": "XOM", "highest_correlation_value": -0.1064, "initial_action": "SKIP", "market_cap": 10696332368.76,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294.2239, "net_reward_1_per_share": 0.0, "net_reward_2_per_share": 0.0, "net_risk_per_share": 294.8478, "net_rr": 0.0, "net_rr_1": 0.0, "net_rr_2": 0.0, "net_stop_assumption": -0.6239, "net_target_1_assumption": -0.3707, "net_target_2_assumption": -0.3707, "normalized_atr_score": 94.49, "normalized_liquidity_score": 24.76, "normalized_momentum_score": 100, "normalized_quality_score": 76.05,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293.6,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293.6, "ticker": "POWL", "timestamp": "2026-06-08T21:14:42", "warnings": ["Target ATR feasibility unavailable."]}</t>
        </is>
      </c>
    </row>
    <row r="338">
      <c r="A338" t="inlineStr">
        <is>
          <t>2026-06-08T21:14:42</t>
        </is>
      </c>
      <c r="B338" t="inlineStr">
        <is>
          <t>CAT</t>
        </is>
      </c>
      <c r="C338" t="inlineStr">
        <is>
          <t>No Trade</t>
        </is>
      </c>
      <c r="D338" t="n">
        <v>0</v>
      </c>
      <c r="E338" t="n">
        <v>915.64</v>
      </c>
      <c r="H338" t="n">
        <v>0</v>
      </c>
      <c r="K338" t="n">
        <v>0</v>
      </c>
      <c r="L338" t="inlineStr">
        <is>
          <t>No clean technical setup detected. Price in middle of value area or poor risk/reward.</t>
        </is>
      </c>
      <c r="M338" t="inlineStr">
        <is>
          <t>SKIP</t>
        </is>
      </c>
      <c r="N338" t="inlineStr">
        <is>
          <t>SKIP: No Trade result. Market regime NEUTRAL; sector NEUTRAL; net R/R 0.00.</t>
        </is>
      </c>
      <c r="O338" t="inlineStr">
        <is>
          <t>CAT
No Trade
0.00
score
Price
915.64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764.64
Fib Zone
757.17 - 772.11
Swing Low
661.59
Swing High
931.35
Click chart to open full size</t>
        </is>
      </c>
      <c r="P338" t="inlineStr">
        <is>
          <t>agent_results/charts/market_lens_agent_20260608_210745_cat.png</t>
        </is>
      </c>
      <c r="Q338" t="inlineStr">
        <is>
          <t>Smart Universe: broad liquid US universe, diversified by sector | Sector: Industrials - Neutral (67/100); XLI sector regime is neutral: 2.4% 3m return, -7.0% vs SPY | Setup: No Trade; score 0.00; R/R 0.00x; price 915.64 | Market: NEUTRAL; Sector regime: NEUTRAL; Net R/R: 0.00; Factors: Industrials | Agent action: SKIP - SKIP: No Trade result. Market regime NEUTRAL; sector NEUTRAL; net R/R 0.00.</t>
        </is>
      </c>
      <c r="R338" t="inlineStr">
        <is>
          <t>{"adjusted_cash_out": 0.0, "adjusted_position_size": 0, "adjusted_risk_amount": 0.0, "ask": 0.0, "bid": 0.0, "buy_zone_high": null, "buy_zone_low": null, "cash_available": 87010.85, "company_name": "Caterpillar Inc.", "correlation_warning": false, "days_to_earnings": 41, "earnings_blackout": false, "earnings_date": "2026-08-04T00:00:00", "estimated_fees": 0.0, "estimated_slippage": 1.2819, "estimated_spread": 0.2747, "executable_entry": 915.64,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915.64, "gross_rr": 0.0, "gross_rr_1": 0.0, "gross_rr_2": 0.0, "gross_rr_decision": 0.0, "highest_correlation_ticker": "XOM", "highest_correlation_value": -0.1614, "initial_action": "SKIP", "market_cap": 421736450061.07,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916.4183, "net_reward_1_per_share": 0.0, "net_reward_2_per_share": 0.0, "net_risk_per_share": 917.1966, "net_rr": 0.0, "net_rr_1": 0.0, "net_rr_2": 0.0, "net_stop_assumption": -0.7783, "net_target_1_assumption": -0.4578, "net_target_2_assumption": -0.4578,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915.64,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915.64, "ticker": "CAT", "timestamp": "2026-06-08T21:14:42", "warnings": ["Target ATR feasibility unavailable."]}</t>
        </is>
      </c>
    </row>
    <row r="339">
      <c r="A339" t="inlineStr">
        <is>
          <t>2026-06-08T21:14:42</t>
        </is>
      </c>
      <c r="B339" t="inlineStr">
        <is>
          <t>GS</t>
        </is>
      </c>
      <c r="C339" t="inlineStr">
        <is>
          <t>No Trade</t>
        </is>
      </c>
      <c r="D339" t="n">
        <v>0</v>
      </c>
      <c r="E339" t="n">
        <v>1045</v>
      </c>
      <c r="H339" t="n">
        <v>0</v>
      </c>
      <c r="K339" t="n">
        <v>0</v>
      </c>
      <c r="L339" t="inlineStr">
        <is>
          <t>No clean technical setup detected. Price in middle of value area or poor risk/reward.</t>
        </is>
      </c>
      <c r="M339" t="inlineStr">
        <is>
          <t>SKIP</t>
        </is>
      </c>
      <c r="N339" t="inlineStr">
        <is>
          <t>SKIP: No Trade result. Market regime NEUTRAL; sector STRONG; net R/R 0.00.</t>
        </is>
      </c>
      <c r="O339" t="inlineStr">
        <is>
          <t>GS
No Trade
0.00
score
Price
1045.00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834.54 - 850.07
Swing Low
777.08
Swing High
947.83
Click chart to open full size</t>
        </is>
      </c>
      <c r="P339" t="inlineStr">
        <is>
          <t>agent_results/charts/market_lens_agent_20260608_210745_gs.png</t>
        </is>
      </c>
      <c r="Q339" t="inlineStr">
        <is>
          <t>Smart Universe: broad liquid US universe, diversified by sector | Sector: Financials - Strong (69/100); XLF sector regime is strong: 4.3% 3m return, -5.1% vs SPY | Setup: No Trade; score 0.00; R/R 0.00x; price 1045.00 | Market: NEUTRAL; Sector regime: STRONG; Net R/R: 0.00; Factors: Financials | Agent action: SKIP - SKIP: No Trade result. Market regime NEUTRAL; sector STRONG; net R/R 0.00.</t>
        </is>
      </c>
      <c r="R339" t="inlineStr">
        <is>
          <t>{"adjusted_cash_out": 0.0, "adjusted_position_size": 0, "adjusted_risk_amount": 0.0, "ask": 0.0, "bid": 0.0, "buy_zone_high": null, "buy_zone_low": null, "cash_available": 87010.85, "company_name": "Goldman Sachs Group, Inc.", "correlation_warning": false, "days_to_earnings": 26, "earnings_blackout": false, "earnings_date": "2026-07-14T00:00:00", "estimated_fees": 0.0, "estimated_slippage": 1.463, "estimated_spread": 0.3135, "executable_entry": 1045.0,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1045.0, "gross_rr": 0.0, "gross_rr_1": 0.0, "gross_rr_2": 0.0, "gross_rr_decision": 0.0, "highest_correlation_ticker": "APA", "highest_correlation_value": -0.3034, "initial_action": "SKIP", "market_cap": 308282754945.0,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1045.8883, "net_reward_1_per_share": 0.0, "net_reward_2_per_share": 0.0, "net_risk_per_share": 1046.7765, "net_rr": 0.0, "net_rr_1": 0.0, "net_rr_2": 0.0, "net_stop_assumption": -0.8882, "net_target_1_assumption": -0.5225, "net_target_2_assumption": -0.5225, "normalized_atr_score": 100.0, "normalized_liquidity_score": 55.58, "normalized_momentum_score": 100, "normalized_quality_score": 86.67,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1045.0,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1045.0, "ticker": "GS", "timestamp": "2026-06-08T21:14:42", "warnings": ["Target ATR feasibility unavailable."]}</t>
        </is>
      </c>
    </row>
    <row r="340">
      <c r="A340" t="inlineStr">
        <is>
          <t>2026-06-08T21:14:42</t>
        </is>
      </c>
      <c r="B340" t="inlineStr">
        <is>
          <t>C</t>
        </is>
      </c>
      <c r="C340" t="inlineStr">
        <is>
          <t>No Trade</t>
        </is>
      </c>
      <c r="D340" t="n">
        <v>0</v>
      </c>
      <c r="E340" t="n">
        <v>133.28</v>
      </c>
      <c r="H340" t="n">
        <v>0</v>
      </c>
      <c r="K340" t="n">
        <v>0</v>
      </c>
      <c r="L340" t="inlineStr">
        <is>
          <t>No clean technical setup detected. Price in middle of value area or poor risk/reward.</t>
        </is>
      </c>
      <c r="M340" t="inlineStr">
        <is>
          <t>SKIP</t>
        </is>
      </c>
      <c r="N340" t="inlineStr">
        <is>
          <t>SKIP: No Trade result. Market regime NEUTRAL; sector STRONG; net R/R 0.00.</t>
        </is>
      </c>
      <c r="O340" t="inlineStr">
        <is>
          <t>C
No Trade
0.00
score
Price
133.28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114.18
Fib Zone
113.31 - 115.05
Swing Low
101.53
Swing High
134.65
Click chart to open full size</t>
        </is>
      </c>
      <c r="P340" t="inlineStr">
        <is>
          <t>agent_results/charts/market_lens_agent_20260608_210745_c.png</t>
        </is>
      </c>
      <c r="Q340" t="inlineStr">
        <is>
          <t>Smart Universe: broad liquid US universe, diversified by sector | Sector: Financials - Strong (69/100); XLF sector regime is strong: 4.3% 3m return, -5.1% vs SPY | Setup: No Trade; score 0.00; R/R 0.00x; price 133.28 | Market: NEUTRAL; Sector regime: STRONG; Net R/R: 0.00; Factors: Financials | Agent action: SKIP - SKIP: No Trade result. Market regime NEUTRAL; sector STRONG; net R/R 0.00.</t>
        </is>
      </c>
      <c r="R340" t="inlineStr">
        <is>
          <t>{"adjusted_cash_out": 0.0, "adjusted_position_size": 0, "adjusted_risk_amount": 0.0, "ask": 0.0, "bid": 0.0, "buy_zone_high": null, "buy_zone_low": null, "cash_available": 87010.85, "company_name": "Citigroup Inc.", "correlation_warning": false, "days_to_earnings": 26, "earnings_blackout": false, "earnings_date": "2026-07-14T00:00:00", "estimated_fees": 0.0, "estimated_slippage": 0.1866, "estimated_spread": 0.04, "executable_entry": 133.28,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133.28, "gross_rr": 0.0, "gross_rr_1": 0.0, "gross_rr_2": 0.0, "gross_rr_decision": 0.0, "highest_correlation_ticker": "APA", "highest_correlation_value": -0.2399, "initial_action": "SKIP", "market_cap": 227319294480.4,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133.3933, "net_reward_1_per_share": 0.0, "net_reward_2_per_share": 0.0, "net_risk_per_share": 133.5066, "net_rr": 0.0, "net_rr_1": 0.0, "net_rr_2": 0.0, "net_stop_assumption": -0.1133, "net_target_1_assumption": -0.0666, "net_target_2_assumption": -0.0666, "normalized_atr_score": 100.0, "normalized_liquidity_score": 41.67, "normalized_momentum_score": 100, "normalized_quality_score": 82.5,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133.28,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133.28, "ticker": "C", "timestamp": "2026-06-08T21:14:42", "warnings": ["Target ATR feasibility unavailable."]}</t>
        </is>
      </c>
    </row>
    <row r="341">
      <c r="A341" t="inlineStr">
        <is>
          <t>2026-06-08T21:14:42</t>
        </is>
      </c>
      <c r="B341" t="inlineStr">
        <is>
          <t>LLY</t>
        </is>
      </c>
      <c r="C341" t="inlineStr">
        <is>
          <t>No Trade</t>
        </is>
      </c>
      <c r="D341" t="n">
        <v>0</v>
      </c>
      <c r="E341" t="n">
        <v>1149.15</v>
      </c>
      <c r="H341" t="n">
        <v>0</v>
      </c>
      <c r="K341" t="n">
        <v>0</v>
      </c>
      <c r="L341" t="inlineStr">
        <is>
          <t>No clean technical setup detected. Price in middle of value area or poor risk/reward.</t>
        </is>
      </c>
      <c r="M341" t="inlineStr">
        <is>
          <t>SKIP</t>
        </is>
      </c>
      <c r="N341" t="inlineStr">
        <is>
          <t>SKIP: No Trade result. Market regime NEUTRAL; sector NEUTRAL; net R/R 0.00.</t>
        </is>
      </c>
      <c r="O341" t="inlineStr">
        <is>
          <t>LLY
No Trade
0.00
score
Price
1149.15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963.67
Fib Zone
954.45 - 972.88
Swing Low
849.05
Swing High
1149.10
Click chart to open full size</t>
        </is>
      </c>
      <c r="P341" t="inlineStr">
        <is>
          <t>agent_results/charts/market_lens_agent_20260608_210745_lly.png</t>
        </is>
      </c>
      <c r="Q341" t="inlineStr">
        <is>
          <t>Smart Universe: broad liquid US universe, diversified by sector | Sector: Healthcare - Neutral (66/100); XLV sector regime is neutral: 0.1% 3m return, -9.4% vs SPY | Setup: No Trade; score 0.00; R/R 0.00x; price 1149.15 | Market: NEUTRAL; Sector regime: NEUTRAL; Net R/R: 0.00; Factors: Defensive, Healthcare | Agent action: SKIP - SKIP: No Trade result. Market regime NEUTRAL; sector NEUTRAL; net R/R 0.00.</t>
        </is>
      </c>
      <c r="R341" t="inlineStr">
        <is>
          <t>{"adjusted_cash_out": 0.0, "adjusted_position_size": 0, "adjusted_risk_amount": 0.0, "ask": 0.0, "bid": 0.0, "buy_zone_high": null, "buy_zone_low": null, "cash_available": 87010.85, "company_name": "Eli Lilly and Company", "correlation_warning": false, "days_to_earnings": 42, "earnings_blackout": false, "earnings_date": "2026-08-05T00:00:00", "estimated_fees": 0.0, "estimated_slippage": 1.6088, "estimated_spread": 0.3447, "executable_entry": 1149.15,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1149.15, "gross_rr": 0.0, "gross_rr_1": 0.0, "gross_rr_2": 0.0, "gross_rr_decision": 0.0, "highest_correlation_ticker": "XOM", "highest_correlation_value": -0.0561, "initial_action": "SKIP", "market_cap": 1024744658475.93,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1150.1268, "net_reward_1_per_share": 0.0, "net_reward_2_per_share": 0.0, "net_risk_per_share": 1151.1036, "net_rr": 0.0, "net_rr_1": 0.0, "net_rr_2": 0.0, "net_stop_assumption": -0.9768, "net_target_1_assumption": -0.5746, "net_target_2_assumption": -0.5746, "normalized_atr_score": 100.0, "normalized_liquidity_score": 66.91, "normalized_momentum_score": 100, "normalized_quality_score": 90.07,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1149.15,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1149.15, "ticker": "LLY", "timestamp": "2026-06-08T21:14:42", "warnings": ["Target ATR feasibility unavailable."]}</t>
        </is>
      </c>
    </row>
    <row r="342">
      <c r="A342" t="inlineStr">
        <is>
          <t>2026-06-08T21:14:42</t>
        </is>
      </c>
      <c r="B342" t="inlineStr">
        <is>
          <t>SLB</t>
        </is>
      </c>
      <c r="C342" t="inlineStr">
        <is>
          <t>No Trade</t>
        </is>
      </c>
      <c r="D342" t="n">
        <v>0</v>
      </c>
      <c r="E342" t="n">
        <v>56.55</v>
      </c>
      <c r="H342" t="n">
        <v>0</v>
      </c>
      <c r="K342" t="n">
        <v>0</v>
      </c>
      <c r="L342" t="inlineStr">
        <is>
          <t>No clean technical setup detected. Price in middle of value area or poor risk/reward.</t>
        </is>
      </c>
      <c r="M342" t="inlineStr">
        <is>
          <t>SKIP</t>
        </is>
      </c>
      <c r="N342" t="inlineStr">
        <is>
          <t>SKIP: No Trade result. Market regime NEUTRAL; sector STRONG; net R/R 0.00.</t>
        </is>
      </c>
      <c r="O342" t="inlineStr">
        <is>
          <t>SLB
No Trade
0.00
score
Price
56.55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54.77
Fib Zone
54.32 - 55.22
Swing Low
52.45
Swing High
58.51
Click chart to open full size</t>
        </is>
      </c>
      <c r="P342" t="inlineStr">
        <is>
          <t>agent_results/charts/market_lens_agent_20260608_210745_slb.png</t>
        </is>
      </c>
      <c r="Q342" t="inlineStr">
        <is>
          <t>Smart Universe: broad liquid US universe, diversified by sector | Sector: Energy - Strong (72/100); XLE sector regime is strong: 5.6% 3m return, -3.9% vs SPY | Setup: No Trade; score 0.00; R/R 0.00x; price 56.55 | Market: NEUTRAL; Sector regime: STRONG; Net R/R: 0.00; Factors: Energy | Agent action: SKIP - SKIP: No Trade result. Market regime NEUTRAL; sector STRONG; net R/R 0.00.</t>
        </is>
      </c>
      <c r="R342" t="inlineStr">
        <is>
          <t>{"adjusted_cash_out": 0.0, "adjusted_position_size": 0, "adjusted_risk_amount": 0.0, "ask": 0.0, "bid": 0.0, "buy_zone_high": null, "buy_zone_low": null, "cash_available": 87010.85, "company_name": "Schlumberger Limited", "correlation_warning": false, "days_to_earnings": 34, "earnings_blackout": false, "earnings_date": "2026-07-24T00:00:00", "estimated_fees": 0.0, "estimated_slippage": 0.0792, "estimated_spread": 0.017, "executable_entry": 56.55, "execution_liquidity_bucket": "large_liquid", "factor_exposure_after": {"Energy": 13090.22}, "factor_exposure_before": {"Energy": 13090.22}, "factor_exposure_cap": 7000.0, "factor_exposure_limit_exceeded": false, "factor_tags": ["Energy"], "final_action": "SKIP", "gross_reward_1_per_share": 0.0, "gross_reward_2_per_share": 0.0, "gross_risk_per_share": 56.55, "gross_rr": 0.0, "gross_rr_1": 0.0, "gross_rr_2": 0.0, "gross_rr_decision": 0.0, "highest_correlation_ticker": "XOM", "highest_correlation_value": 0.2792, "initial_action": "SKIP", "market_cap": 84545509588.91,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56.5981, "net_reward_1_per_share": 0.0, "net_reward_2_per_share": 0.0, "net_risk_per_share": 56.6461, "net_rr": 0.0, "net_rr_1": 0.0, "net_rr_2": 0.0, "net_stop_assumption": -0.0481, "net_target_1_assumption": -0.0283, "net_target_2_assumption": -0.0283, "normalized_atr_score": 100.0, "normalized_liquidity_score": 57.18, "normalized_momentum_score": 100, "normalized_quality_score": 87.15,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56.55,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56.55, "ticker": "SLB", "timestamp": "2026-06-08T21:14:42", "warnings": ["Target ATR feasibility unavailable."]}</t>
        </is>
      </c>
    </row>
    <row r="343">
      <c r="A343" t="inlineStr">
        <is>
          <t>2026-06-08T21:14:42</t>
        </is>
      </c>
      <c r="B343" t="inlineStr">
        <is>
          <t>PSX</t>
        </is>
      </c>
      <c r="C343" t="inlineStr">
        <is>
          <t>No Trade</t>
        </is>
      </c>
      <c r="D343" t="n">
        <v>0</v>
      </c>
      <c r="E343" t="n">
        <v>183.42</v>
      </c>
      <c r="H343" t="n">
        <v>0</v>
      </c>
      <c r="K343" t="n">
        <v>0</v>
      </c>
      <c r="L343" t="inlineStr">
        <is>
          <t>No clean technical setup detected. Price in middle of value area or poor risk/reward.</t>
        </is>
      </c>
      <c r="M343" t="inlineStr">
        <is>
          <t>SKIP</t>
        </is>
      </c>
      <c r="N343" t="inlineStr">
        <is>
          <t>SKIP: No Trade result. Market regime NEUTRAL; sector STRONG; net R/R 0.00.</t>
        </is>
      </c>
      <c r="O343" t="inlineStr">
        <is>
          <t>PSX
No Trade
0.00
score
Price
183.42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172.07
Fib Zone
170.69 - 173.45
Swing Low
164.25
Swing High
184.72
Click chart to open full size</t>
        </is>
      </c>
      <c r="P343" t="inlineStr">
        <is>
          <t>agent_results/charts/market_lens_agent_20260608_210745_psx.png</t>
        </is>
      </c>
      <c r="Q343" t="inlineStr">
        <is>
          <t>Smart Universe: broad liquid US universe, diversified by sector | Sector: Energy - Strong (72/100); XLE sector regime is strong: 5.6% 3m return, -3.9% vs SPY | Setup: No Trade; score 0.00; R/R 0.00x; price 183.42 | Market: NEUTRAL; Sector regime: STRONG; Net R/R: 0.00; Factors: Energy | Agent action: SKIP - SKIP: No Trade result. Market regime NEUTRAL; sector STRONG; net R/R 0.00.</t>
        </is>
      </c>
      <c r="R343" t="inlineStr">
        <is>
          <t>{"adjusted_cash_out": 0.0, "adjusted_position_size": 0, "adjusted_risk_amount": 0.0, "ask": 0.0, "bid": 0.0, "buy_zone_high": null, "buy_zone_low": null, "cash_available": 87010.85, "company_name": "Phillips 66", "correlation_warning": false, "days_to_earnings": 34, "earnings_blackout": false, "earnings_date": "2026-07-24T00:00:00", "estimated_fees": 0.0, "estimated_slippage": 0.5503, "estimated_spread": 0.1467, "executable_entry": 183.42, "execution_liquidity_bucket": "mid_liquid", "factor_exposure_after": {"Energy": 13090.22}, "factor_exposure_before": {"Energy": 13090.22}, "factor_exposure_cap": 7000.0, "factor_exposure_limit_exceeded": false, "factor_tags": ["Energy"], "final_action": "SKIP", "gross_reward_1_per_share": 0.0, "gross_reward_2_per_share": 0.0, "gross_risk_per_share": 183.42, "gross_rr": 0.0, "gross_rr_1": 0.0, "gross_rr_2": 0.0, "gross_rr_decision": 0.0, "highest_correlation_ticker": "XOM", "highest_correlation_value": 0.6685, "initial_action": "SKIP", "market_cap": 73539500634.27,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183.7685, "net_reward_1_per_share": 0.0, "net_reward_2_per_share": 0.0, "net_risk_per_share": 184.117, "net_rr": 0.0, "net_rr_1": 0.0, "net_rr_2": 0.0, "net_stop_assumption": -0.3485, "net_target_1_assumption": -0.2109, "net_target_2_assumption": -0.2109, "normalized_atr_score": 100.0, "normalized_liquidity_score": 42.32, "normalized_momentum_score": 100, "normalized_quality_score": 82.7,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183.42, "prior_high_20": 0.0, "prior_high_63": 0.0, "reason": "SKIP: No Trade result. Market regime NEUTRAL; sector STRONG; net R/R 0.00.", "risk_amount": 0.0, "scan_source": "Smart Universe: broad liquid US universe filtered and diversified by the Market Lens UI.", "sector": "Energy", "sector_etf": "XLE", "sector_exposure_after": 13090.22, "sector_exposure_before": 13090.22, "sector_exposure_cap": 6000.0, "sector_exposure_limit_exceeded": false, "sector_regime": "STRONG", "sector_score": 71.6, "setup_score": 0.0, "setup_type": "No Trade", "sizing_adjustment_reason": "", "spread_source": "liquidity_fallback", "stock_score": 0.0, "stop_loss": 0.0, "target_1": null, "target_1_atr_distance": 0.0, "target_2": null, "target_2_atr_distance": 0.0, "target_feasibility_status": "UNKNOWN", "theoretical_entry": 183.42, "ticker": "PSX", "timestamp": "2026-06-08T21:14:42", "warnings": ["Target ATR feasibility unavailable."]}</t>
        </is>
      </c>
    </row>
    <row r="344">
      <c r="A344" t="inlineStr">
        <is>
          <t>2026-06-08T21:14:42</t>
        </is>
      </c>
      <c r="B344" t="inlineStr">
        <is>
          <t>AAPL</t>
        </is>
      </c>
      <c r="C344" t="inlineStr">
        <is>
          <t>No Trade</t>
        </is>
      </c>
      <c r="D344" t="n">
        <v>0</v>
      </c>
      <c r="E344" t="n">
        <v>301.54</v>
      </c>
      <c r="H344" t="n">
        <v>0</v>
      </c>
      <c r="K344" t="n">
        <v>0</v>
      </c>
      <c r="L344" t="inlineStr">
        <is>
          <t>No clean technical setup detected. Price in middle of value area or poor risk/reward.</t>
        </is>
      </c>
      <c r="M344" t="inlineStr">
        <is>
          <t>SKIP</t>
        </is>
      </c>
      <c r="N344" t="inlineStr">
        <is>
          <t>SKIP: No Trade result. Market regime NEUTRAL; sector STRONG; net R/R 0.00.</t>
        </is>
      </c>
      <c r="O344" t="inlineStr">
        <is>
          <t>AAPL
No Trade
0.00
score
Price
301.54
R/R
0.00x
Grade
No Trade
Quality
0%
Buy Zone
-
Stop
0.00
Targets
-
Skip
Mixed
Relative Strength
Leadership
100%
Trend Quality
Constructive
68%
Liquidity
Institutional liquidity
100%
Volume
Confirmed
85%
No actionable setup detected.
No clean technical setup detected. Price in middle of value area or poor risk/reward.
Fib 61.8
257.26
Fib Zone
255.57 - 258.96
Swing Low
242.97
Swing High
280.39
Click chart to open full size</t>
        </is>
      </c>
      <c r="P344" t="inlineStr">
        <is>
          <t>agent_results/charts/market_lens_agent_20260608_210745_aapl.png</t>
        </is>
      </c>
      <c r="Q344" t="inlineStr">
        <is>
          <t>Smart Universe: broad liquid US universe, diversified by sector | Sector: Technology - Strong (97/100); XLK sector regime is strong: 31.9% 3m return, 22.5% vs SPY | Setup: No Trade; score 0.00; R/R 0.00x; price 301.54 | Market: NEUTRAL; Sector regime: STRONG; Net R/R: 0.00; Factors: Mega Cap Tech, Rates-sensitive Growth, Technology | Agent action: SKIP - SKIP: No Trade result. Market regime NEUTRAL; sector STRONG; net R/R 0.00.</t>
        </is>
      </c>
      <c r="R344" t="inlineStr">
        <is>
          <t>{"adjusted_cash_out": 0.0, "adjusted_position_size": 0, "adjusted_risk_amount": 0.0, "ask": 0.0, "bid": 0.0, "buy_zone_high": null, "buy_zone_low": null, "cash_available": 87010.85, "company_name": "Apple Inc.", "correlation_warning": false, "days_to_earnings": 38, "earnings_blackout": false, "earnings_date": "2026-07-30T00:00:00", "estimated_fees": 0.0, "estimated_slippage": 0.4222, "estimated_spread": 0.0905, "executable_entry": 301.54, "execution_liquidity_bucket": "large_liquid", "factor_exposure_after": {"Energy": 13090.22}, "factor_exposure_before": {"Energy": 13090.22}, "factor_exposure_cap": 7000.0, "factor_exposure_limit_exceeded": false, "factor_tags": ["Mega Cap Tech", "Rates-sensitive Growth", "Technology"], "final_action": "SKIP", "gross_reward_1_per_share": 0.0, "gross_reward_2_per_share": 0.0, "gross_risk_per_share": 301.54, "gross_rr": 0.0, "gross_rr_1": 0.0, "gross_rr_2": 0.0, "gross_rr_decision": 0.0, "highest_correlation_ticker": "XOM", "highest_correlation_value": -0.2114, "initial_action": "SKIP", "market_cap": 4428825453742.31,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301.7963, "net_reward_1_per_share": 0.0, "net_reward_2_per_share": 0.0, "net_risk_per_share": 302.0526, "net_rr": 0.0, "net_rr_1": 0.0, "net_rr_2": 0.0, "net_stop_assumption": -0.2563, "net_target_1_assumption": -0.1508, "net_target_2_assumption": -0.1508, "normalized_atr_score": 100.0, "normalized_liquidity_score": 100, "normalized_momentum_score": 100, "normalized_quality_score": 100.0,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301.54,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301.54, "ticker": "AAPL", "timestamp": "2026-06-08T21:14:42", "warnings": ["Target ATR feasibility unavailable."]}</t>
        </is>
      </c>
    </row>
    <row r="345">
      <c r="A345" t="inlineStr">
        <is>
          <t>2026-06-08T21:14:42</t>
        </is>
      </c>
      <c r="B345" t="inlineStr">
        <is>
          <t>BAC</t>
        </is>
      </c>
      <c r="C345" t="inlineStr">
        <is>
          <t>No Trade</t>
        </is>
      </c>
      <c r="D345" t="n">
        <v>0</v>
      </c>
      <c r="E345" t="n">
        <v>53.63</v>
      </c>
      <c r="H345" t="n">
        <v>0</v>
      </c>
      <c r="K345" t="n">
        <v>0</v>
      </c>
      <c r="L345" t="inlineStr">
        <is>
          <t>No clean technical setup detected. Price in middle of value area or poor risk/reward.</t>
        </is>
      </c>
      <c r="M345" t="inlineStr">
        <is>
          <t>SKIP</t>
        </is>
      </c>
      <c r="N345" t="inlineStr">
        <is>
          <t>SKIP: No Trade result. Market regime NEUTRAL; sector STRONG; net R/R 0.00.</t>
        </is>
      </c>
      <c r="O345" t="inlineStr">
        <is>
          <t>BAC
No Trade
0.00
score
Price
53.63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49.41
Fib Zone
49.13 - 49.69
Swing Low
45.88
Swing High
55.11
Click chart to open full size</t>
        </is>
      </c>
      <c r="P345" t="inlineStr">
        <is>
          <t>agent_results/charts/market_lens_agent_20260608_210745_bac.png</t>
        </is>
      </c>
      <c r="Q345" t="inlineStr">
        <is>
          <t>Smart Universe: broad liquid US universe, diversified by sector | Sector: Financials - Strong (69/100); XLF sector regime is strong: 4.3% 3m return, -5.1% vs SPY | Setup: No Trade; score 0.00; R/R 0.00x; price 53.63 | Market: NEUTRAL; Sector regime: STRONG; Net R/R: 0.00; Factors: Financials | Agent action: SKIP - SKIP: No Trade result. Market regime NEUTRAL; sector STRONG; net R/R 0.00.</t>
        </is>
      </c>
      <c r="R345" t="inlineStr">
        <is>
          <t>{"adjusted_cash_out": 0.0, "adjusted_position_size": 0, "adjusted_risk_amount": 0.0, "ask": 0.0, "bid": 0.0, "buy_zone_high": null, "buy_zone_low": null, "cash_available": 87010.85, "company_name": "Bank of America Corporation", "correlation_warning": false, "days_to_earnings": 26, "earnings_blackout": false, "earnings_date": "2026-07-14T00:00:00", "estimated_fees": 0.0, "estimated_slippage": 0.0751, "estimated_spread": 0.0161, "executable_entry": 53.63,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53.63, "gross_rr": 0.0, "gross_rr_1": 0.0, "gross_rr_2": 0.0, "gross_rr_decision": 0.0, "highest_correlation_ticker": "APA", "highest_correlation_value": -0.168, "initial_action": "SKIP", "market_cap": 380590164193.11,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53.6756, "net_reward_1_per_share": 0.0, "net_reward_2_per_share": 0.0, "net_risk_per_share": 53.7212, "net_rr": 0.0, "net_rr_1": 0.0, "net_rr_2": 0.0, "net_stop_assumption": -0.0456, "net_target_1_assumption": -0.0268, "net_target_2_assumption": -0.0268, "normalized_atr_score": 100.0, "normalized_liquidity_score": 52.47, "normalized_momentum_score": 97.76, "normalized_quality_score": 84.73,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53.63,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53.63, "ticker": "BAC", "timestamp": "2026-06-08T21:14:42", "warnings": ["Target ATR feasibility unavailable."]}</t>
        </is>
      </c>
    </row>
    <row r="346">
      <c r="A346" t="inlineStr">
        <is>
          <t>2026-06-08T21:14:42</t>
        </is>
      </c>
      <c r="B346" t="inlineStr">
        <is>
          <t>ANET</t>
        </is>
      </c>
      <c r="C346" t="inlineStr">
        <is>
          <t>No Trade</t>
        </is>
      </c>
      <c r="D346" t="n">
        <v>0</v>
      </c>
      <c r="E346" t="n">
        <v>156.4</v>
      </c>
      <c r="H346" t="n">
        <v>0</v>
      </c>
      <c r="K346" t="n">
        <v>0</v>
      </c>
      <c r="L346" t="inlineStr">
        <is>
          <t>No clean technical setup detected. Price in middle of value area or poor risk/reward.</t>
        </is>
      </c>
      <c r="M346" t="inlineStr">
        <is>
          <t>SKIP</t>
        </is>
      </c>
      <c r="N346" t="inlineStr">
        <is>
          <t>SKIP: No Trade result. Market regime NEUTRAL; sector STRONG; net R/R 0.00.</t>
        </is>
      </c>
      <c r="O346" t="inlineStr">
        <is>
          <t>ANET
No Trade
0.00
score
Price
156.40
R/R
0.00x
Grade
No Trade
Quality
0%
Buy Zone
-
Stop
0.00
Targets
-
Skip
Mixed
Relative Strength
Leadership
100%
Trend Quality
Constructive
76%
Liquidity
Institutional liquidity
100%
Volume
Confirmed
80%
No actionable setup detected.
No clean technical setup detected. Price in middle of value area or poor risk/reward.
Fib 61.8
140.01
Fib Zone
137.93 - 142.10
Swing Low
115.42
Swing High
179.80
Click chart to open full size</t>
        </is>
      </c>
      <c r="P346" t="inlineStr">
        <is>
          <t>agent_results/charts/market_lens_agent_20260608_210745_anet.png</t>
        </is>
      </c>
      <c r="Q346" t="inlineStr">
        <is>
          <t>Smart Universe: broad liquid US universe, diversified by sector | Sector: Technology - Strong (97/100); XLK sector regime is strong: 31.9% 3m return, 22.5% vs SPY | Setup: No Trade; score 0.00; R/R 0.00x; price 156.40 | Market: NEUTRAL; Sector regime: STRONG; Net R/R: 0.00; Factors: Technology | Agent action: SKIP - SKIP: No Trade result. Market regime NEUTRAL; sector STRONG; net R/R 0.00.</t>
        </is>
      </c>
      <c r="R346" t="inlineStr">
        <is>
          <t>{"adjusted_cash_out": 0.0, "adjusted_position_size": 0, "adjusted_risk_amount": 0.0, "ask": 0.0, "bid": 0.0, "buy_zone_high": null, "buy_zone_low": null, "cash_available": 87010.85, "company_name": "Arista Networks, Inc.", "correlation_warning": false, "days_to_earnings": 41, "earnings_blackout": false, "earnings_date": "2026-08-04T00:00:00", "estimated_fees": 0.0, "estimated_slippage": 0.219, "estimated_spread": 0.0469, "executable_entry": 156.4, "execution_liquidity_bucket": "large_liquid", "factor_exposure_after": {"Energy": 13090.22}, "factor_exposure_before": {"Energy": 13090.22}, "factor_exposure_cap": 7000.0, "factor_exposure_limit_exceeded": false, "factor_tags": ["Technology"], "final_action": "SKIP", "gross_reward_1_per_share": 0.0, "gross_reward_2_per_share": 0.0, "gross_risk_per_share": 156.4, "gross_rr": 0.0, "gross_rr_1": 0.0, "gross_rr_2": 0.0, "gross_rr_decision": 0.0, "highest_correlation_ticker": "APA", "highest_correlation_value": -0.0162, "initial_action": "SKIP", "market_cap": 196934092417.84,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156.5329, "net_reward_1_per_share": 0.0, "net_reward_2_per_share": 0.0, "net_risk_per_share": 156.6659, "net_rr": 0.0, "net_rr_1": 0.0, "net_rr_2": 0.0, "net_stop_assumption": -0.1329, "net_target_1_assumption": -0.0782, "net_target_2_assumption": -0.0782, "normalized_atr_score": 100.0, "normalized_liquidity_score": 80.61, "normalized_momentum_score": 100, "normalized_quality_score": 94.18,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156.4,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156.4, "ticker": "ANET", "timestamp": "2026-06-08T21:14:42", "warnings": ["Target ATR feasibility unavailable."]}</t>
        </is>
      </c>
    </row>
    <row r="347">
      <c r="A347" t="inlineStr">
        <is>
          <t>2026-06-08T21:14:42</t>
        </is>
      </c>
      <c r="B347" t="inlineStr">
        <is>
          <t>JPM</t>
        </is>
      </c>
      <c r="C347" t="inlineStr">
        <is>
          <t>No Trade</t>
        </is>
      </c>
      <c r="D347" t="n">
        <v>0</v>
      </c>
      <c r="E347" t="n">
        <v>311.11</v>
      </c>
      <c r="H347" t="n">
        <v>0</v>
      </c>
      <c r="K347" t="n">
        <v>0</v>
      </c>
      <c r="L347" t="inlineStr">
        <is>
          <t>No clean technical setup detected. Price in middle of value area or poor risk/reward.</t>
        </is>
      </c>
      <c r="M347" t="inlineStr">
        <is>
          <t>SKIP</t>
        </is>
      </c>
      <c r="N347" t="inlineStr">
        <is>
          <t>SKIP: No Trade result. Market regime NEUTRAL; sector STRONG; net R/R 0.00.</t>
        </is>
      </c>
      <c r="O347" t="inlineStr">
        <is>
          <t>JPM
No Trade
0.00
score
Price
311.11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298.31 - 301.45
Swing Low
293.67
Swing High
309.93
Click chart to open full size</t>
        </is>
      </c>
      <c r="P347" t="inlineStr">
        <is>
          <t>agent_results/charts/market_lens_agent_20260608_210745_jpm.png</t>
        </is>
      </c>
      <c r="Q347" t="inlineStr">
        <is>
          <t>Smart Universe: broad liquid US universe, diversified by sector | Sector: Financials - Strong (69/100); XLF sector regime is strong: 4.3% 3m return, -5.1% vs SPY | Setup: No Trade; score 0.00; R/R 0.00x; price 311.11 | Market: NEUTRAL; Sector regime: STRONG; Net R/R: 0.00; Factors: Financials | Agent action: SKIP - SKIP: No Trade result. Market regime NEUTRAL; sector STRONG; net R/R 0.00.</t>
        </is>
      </c>
      <c r="R347" t="inlineStr">
        <is>
          <t>{"adjusted_cash_out": 0.0, "adjusted_position_size": 0, "adjusted_risk_amount": 0.0, "ask": 0.0, "bid": 0.0, "buy_zone_high": null, "buy_zone_low": null, "cash_available": 87010.85, "company_name": "JPMorgan Chase &amp; Co.", "correlation_warning": false, "days_to_earnings": 26, "earnings_blackout": false, "earnings_date": "2026-07-14T00:00:00", "estimated_fees": 0.0, "estimated_slippage": 0.4356, "estimated_spread": 0.0933, "executable_entry": 311.11, "execution_liquidity_bucket": "large_liquid", "factor_exposure_after": {"Energy": 13090.22}, "factor_exposure_before": {"Energy": 13090.22}, "factor_exposure_cap": 7000.0, "factor_exposure_limit_exceeded": false, "factor_tags": ["Financials"], "final_action": "SKIP", "gross_reward_1_per_share": 0.0, "gross_reward_2_per_share": 0.0, "gross_risk_per_share": 311.11, "gross_rr": 0.0, "gross_rr_1": 0.0, "gross_rr_2": 0.0, "gross_rr_decision": 0.0, "highest_correlation_ticker": "APA", "highest_correlation_value": -0.1217, "initial_action": "SKIP", "market_cap": 833622758003.32,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311.3744, "net_reward_1_per_share": 0.0, "net_reward_2_per_share": 0.0, "net_risk_per_share": 311.6389, "net_rr": 0.0, "net_rr_1": 0.0, "net_rr_2": 0.0, "net_stop_assumption": -0.2644, "net_target_1_assumption": -0.1556, "net_target_2_assumption": -0.1556, "normalized_atr_score": 100.0, "normalized_liquidity_score": 59.75, "normalized_momentum_score": 84.66, "normalized_quality_score": 81.02,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311.11,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69.12, "setup_score": 0.0, "setup_type": "No Trade", "sizing_adjustment_reason": "", "spread_source": "liquidity_fallback", "stock_score": 0.0, "stop_loss": 0.0, "target_1": null, "target_1_atr_distance": 0.0, "target_2": null, "target_2_atr_distance": 0.0, "target_feasibility_status": "UNKNOWN", "theoretical_entry": 311.11, "ticker": "JPM", "timestamp": "2026-06-08T21:14:42", "warnings": ["Target ATR feasibility unavailable."]}</t>
        </is>
      </c>
    </row>
    <row r="348">
      <c r="A348" t="inlineStr">
        <is>
          <t>2026-06-08T21:14:42</t>
        </is>
      </c>
      <c r="B348" t="inlineStr">
        <is>
          <t>UPS</t>
        </is>
      </c>
      <c r="C348" t="inlineStr">
        <is>
          <t>No Trade</t>
        </is>
      </c>
      <c r="D348" t="n">
        <v>0</v>
      </c>
      <c r="E348" t="n">
        <v>107.7</v>
      </c>
      <c r="H348" t="n">
        <v>0</v>
      </c>
      <c r="K348" t="n">
        <v>0</v>
      </c>
      <c r="L348" t="inlineStr">
        <is>
          <t>No clean technical setup detected. Price in middle of value area or poor risk/reward.</t>
        </is>
      </c>
      <c r="M348" t="inlineStr">
        <is>
          <t>SKIP</t>
        </is>
      </c>
      <c r="N348" t="inlineStr">
        <is>
          <t>SKIP: No Trade result. Market regime NEUTRAL; sector NEUTRAL; net R/R 0.00.</t>
        </is>
      </c>
      <c r="O348" t="inlineStr">
        <is>
          <t>UPS
No Trade
0.00
score
Price
107.70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97.78 - 99.08
Swing Low
92.50
Swing High
108.02
Click chart to open full size</t>
        </is>
      </c>
      <c r="P348" t="inlineStr">
        <is>
          <t>agent_results/charts/market_lens_agent_20260608_210745_ups.png</t>
        </is>
      </c>
      <c r="Q348" t="inlineStr">
        <is>
          <t>Smart Universe: broad liquid US universe, diversified by sector | Sector: Industrials - Neutral (67/100); XLI sector regime is neutral: 2.4% 3m return, -7.0% vs SPY | Setup: No Trade; score 0.00; R/R 0.00x; price 107.70 | Market: NEUTRAL; Sector regime: NEUTRAL; Net R/R: 0.00; Factors: Industrials | Agent action: SKIP - SKIP: No Trade result. Market regime NEUTRAL; sector NEUTRAL; net R/R 0.00.</t>
        </is>
      </c>
      <c r="R348" t="inlineStr">
        <is>
          <t>{"adjusted_cash_out": 0.0, "adjusted_position_size": 0, "adjusted_risk_amount": 0.0, "ask": 0.0, "bid": 0.0, "buy_zone_high": null, "buy_zone_low": null, "cash_available": 87010.85, "company_name": "United Parcel Service, Inc.", "correlation_warning": false, "days_to_earnings": 36, "earnings_blackout": false, "earnings_date": "2026-07-28T00:00:00", "estimated_fees": 0.0, "estimated_slippage": 0.1508, "estimated_spread": 0.0323, "executable_entry": 107.7,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107.7, "gross_rr": 0.0, "gross_rr_1": 0.0, "gross_rr_2": 0.0, "gross_rr_decision": 0.0, "highest_correlation_ticker": "XOM", "highest_correlation_value": -0.1187, "initial_action": "SKIP", "market_cap": 91545673654.29,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107.7915, "net_reward_1_per_share": 0.0, "net_reward_2_per_share": 0.0, "net_risk_per_share": 107.8831, "net_rr": 0.0, "net_rr_1": 0.0, "net_rr_2": 0.0, "net_stop_assumption": -0.0915, "net_target_1_assumption": -0.0538, "net_target_2_assumption": -0.0538, "normalized_atr_score": 100.0, "normalized_liquidity_score": 51.55, "normalized_momentum_score": 91.12, "normalized_quality_score": 81.47,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107.7,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107.7, "ticker": "UPS", "timestamp": "2026-06-08T21:14:42", "warnings": ["Target ATR feasibility unavailable."]}</t>
        </is>
      </c>
    </row>
    <row r="349">
      <c r="A349" t="inlineStr">
        <is>
          <t>2026-06-08T21:14:42</t>
        </is>
      </c>
      <c r="B349" t="inlineStr">
        <is>
          <t>UNP</t>
        </is>
      </c>
      <c r="C349" t="inlineStr">
        <is>
          <t>No Trade</t>
        </is>
      </c>
      <c r="D349" t="n">
        <v>0</v>
      </c>
      <c r="E349" t="n">
        <v>268.67</v>
      </c>
      <c r="H349" t="n">
        <v>0</v>
      </c>
      <c r="K349" t="n">
        <v>0</v>
      </c>
      <c r="L349" t="inlineStr">
        <is>
          <t>No clean technical setup detected. Price in middle of value area or poor risk/reward.</t>
        </is>
      </c>
      <c r="M349" t="inlineStr">
        <is>
          <t>SKIP</t>
        </is>
      </c>
      <c r="N349" t="inlineStr">
        <is>
          <t>SKIP: No Trade result. Market regime NEUTRAL; sector NEUTRAL; net R/R 0.00.</t>
        </is>
      </c>
      <c r="O349" t="inlineStr">
        <is>
          <t>UNP
No Trade
0.00
score
Price
268.67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263.90 - 267.15
Swing Low
259.69
Swing High
274.97
Click chart to open full size</t>
        </is>
      </c>
      <c r="P349" t="inlineStr">
        <is>
          <t>agent_results/charts/market_lens_agent_20260608_210745_unp.png</t>
        </is>
      </c>
      <c r="Q349" t="inlineStr">
        <is>
          <t>Smart Universe: broad liquid US universe, diversified by sector | Sector: Industrials - Neutral (67/100); XLI sector regime is neutral: 2.4% 3m return, -7.0% vs SPY | Setup: No Trade; score 0.00; R/R 0.00x; price 268.67 | Market: NEUTRAL; Sector regime: NEUTRAL; Net R/R: 0.00; Factors: Industrials | Agent action: SKIP - SKIP: No Trade result. Market regime NEUTRAL; sector NEUTRAL; net R/R 0.00.</t>
        </is>
      </c>
      <c r="R349" t="inlineStr">
        <is>
          <t>{"adjusted_cash_out": 0.0, "adjusted_position_size": 0, "adjusted_risk_amount": 0.0, "ask": 0.0, "bid": 0.0, "buy_zone_high": null, "buy_zone_low": null, "cash_available": 87010.85, "company_name": "Union Pacific Corporation", "correlation_warning": false, "days_to_earnings": 33, "earnings_blackout": false, "earnings_date": "2026-07-23T00:00:00", "estimated_fees": 0.0, "estimated_slippage": 0.3761, "estimated_spread": 0.0806, "executable_entry": 268.67,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268.67, "gross_rr": 0.0, "gross_rr_1": 0.0, "gross_rr_2": 0.0, "gross_rr_decision": 0.0, "highest_correlation_ticker": "XOM", "highest_correlation_value": 0.048, "initial_action": "SKIP", "market_cap": 159512936908.93,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268.8984, "net_reward_1_per_share": 0.0, "net_reward_2_per_share": 0.0, "net_risk_per_share": 269.1267, "net_rr": 0.0, "net_rr_1": 0.0, "net_rr_2": 0.0, "net_stop_assumption": -0.2284, "net_target_1_assumption": -0.1343, "net_target_2_assumption": -0.1343, "normalized_atr_score": 100.0, "normalized_liquidity_score": 61.41, "normalized_momentum_score": 78.67, "normalized_quality_score": 78.82,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268.67,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268.67, "ticker": "UNP", "timestamp": "2026-06-08T21:14:42", "warnings": ["Target ATR feasibility unavailable."]}</t>
        </is>
      </c>
    </row>
    <row r="350">
      <c r="A350" t="inlineStr">
        <is>
          <t>2026-06-08T21:14:42</t>
        </is>
      </c>
      <c r="B350" t="inlineStr">
        <is>
          <t>MRK</t>
        </is>
      </c>
      <c r="C350" t="inlineStr">
        <is>
          <t>No Trade</t>
        </is>
      </c>
      <c r="D350" t="n">
        <v>0</v>
      </c>
      <c r="E350" t="n">
        <v>119.52</v>
      </c>
      <c r="H350" t="n">
        <v>0</v>
      </c>
      <c r="K350" t="n">
        <v>0</v>
      </c>
      <c r="L350" t="inlineStr">
        <is>
          <t>No clean technical setup detected. Price in middle of value area or poor risk/reward.</t>
        </is>
      </c>
      <c r="M350" t="inlineStr">
        <is>
          <t>SKIP</t>
        </is>
      </c>
      <c r="N350" t="inlineStr">
        <is>
          <t>SKIP: No Trade result. Market regime NEUTRAL; sector NEUTRAL; net R/R 0.00.</t>
        </is>
      </c>
      <c r="O350" t="inlineStr">
        <is>
          <t>MRK
No Trade
0.00
score
Price
119.52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114.79 - 116.40
Swing Low
110.94
Swing High
123.13
Click chart to open full size</t>
        </is>
      </c>
      <c r="P350" t="inlineStr">
        <is>
          <t>agent_results/charts/market_lens_agent_20260608_210745_mrk.png</t>
        </is>
      </c>
      <c r="Q350" t="inlineStr">
        <is>
          <t>Smart Universe: broad liquid US universe, diversified by sector | Sector: Healthcare - Neutral (66/100); XLV sector regime is neutral: 0.1% 3m return, -9.4% vs SPY | Setup: No Trade; score 0.00; R/R 0.00x; price 119.52 | Market: NEUTRAL; Sector regime: NEUTRAL; Net R/R: 0.00; Factors: Defensive, Healthcare | Agent action: SKIP - SKIP: No Trade result. Market regime NEUTRAL; sector NEUTRAL; net R/R 0.00.</t>
        </is>
      </c>
      <c r="R350" t="inlineStr">
        <is>
          <t>{"adjusted_cash_out": 0.0, "adjusted_position_size": 0, "adjusted_risk_amount": 0.0, "ask": 0.0, "bid": 0.0, "buy_zone_high": null, "buy_zone_low": null, "cash_available": 87010.85, "company_name": "Merck &amp; Co., Inc.", "correlation_warning": false, "days_to_earnings": 41, "earnings_blackout": false, "earnings_date": "2026-08-04T00:00:00", "estimated_fees": 0.0, "estimated_slippage": 0.1673, "estimated_spread": 0.0359, "executable_entry": 119.52,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119.52, "gross_rr": 0.0, "gross_rr_1": 0.0, "gross_rr_2": 0.0, "gross_rr_decision": 0.0, "highest_correlation_ticker": "XOM", "highest_correlation_value": -0.0584, "initial_action": "SKIP", "market_cap": 295193405789.76,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119.6216, "net_reward_1_per_share": 0.0, "net_reward_2_per_share": 0.0, "net_risk_per_share": 119.7232, "net_rr": 0.0, "net_rr_1": 0.0, "net_rr_2": 0.0, "net_stop_assumption": -0.1016, "net_target_1_assumption": -0.0598, "net_target_2_assumption": -0.0598, "normalized_atr_score": 100.0, "normalized_liquidity_score": 38.69, "normalized_momentum_score": 71.89, "normalized_quality_score": 68.96,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119.52,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119.52, "ticker": "MRK", "timestamp": "2026-06-08T21:14:42", "warnings": ["Target ATR feasibility unavailable."]}</t>
        </is>
      </c>
    </row>
    <row r="351">
      <c r="A351" t="inlineStr">
        <is>
          <t>2026-06-08T21:14:42</t>
        </is>
      </c>
      <c r="B351" t="inlineStr">
        <is>
          <t>GE</t>
        </is>
      </c>
      <c r="C351" t="inlineStr">
        <is>
          <t>No Trade</t>
        </is>
      </c>
      <c r="D351" t="n">
        <v>0</v>
      </c>
      <c r="E351" t="n">
        <v>322.04</v>
      </c>
      <c r="H351" t="n">
        <v>0</v>
      </c>
      <c r="K351" t="n">
        <v>0</v>
      </c>
      <c r="L351" t="inlineStr">
        <is>
          <t>No clean technical setup detected. Price in middle of value area or poor risk/reward.</t>
        </is>
      </c>
      <c r="M351" t="inlineStr">
        <is>
          <t>SKIP</t>
        </is>
      </c>
      <c r="N351" t="inlineStr">
        <is>
          <t>SKIP: No Trade result. Market regime NEUTRAL; sector NEUTRAL; net R/R 0.00.</t>
        </is>
      </c>
      <c r="O351" t="inlineStr">
        <is>
          <t>GE
No Trade
0.00
score
Price
322.04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282.12 - 287.09
Swing Low
268.91
Swing High
310.00
Click chart to open full size</t>
        </is>
      </c>
      <c r="P351" t="inlineStr">
        <is>
          <t>agent_results/charts/market_lens_agent_20260608_210745_ge.png</t>
        </is>
      </c>
      <c r="Q351" t="inlineStr">
        <is>
          <t>Smart Universe: broad liquid US universe, diversified by sector | Sector: Industrials - Neutral (67/100); XLI sector regime is neutral: 2.4% 3m return, -7.0% vs SPY | Setup: No Trade; score 0.00; R/R 0.00x; price 322.04 | Market: NEUTRAL; Sector regime: NEUTRAL; Net R/R: 0.00; Factors: Industrials | Agent action: SKIP - SKIP: No Trade result. Market regime NEUTRAL; sector NEUTRAL; net R/R 0.00.</t>
        </is>
      </c>
      <c r="R351" t="inlineStr">
        <is>
          <t>{"adjusted_cash_out": 0.0, "adjusted_position_size": 0, "adjusted_risk_amount": 0.0, "ask": 0.0, "bid": 0.0, "buy_zone_high": null, "buy_zone_low": null, "cash_available": 87010.85, "company_name": "GE Aerospace", "correlation_warning": false, "days_to_earnings": 28, "earnings_blackout": false, "earnings_date": "2026-07-16T00:00:00", "estimated_fees": 0.0, "estimated_slippage": 0.4509, "estimated_spread": 0.0966, "executable_entry": 322.04, "execution_liquidity_bucket": "large_liquid", "factor_exposure_after": {"Energy": 13090.22}, "factor_exposure_before": {"Energy": 13090.22}, "factor_exposure_cap": 7000.0, "factor_exposure_limit_exceeded": false, "factor_tags": ["Industrials"], "final_action": "SKIP", "gross_reward_1_per_share": 0.0, "gross_reward_2_per_share": 0.0, "gross_risk_per_share": 322.04, "gross_rr": 0.0, "gross_rr_1": 0.0, "gross_rr_2": 0.0, "gross_rr_decision": 0.0, "highest_correlation_ticker": "XOM", "highest_correlation_value": -0.4248, "initial_action": "SKIP", "market_cap": 336476934278.11,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322.3137, "net_reward_1_per_share": 0.0, "net_reward_2_per_share": 0.0, "net_risk_per_share": 322.5875, "net_rr": 0.0, "net_rr_1": 0.0, "net_rr_2": 0.0, "net_stop_assumption": -0.2737, "net_target_1_assumption": -0.161, "net_target_2_assumption": -0.161, "normalized_atr_score": 100.0, "normalized_liquidity_score": 44.75, "normalized_momentum_score": 58.46, "normalized_quality_score": 64.73,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322.04,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66.6, "setup_score": 0.0, "setup_type": "No Trade", "sizing_adjustment_reason": "", "spread_source": "liquidity_fallback", "stock_score": 0.0, "stop_loss": 0.0, "target_1": null, "target_1_atr_distance": 0.0, "target_2": null, "target_2_atr_distance": 0.0, "target_feasibility_status": "UNKNOWN", "theoretical_entry": 322.04, "ticker": "GE", "timestamp": "2026-06-08T21:14:42", "warnings": ["Target ATR feasibility unavailable."]}</t>
        </is>
      </c>
    </row>
    <row r="352">
      <c r="A352" t="inlineStr">
        <is>
          <t>2026-06-08T21:14:42</t>
        </is>
      </c>
      <c r="B352" t="inlineStr">
        <is>
          <t>ABBV</t>
        </is>
      </c>
      <c r="C352" t="inlineStr">
        <is>
          <t>No Trade</t>
        </is>
      </c>
      <c r="D352" t="n">
        <v>0</v>
      </c>
      <c r="E352" t="n">
        <v>223.07</v>
      </c>
      <c r="H352" t="n">
        <v>0</v>
      </c>
      <c r="K352" t="n">
        <v>0</v>
      </c>
      <c r="L352" t="inlineStr">
        <is>
          <t>No clean technical setup detected. Price in middle of value area or poor risk/reward.</t>
        </is>
      </c>
      <c r="M352" t="inlineStr">
        <is>
          <t>SKIP</t>
        </is>
      </c>
      <c r="N352" t="inlineStr">
        <is>
          <t>SKIP: No Trade result. Market regime NEUTRAL; sector NEUTRAL; net R/R 0.00.</t>
        </is>
      </c>
      <c r="O352" t="inlineStr">
        <is>
          <t>ABBV
No Trade
0.00
score
Price
223.07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206.23 - 209.09
Swing Low
200.02
Swing High
220.01
Click chart to open full size</t>
        </is>
      </c>
      <c r="P352" t="inlineStr">
        <is>
          <t>agent_results/charts/market_lens_agent_20260608_210745_abbv.png</t>
        </is>
      </c>
      <c r="Q352" t="inlineStr">
        <is>
          <t>Smart Universe: broad liquid US universe, diversified by sector | Sector: Healthcare - Neutral (66/100); XLV sector regime is neutral: 0.1% 3m return, -9.4% vs SPY | Setup: No Trade; score 0.00; R/R 0.00x; price 223.07 | Market: NEUTRAL; Sector regime: NEUTRAL; Net R/R: 0.00; Factors: Defensive, Healthcare | Agent action: SKIP - SKIP: No Trade result. Market regime NEUTRAL; sector NEUTRAL; net R/R 0.00.</t>
        </is>
      </c>
      <c r="R352" t="inlineStr">
        <is>
          <t>{"adjusted_cash_out": 0.0, "adjusted_position_size": 0, "adjusted_risk_amount": 0.0, "ask": 0.0, "bid": 0.0, "buy_zone_high": null, "buy_zone_low": null, "cash_available": 87010.85, "company_name": "AbbVie Inc.", "correlation_warning": false, "days_to_earnings": 38, "earnings_blackout": false, "earnings_date": "2026-07-30T00:00:00", "estimated_fees": 0.0, "estimated_slippage": 0.3123, "estimated_spread": 0.0669, "executable_entry": 223.07, "execution_liquidity_bucket": "large_liquid", "factor_exposure_after": {"Energy": 13090.22}, "factor_exposure_before": {"Energy": 13090.22}, "factor_exposure_cap": 7000.0, "factor_exposure_limit_exceeded": false, "factor_tags": ["Defensive", "Healthcare"], "final_action": "SKIP", "gross_reward_1_per_share": 0.0, "gross_reward_2_per_share": 0.0, "gross_risk_per_share": 223.07, "gross_rr": 0.0, "gross_rr_1": 0.0, "gross_rr_2": 0.0, "gross_rr_decision": 0.0, "highest_correlation_ticker": "XOM", "highest_correlation_value": -0.0422, "initial_action": "SKIP", "market_cap": 394118487520.85,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2.5, "net_entry": 223.2596, "net_reward_1_per_share": 0.0, "net_reward_2_per_share": 0.0, "net_risk_per_share": 223.4492, "net_rr": 0.0, "net_rr_1": 0.0, "net_rr_2": 0.0, "net_stop_assumption": -0.1896, "net_target_1_assumption": -0.1115, "net_target_2_assumption": -0.1115, "normalized_atr_score": 100.0, "normalized_liquidity_score": 39.46, "normalized_momentum_score": 63.77, "normalized_quality_score": 65.53,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223.07, "prior_high_20": 0.0, "prior_high_63": 0.0, "reason": "SKIP: No Trade result. Market regime NEUTRAL; sector NEUTRAL;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"NEUTRAL", "sector_score": 66.15, "setup_score": 0.0, "setup_type": "No Trade", "sizing_adjustment_reason": "", "spread_source": "liquidity_fallback", "stock_score": 0.0, "stop_loss": 0.0, "target_1": null, "target_1_atr_distance": 0.0, "target_2": null, "target_2_atr_distance": 0.0, "target_feasibility_status": "UNKNOWN", "theoretical_entry": 223.07, "ticker": "ABBV", "timestamp": "2026-06-08T21:14:42", "warnings": ["Target ATR feasibility unavailable."]}</t>
        </is>
      </c>
    </row>
    <row r="353">
      <c r="A353" t="inlineStr">
        <is>
          <t>2026-06-08T21:14:42</t>
        </is>
      </c>
      <c r="B353" t="inlineStr">
        <is>
          <t>NOW</t>
        </is>
      </c>
      <c r="C353" t="inlineStr">
        <is>
          <t>No Trade</t>
        </is>
      </c>
      <c r="D353" t="n">
        <v>0</v>
      </c>
      <c r="E353" t="n">
        <v>114.19</v>
      </c>
      <c r="H353" t="n">
        <v>0</v>
      </c>
      <c r="K353" t="n">
        <v>0</v>
      </c>
      <c r="L353" t="inlineStr">
        <is>
          <t>No clean technical setup detected. Price in middle of value area or poor risk/reward.</t>
        </is>
      </c>
      <c r="M353" t="inlineStr">
        <is>
          <t>SKIP</t>
        </is>
      </c>
      <c r="N353" t="inlineStr">
        <is>
          <t>SKIP: No Trade result. Market regime NEUTRAL; sector STRONG; net R/R 0.00.</t>
        </is>
      </c>
      <c r="O353" t="inlineStr">
        <is>
          <t>NOW
No Trade
0.00
score
Price
114.19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95.14
Fib Zone
93.25 - 97.03
Swing Low
85.44
Swing High
110.83
Click chart to open full size</t>
        </is>
      </c>
      <c r="P353" t="inlineStr">
        <is>
          <t>agent_results/charts/market_lens_agent_20260608_210745_now.png</t>
        </is>
      </c>
      <c r="Q353" t="inlineStr">
        <is>
          <t>Smart Universe: broad liquid US universe, diversified by sector | Sector: Technology - Strong (97/100); XLK sector regime is strong: 31.9% 3m return, 22.5% vs SPY | Setup: No Trade; score 0.00; R/R 0.00x; price 114.19 | Market: NEUTRAL; Sector regime: STRONG; Net R/R: 0.00; Factors: High Beta Growth, Technology | Agent action: SKIP - SKIP: No Trade result. Market regime NEUTRAL; sector STRONG; net R/R 0.00.</t>
        </is>
      </c>
      <c r="R353" t="inlineStr">
        <is>
          <t>{"adjusted_cash_out": 0.0, "adjusted_position_size": 0, "adjusted_risk_amount": 0.0, "ask": 0.0, "bid": 0.0, "buy_zone_high": null, "buy_zone_low": null, "cash_available": 87010.85, "company_name": "ServiceNow, Inc.", "correlation_warning": false, "days_to_earnings": 32, "earnings_blackout": false, "earnings_date": "2026-07-22T00:00:00", "estimated_fees": 0.0, "estimated_slippage": 0.1838, "estimated_spread": 0.0343, "executable_entry": 114.19, "execution_liquidity_bucket": "large_liquid", "factor_exposure_after": {"Energy": 13090.22}, "factor_exposure_before": {"Energy": 13090.22}, "factor_exposure_cap": 7000.0, "factor_exposure_limit_exceeded": false, "factor_tags": ["High Beta Growth", "Technology"], "final_action": "SKIP", "gross_reward_1_per_share": 0.0, "gross_reward_2_per_share": 0.0, "gross_risk_per_share": 114.19, "gross_rr": 0.0, "gross_rr_1": 0.0, "gross_rr_2": 0.0, "gross_rr_decision": 0.0, "highest_correlation_ticker": "APA", "highest_correlation_value": 0.0875, "initial_action": "SKIP", "market_cap": 117765063037.84,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"UNKNOWN", "minimum_net_rr_required": 2.2, "net_entry": 114.2991, "net_reward_1_per_share": 0.0, "net_reward_2_per_share": 0.0, "net_risk_per_share": 114.4081, "net_rr": 0.0, "net_rr_1": 0.0, "net_rr_2": 0.0, "net_stop_assumption": -0.1091, "net_target_1_assumption": -0.0631, "net_target_2_assumption": -0.0631, "normalized_atr_score": 89.93, "normalized_liquidity_score": 100, "normalized_momentum_score": 83.74, "normalized_quality_score": 90.17,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0.0, "price": 114.19,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97.43, "setup_score": 0.0, "setup_type": "No Trade", "sizing_adjustment_reason": "", "spread_source": "liquidity_fallback", "stock_score": 0.0, "stop_loss": 0.0, "target_1": null, "target_1_atr_distance": 0.0, "target_2": null, "target_2_atr_distance": 0.0, "target_feasibility_status": "UNKNOWN", "theoretical_entry": 114.19, "ticker": "NOW", "timestamp": "2026-06-08T21:14:42", "warnings": ["Target ATR feasibility unavailable."]}</t>
        </is>
      </c>
    </row>
    <row r="354">
      <c r="A354" t="inlineStr">
        <is>
          <t>2026-06-09T16:59:50</t>
        </is>
      </c>
      <c r="B354" t="inlineStr">
        <is>
          <t>ORCL</t>
        </is>
      </c>
      <c r="C354" t="inlineStr">
        <is>
          <t>Breakout + Retest</t>
        </is>
      </c>
      <c r="D354" t="n">
        <v>0.4</v>
      </c>
      <c r="E354" t="n">
        <v>199.34</v>
      </c>
      <c r="F354" t="n">
        <v>187.64</v>
      </c>
      <c r="G354" t="n">
        <v>200.71</v>
      </c>
      <c r="H354" t="n">
        <v>181.11</v>
      </c>
      <c r="I354" t="n">
        <v>219.06</v>
      </c>
      <c r="J354" t="n">
        <v>250.25</v>
      </c>
      <c r="K354" t="n">
        <v>1.68</v>
      </c>
      <c r="L354" t="inlineStr">
        <is>
          <t>Price (199.34) retesting broken resistance (200.71) as support. Breakout on 2026-05-28 with 1.3× avg volume. Entry at 199.34, stop at 181.11.</t>
        </is>
      </c>
      <c r="M354" t="inlineStr">
        <is>
          <t>WATCH</t>
        </is>
      </c>
      <c r="N354" t="inlineStr">
        <is>
          <t>WATCH: Technical setup detected, but weighted risk/reward 1.68 is below minimum 2.00. Market regime NEUTRAL; sector STRONG; net R/R 1.57.</t>
        </is>
      </c>
      <c r="O354" t="inlineStr">
        <is>
          <t>ORCL
Breakout + Retest
0.40
score
Price
199.34
R/R
1.68x
Grade
B
Quality
78%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(199.34) retesting broken resistance (200.71) as support. Breakout on 2026-05-28 with 1.3× avg volume. Entry at 199.34, stop at 181.11.
Fib 61.8
206.09
Fib Zone
202.83 - 209.36
Swing Low
178.80
Swing High
250.25
Save setup
Click chart to open full size</t>
        </is>
      </c>
      <c r="P354" t="inlineStr">
        <is>
          <t>agent_results/charts/market_lens_agent_20260609_164637_orcl.png</t>
        </is>
      </c>
      <c r="Q354" t="inlineStr">
        <is>
          <t>Smart Universe: broad liquid US universe, diversified by sector | Sector: Technology - Strong (71/100); XLK sector regime is strong: 24.7% 3m return, 17.0% vs SPY | Setup: Breakout + Retest; score 0.40; R/R 1.68x; price 199.34 | Market: NEUTRAL; Sector regime: STRONG; Net R/R: 1.57; Factors: Technology | Agent action: WATCH - WATCH: Technical setup detected, but weighted risk/reward 1.68 is below minimum 2.00. Market regime NEUTRAL; sector STRONG; net R/R 1.57.</t>
        </is>
      </c>
      <c r="R354" t="inlineStr">
        <is>
          <t>{"adjusted_cash_out": 0.0, "adjusted_position_size": 0, "adjusted_risk_amount": 0.0, "ask": 0.0, "bid": 0.0, "buy_zone_high": 200.71, "buy_zone_low": 187.64, "cash_available": 99725.38, "company_name": "Oracle Corporation", "correlation_warning": false, "days_to_earnings": 1, "earnings_blackout": true, "earnings_date": "2026-06-10T00:00:00", "estimated_fees": 0.0, "estimated_slippage": 0.7794, "estimated_spread": 0.0598, "executable_entry": 199.34, "execution_liquidity_bucket": "large_liquid", "factor_exposure_after": {}, "factor_exposure_before": {}, "factor_exposure_cap": 7000.0, "factor_exposure_limit_exceeded": false, "factor_tags": ["Technology"], "final_action": "WATCH", "gross_reward_1_per_share": 19.72, "gross_reward_2_per_share": 50.91, "gross_risk_per_share": 18.23, "gross_rr": 1.6806, "gross_rr_1": 1.0817, "gross_rr_2": 2.7926, "gross_rr_decision": 1.6806, "highest_correlation_ticker": "", "highest_correlation_value": null, "initial_action": "WATCH", "market_cap": 577222423423.0,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199.7596, "net_reward_1_per_share": 19.0756, "net_reward_2_per_share": 50.2656, "net_risk_per_share": 19.0692, "net_rr": 1.5728, "net_rr_1": 1.0003, "net_rr_2": 2.636, "net_stop_assumption": 180.6904, "net_target_1_assumption": 218.8352, "net_target_2_assumption": 250.0252, "normalized_atr_score": 82.18, "normalized_liquidity_score": 75.16, "normalized_momentum_score": 100, "normalized_quality_score": 88.09,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250.25, "price": 199.34, "prior_high_20": 250.25, "prior_high_63": 250.25, "reason": "WATCH: Technical setup detected, but weighted risk/reward 1.68 is below minimum 2.00. Market regime NEUTRAL; sector STRONG; net R/R 1.57.",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0.4, "setup_type": "Breakout + Retest", "sizing_adjustment_reason": "", "spread_source": "liquidity_fallback", "stock_score": 0.4, "stop_loss": 181.11, "target_1": 219.06, "target_1_atr_distance": 1.5092, "target_2": 250.25, "target_2_atr_distance": 3.8963, "target_feasibility_status": "OK", "theoretical_entry": 187.64, "ticker": "ORCL", "timestamp": "2026-06-09T16:59:50", "warnings": ["Earnings blackout active."]}</t>
        </is>
      </c>
    </row>
    <row r="355">
      <c r="A355" t="inlineStr">
        <is>
          <t>2026-06-09T16:59:50</t>
        </is>
      </c>
      <c r="B355" t="inlineStr">
        <is>
          <t>OXY</t>
        </is>
      </c>
      <c r="C355" t="inlineStr">
        <is>
          <t>Fib 61.8 Confluence Buy Zone</t>
        </is>
      </c>
      <c r="D355" t="n">
        <v>0.38</v>
      </c>
      <c r="E355" t="n">
        <v>56.54</v>
      </c>
      <c r="F355" t="n">
        <v>55.68</v>
      </c>
      <c r="G355" t="n">
        <v>56.6</v>
      </c>
      <c r="H355" t="n">
        <v>54.57</v>
      </c>
      <c r="I355" t="n">
        <v>57.12</v>
      </c>
      <c r="J355" t="n">
        <v>65.58</v>
      </c>
      <c r="K355" t="n">
        <v>1.8</v>
      </c>
      <c r="L355" t="inlineStr">
        <is>
          <t>Price at 61.8% fib retracement (56.14) with confluence at VWAP. Planned entry at zone low 55.68; executable entry 56.54, stop below fib 78.6% at 54.57.</t>
        </is>
      </c>
      <c r="M355" t="inlineStr">
        <is>
          <t>SKIP</t>
        </is>
      </c>
      <c r="N355" t="inlineStr">
        <is>
          <t>SKIP: Energy sector regime is weak (22/100); skip new entry. Market regime NEUTRAL; sector WEAK; net R/R 1.68.</t>
        </is>
      </c>
      <c r="O355" t="inlineStr">
        <is>
          <t>OXY
Fib 61.8 Confluence Buy Zone
0.38
score
Price
56.54
R/R
1.80x
Grade
B
Quality
65%
Buy Zone
55.68 - 56.60
Stop
54.57
Targets
57.12 / 65.58
Tradable if trigger confirms
Mixed
Relative Strength
Leadership
100%
Trend Quality
Messy
10%
Liquidity
Institutional liquidity
100%
Volume
Confirmed
80%
Trigger
Break above prior-day high at 58.16 after holding buy zone.
Invalidation
Exit if price closes below 54.57 or setup support fails.
Trend quality is not clean.
Market regime: Mixed.
Relative strength: Leadership.
Price at 61.8% fib retracement (56.14) with confluence at VWAP. Planned entry at zone low 55.68; executable entry 56.54, stop below fib 78.6% at 54.57.
Fib 61.8
56.14
Fib Zone
55.68 - 56.60
Swing Low
52.99
Swing High
61.24
Save setup
Click chart to open full size</t>
        </is>
      </c>
      <c r="P355" t="inlineStr">
        <is>
          <t>agent_results/charts/market_lens_agent_20260609_164637_oxy.png</t>
        </is>
      </c>
      <c r="Q355" t="inlineStr">
        <is>
          <t>Smart Universe: broad liquid US universe, diversified by sector | Sector: Energy - Weak (22/100); XLE sector regime is weak: 1.6% 3m return, -6.1% vs SPY | Setup: Fib 61.8 Confluence Buy Zone; score 0.38; R/R 1.80x; price 56.54 | Market: NEUTRAL; Sector regime: WEAK; Net R/R: 1.68; Factors: Energy | Agent action: SKIP - SKIP: Energy sector regime is weak (22/100); skip new entry. Market regime NEUTRAL; sector WEAK; net R/R 1.68.</t>
        </is>
      </c>
      <c r="R355" t="inlineStr">
        <is>
          <t>{"adjusted_cash_out": 0.0, "adjusted_position_size": 0, "adjusted_risk_amount": 0.0, "ask": 0.0, "bid": 0.0, "buy_zone_high": 56.6, "buy_zone_low": 55.68, "cash_available": 99725.38, "company_name": "Occidental Petroleum Corporation", "correlation_warning": false, "days_to_earnings": 41, "earnings_blackout": false, "earnings_date": "2026-08-05T00:00:00", "estimated_fees": 0.0, "estimated_slippage": 0.0792, "estimated_spread": 0.017, "executable_entry": 56.54, "execution_liquidity_bucket": "large_liquid", "factor_exposure_after": {}, "factor_exposure_before": {}, "factor_exposure_cap": 7000.0, "factor_exposure_limit_exceeded": false, "factor_tags": ["Energy"], "final_action": "SKIP", "gross_reward_1_per_share": 0.58, "gross_reward_2_per_share": 9.04, "gross_risk_per_share": 1.97, "gross_rr": 1.7975, "gross_rr_1": 0.2944, "gross_rr_2": 4.5888, "gross_rr_decision": 1.7975, "highest_correlation_ticker": "", "highest_correlation_value": null, "initial_action": "SKIP", "market_cap": 56331134621.67,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56.5881, "net_reward_1_per_share": 0.5037, "net_reward_2_per_share": 8.9637, "net_risk_per_share": 2.0661, "net_rr": 1.6769, "net_rr_1": 0.2438, "net_rr_2": 4.3384, "net_stop_assumption": 54.5219, "net_target_1_assumption": 57.0917, "net_target_2_assumption": 65.5517, "normalized_atr_score": 100.0, "normalized_liquidity_score": 53.16, "normalized_momentum_score": 60.41, "normalized_quality_score": 68.13,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61.24, "price": 56.54, "prior_high_20": 61.24, "prior_high_63": 67.45, "reason": "SKIP: Energy sector regime is weak (22/100); skip new entry. Market regime NEUTRAL; sector WEAK; net R/R 1.68.",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0.38, "setup_type": "Fib 61.8 Confluence Buy Zone", "sizing_adjustment_reason": "", "spread_source": "liquidity_fallback", "stock_score": 0.38, "stop_loss": 54.57, "target_1": 57.12, "target_1_atr_distance": 0.3143, "target_2": 65.58, "target_2_atr_distance": 4.8987, "target_feasibility_status": "LOW_REWARD_DISTANCE", "theoretical_entry": 55.68, "ticker": "OXY", "timestamp": "2026-06-09T16:59:50", "warnings": ["Target 1 is close versus daily ATR."]}</t>
        </is>
      </c>
    </row>
    <row r="356">
      <c r="A356" t="inlineStr">
        <is>
          <t>2026-06-09T16:59:50</t>
        </is>
      </c>
      <c r="B356" t="inlineStr">
        <is>
          <t>TXN</t>
        </is>
      </c>
      <c r="C356" t="inlineStr">
        <is>
          <t>Breakout + Retest</t>
        </is>
      </c>
      <c r="D356" t="n">
        <v>0.38</v>
      </c>
      <c r="E356" t="n">
        <v>275.95</v>
      </c>
      <c r="F356" t="n">
        <v>273.36</v>
      </c>
      <c r="G356" t="n">
        <v>286.37</v>
      </c>
      <c r="H356" t="n">
        <v>266.86</v>
      </c>
      <c r="I356" t="n">
        <v>286.37</v>
      </c>
      <c r="J356" t="n">
        <v>310.84</v>
      </c>
      <c r="K356" t="n">
        <v>2.09</v>
      </c>
      <c r="L356" t="inlineStr">
        <is>
          <t>Price (275.95) retesting broken resistance (286.37) as support. Breakout on 2026-05-06 with 1.2× avg volume. Entry at 275.95, stop at 266.86.</t>
        </is>
      </c>
      <c r="M356" t="inlineStr">
        <is>
          <t>WATCH</t>
        </is>
      </c>
      <c r="N356" t="inlineStr">
        <is>
          <t>WATCH: Neutral market requires stronger setup score (0.38 &lt; 0.45).</t>
        </is>
      </c>
      <c r="O356" t="inlineStr">
        <is>
          <t>TXN
Breakout + Retest
0.38
score
Price
275.95
R/R
2.09x
Grade
B
Quality
74%
Buy Zone
273.36 - 286.37
Stop
266.86
Targets
286.37 / 310.84
Tradable if trigger confirms
Mixed
Relative Strength
Leadership
100%
Trend Quality
Constructive
68%
Liquidity
Institutional liquidity
100%
Volume
Distribution risk
45%
Trigger
Close above 295.58 or reclaim of broken resistance.
Invalidation
Exit if price closes below 266.86 or setup support fails.
Recent volume shows distribution risk.
Market regime: Mixed.
Relative strength: Leadership.
Price (275.95) retesting broken resistance (286.37) as support. Breakout on 2026-05-06 with 1.2× avg volume. Entry at 275.95, stop at 266.86.
Fib 61.8
223.12
Fib Zone
219.86 - 226.37
Swing Low
184.01
Swing High
286.37
Save setup
Click chart to open full size</t>
        </is>
      </c>
      <c r="P356" t="inlineStr">
        <is>
          <t>agent_results/charts/market_lens_agent_20260609_164637_txn.png</t>
        </is>
      </c>
      <c r="Q356" t="inlineStr">
        <is>
          <t>Smart Universe: broad liquid US universe, diversified by sector | Sector: Technology - Strong (71/100); XLK sector regime is strong: 24.7% 3m return, 17.0% vs SPY | Setup: Breakout + Retest; score 0.38; R/R 2.09x; price 275.95 | Market: NEUTRAL; Sector regime: STRONG; Net R/R: 1.80; Factors: AI / Semiconductors, Technology | Agent action: WATCH - WATCH: Neutral market requires stronger setup score (0.38 &lt; 0.45).</t>
        </is>
      </c>
      <c r="R356" t="inlineStr">
        <is>
          <t>{"adjusted_cash_out": 5794.95, "adjusted_position_size": 21, "adjusted_risk_amount": 190.89, "ask": 0.0, "bid": 0.0, "buy_zone_high": 286.37, "buy_zone_low": 273.36, "cash_available": 99725.38, "company_name": "Texas Instruments Incorporated", "correlation_warning": false, "days_to_earnings": 31, "earnings_blackout": false, "earnings_date": "2026-07-22T00:00:00", "estimated_fees": 0.0, "estimated_slippage": 0.9382, "estimated_spread": 0.0828, "executable_entry": 275.95, "execution_liquidity_bucket": "large_liquid", "factor_exposure_after": {"AI / Semiconductors": 5794.95, "Technology": 5794.95}, "factor_exposure_before": {}, "factor_exposure_cap": 7000.0, "factor_exposure_limit_exceeded": false, "factor_tags": ["AI / Semiconductors", "Technology"], "final_action": "WATCH", "gross_reward_1_per_share": 10.42, "gross_reward_2_per_share": 34.89, "gross_risk_per_share": 9.09, "gross_rr": 2.0885, "gross_rr_1": 1.1463, "gross_rr_2": 3.8383, "gross_rr_decision": 2.0885, "highest_correlation_ticker": "", "highest_correlation_value": null, "initial_action": "BUY_SIMULATED", "market_cap": 253005795898.0,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276.4605, "net_reward_1_per_share": 9.6335, "net_reward_2_per_share": 34.1035, "net_risk_per_share": 10.111, "net_rr": 1.7998, "net_rr_1": 0.9528, "net_rr_2": 3.3729, "net_stop_assumption": 266.3495, "net_target_1_assumption": 286.0941, "net_target_2_assumption": 310.5641, "normalized_atr_score": 100.0, "normalized_liquidity_score": 57.1, "normalized_momentum_score": 100, "normalized_quality_score": 87.13, "original_cash_out": 9934.2, "original_position_size": 36, "original_risk_amount": 327.24, "portfolio_exposure_after": 0, "portfolio_exposure_before": 0, "position_size": 0, "position_size_adjusted": true, "position_sizing_explanation": "Base position sizing produced a candidate trade, but the risk transparency layer blocked the new buy. Candidate size: 21 shares, cash 5794.95, risk 190.89.", "previous_resistance": 331.51, "price": 275.95, "prior_high_20": 331.51, "prior_high_63": 331.51, "reason": "WATCH: Neutral market requires stronger setup score (0.38 &lt; 0.45).", "risk_amount": 0.0, "scan_source": "Smart Universe: broad liquid US universe filtered and diversified by the Market Lens UI.", "sector": "Technology", "sector_etf": "XLK", "sector_exposure_after": 5794.95, "sector_exposure_before": 0.0, "sector_exposure_cap": 6000.0, "sector_exposure_limit_exceeded": false, "sector_regime": "STRONG", "sector_score": 70.74, "setup_score": 0.38, "setup_type": "Breakout + Retest", "sizing_adjustment_reason": "Position size reduced by Technology sector exposure cap (36 -&gt; 21 shares).", "spread_source": "liquidity_fallback", "stock_score": 0.38, "stop_loss": 266.86, "target_1": 286.37, "target_1_atr_distance": 0.8008, "target_2": 310.84, "target_2_atr_distance": 2.6813, "target_feasibility_status": "OK", "theoretical_entry": 273.36, "ticker": "TXN", "timestamp": "2026-06-09T16:59:50", "warnings": ["Position size reduced by Technology sector exposure cap (36 -&gt; 21 shares).", "Gross R/R is valid, but Net R/R 1.80 failed minimum 2.20 after slippage/spread adjustment."]}</t>
        </is>
      </c>
    </row>
    <row r="357">
      <c r="A357" t="inlineStr">
        <is>
          <t>2026-06-09T16:59:50</t>
        </is>
      </c>
      <c r="B357" t="inlineStr">
        <is>
          <t>PH</t>
        </is>
      </c>
      <c r="C357" t="inlineStr">
        <is>
          <t>Breakout + Retest</t>
        </is>
      </c>
      <c r="D357" t="n">
        <v>0.36</v>
      </c>
      <c r="E357" t="n">
        <v>886.79</v>
      </c>
      <c r="F357" t="n">
        <v>857.46</v>
      </c>
      <c r="G357" t="n">
        <v>880</v>
      </c>
      <c r="H357" t="n">
        <v>846.1900000000001</v>
      </c>
      <c r="I357" t="n">
        <v>903.96</v>
      </c>
      <c r="J357" t="n">
        <v>1026.68</v>
      </c>
      <c r="K357" t="n">
        <v>1.48</v>
      </c>
      <c r="L357" t="inlineStr">
        <is>
          <t>Price (886.79) retesting broken resistance (880.00) as support. Breakout on 2026-06-05 with 1.2× avg volume. Entry at 886.79, stop at 846.19.</t>
        </is>
      </c>
      <c r="M357" t="inlineStr">
        <is>
          <t>WATCH</t>
        </is>
      </c>
      <c r="N357" t="inlineStr">
        <is>
          <t>WATCH: Technical setup detected, but weighted risk/reward 1.48 is below minimum 2.00. Market regime NEUTRAL; sector NEUTRAL; net R/R 1.31.</t>
        </is>
      </c>
      <c r="O357" t="inlineStr">
        <is>
          <t>PH
Breakout + Retest
0.36
score
Price
886.79
R/R
1.48x
Grade
C
Quality
64%
Buy Zone
857.46 - 880.00
Stop
846.19
Targets
903.96 / 1026.68
Watch only; needs confirmation
Mixed
Relative Strength
Leadership
100%
Trend Quality
Messy
18%
Liquidity
Institutional liquidity
100%
Volume
Neutral
65%
Trigger
Close above 892.52 or reclaim of broken resistance.
Invalidation
Exit if price closes below 846.19 or setup support fails.
Trend quality is not clean.
Market regime: Mixed.
Relative strength: Leadership.
Price (886.79) retesting broken resistance (880.00) as support. Breakout on 2026-06-05 with 1.2× avg volume. Entry at 886.79, stop at 846.19.
Fib 61.8
921.68
Fib Zone
916.05 - 927.32
Swing Low
856.78
Swing High
1026.68
Save setup
Click chart to open full size</t>
        </is>
      </c>
      <c r="P357" t="inlineStr">
        <is>
          <t>agent_results/charts/market_lens_agent_20260609_164637_ph.png</t>
        </is>
      </c>
      <c r="Q357" t="inlineStr">
        <is>
          <t>Smart Universe: broad liquid US universe, diversified by sector | Sector: Industrials - Neutral (46/100); XLI sector regime is neutral: 2.0% 3m return, -5.7% vs SPY | Setup: Breakout + Retest; score 0.36; R/R 1.48x; price 886.79 | Market: NEUTRAL; Sector regime: NEUTRAL; Net R/R: 1.31; Factors: Industrials | Agent action: WATCH - WATCH: Technical setup detected, but weighted risk/reward 1.48 is below minimum 2.00. Market regime NEUTRAL; sector NEUTRAL; net R/R 1.31.</t>
        </is>
      </c>
      <c r="R357" t="inlineStr">
        <is>
          <t>{"adjusted_cash_out": 0.0, "adjusted_position_size": 0, "adjusted_risk_amount": 0.0, "ask": 0.0, "bid": 0.0, "buy_zone_high": 880.0, "buy_zone_low": 857.46, "cash_available": 99725.38, "company_name": "Parker Hannifin Corporation", "correlation_warning": false, "days_to_earnings": 42, "earnings_blackout": false, "earnings_date": "2026-08-06T00:00:00", "estimated_fees": 0.0, "estimated_slippage": 3.0151, "estimated_spread": 0.266, "executable_entry": 886.79, "execution_liquidity_bucket": "large_liquid", "factor_exposure_after": {}, "factor_exposure_before": {}, "factor_exposure_cap": 7000.0, "factor_exposure_limit_exceeded": false, "factor_tags": ["Industrials"], "final_action": "WATCH", "gross_reward_1_per_share": 17.17, "gross_reward_2_per_share": 139.89, "gross_risk_per_share": 40.6, "gross_rr": 1.4808, "gross_rr_1": 0.4229, "gross_rr_2": 3.4456, "gross_rr_decision": 1.4808, "highest_correlation_ticker": "", "highest_correlation_value": null, "initial_action": "WATCH", "market_cap": 111908604065.41,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888.4306, "net_reward_1_per_share": 14.6426, "net_reward_2_per_share": 137.3626, "net_risk_per_share": 43.8811, "net_rr": 1.3125, "net_rr_1": 0.3337, "net_rr_2": 3.1303, "net_stop_assumption": 844.5494, "net_target_1_assumption": 903.0732, "net_target_2_assumption": 1025.7932, "normalized_atr_score": 100.0, "normalized_liquidity_score": 56.12, "normalized_momentum_score": 35.09, "normalized_quality_score": 57.63,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898.98, "price": 886.79, "prior_high_20": 898.98, "prior_high_63": 1026.6794, "reason": "WATCH: Technical setup detected, but weighted risk/reward 1.48 is below minimum 2.00. Market regime NEUTRAL; sector NEUTRAL; net R/R 1.31.",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0.36, "setup_type": "Breakout + Retest", "sizing_adjustment_reason": "", "spread_source": "liquidity_fallback", "stock_score": 0.36, "stop_loss": 846.19, "target_1": 903.96, "target_1_atr_distance": 0.7618, "target_2": 1026.68, "target_2_atr_distance": 6.2067, "target_feasibility_status": "OK", "theoretical_entry": 857.46, "ticker": "PH", "timestamp": "2026-06-09T16:59:50", "warnings": []}</t>
        </is>
      </c>
    </row>
    <row r="358">
      <c r="A358" t="inlineStr">
        <is>
          <t>2026-06-09T16:59:50</t>
        </is>
      </c>
      <c r="B358" t="inlineStr">
        <is>
          <t>V</t>
        </is>
      </c>
      <c r="C358" t="inlineStr">
        <is>
          <t>Fib 61.8 Confluence Buy Zone</t>
        </is>
      </c>
      <c r="D358" t="n">
        <v>0.34</v>
      </c>
      <c r="E358" t="n">
        <v>324.05</v>
      </c>
      <c r="F358" t="n">
        <v>321.24</v>
      </c>
      <c r="G358" t="n">
        <v>324.8</v>
      </c>
      <c r="H358" t="n">
        <v>319</v>
      </c>
      <c r="I358" t="n">
        <v>325.34</v>
      </c>
      <c r="J358" t="n">
        <v>338.49</v>
      </c>
      <c r="K358" t="n">
        <v>1.17</v>
      </c>
      <c r="L358" t="inlineStr">
        <is>
          <t>Price at 61.8% fib retracement (323.02) with confluence at VWAP. Planned entry at zone low 321.24; executable entry 324.05, stop below fib 78.6% at 319.00.</t>
        </is>
      </c>
      <c r="M358" t="inlineStr">
        <is>
          <t>WATCH</t>
        </is>
      </c>
      <c r="N358" t="inlineStr">
        <is>
          <t>WATCH: Technical setup detected, but weighted risk/reward 1.17 is below minimum 2.00. Market regime NEUTRAL; sector STRONG; net R/R 0.97.</t>
        </is>
      </c>
      <c r="O358" t="inlineStr">
        <is>
          <t>V
Fib 61.8 Confluence Buy Zone
0.34
score
Price
324.05
R/R
1.17x
Grade
D
Quality
50%
Buy Zone
321.24 - 324.80
Stop
319.00
Targets
325.34 / 338.49
Low-quality setup
Mixed
Relative Strength
Lagging
21%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358" t="inlineStr">
        <is>
          <t>agent_results/charts/market_lens_agent_20260609_164637_v.png</t>
        </is>
      </c>
      <c r="Q358" t="inlineStr">
        <is>
          <t>Smart Universe: broad liquid US universe, diversified by sector | Sector: Financials - Strong (72/100); XLF sector regime is strong: 5.6% 3m return, -2.1% vs SPY | Setup: Fib 61.8 Confluence Buy Zone; score 0.34; R/R 1.17x; price 324.05 | Market: NEUTRAL; Sector regime: STRONG; Net R/R: 0.97; Factors: Financials | Agent action: WATCH - WATCH: Technical setup detected, but weighted risk/reward 1.17 is below minimum 2.00. Market regime NEUTRAL; sector STRONG; net R/R 0.97.</t>
        </is>
      </c>
      <c r="R358" t="inlineStr">
        <is>
          <t>{"adjusted_cash_out": 0.0, "adjusted_position_size": 0, "adjusted_risk_amount": 0.0, "ask": 0.0, "bid": 0.0, "buy_zone_high": 324.8, "buy_zone_low": 321.24, "cash_available": 99725.38, "company_name": "Visa Inc.", "correlation_warning": false, "days_to_earnings": 35, "earnings_blackout": false, "earnings_date": "2026-07-28T00:00:00", "estimated_fees": 0.0, "estimated_slippage": 0.4537, "estimated_spread": 0.0972, "executable_entry": 324.05, "execution_liquidity_bucket": "large_liquid", "factor_exposure_after": {}, "factor_exposure_before": {},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 "highest_correlation_value": null, "initial_action": "WATCH", "market_cap": 616355177187.32,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58.66, "normalized_momentum_score": 68.87, "normalized_quality_score": 73.59,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0.34, "setup_type": "Fib 61.8 Confluence Buy Zone", "sizing_adjustment_reason": "", "spread_source": "liquidity_fallback", "stock_score": 0.34, "stop_loss": 319.0, "target_1": 325.34, "target_1_atr_distance": 0.1814, "target_2": 338.49, "target_2_atr_distance": 2.0301, "target_feasibility_status": "LOW_REWARD_DISTANCE", "theoretical_entry": 321.24, "ticker": "V", "timestamp": "2026-06-09T16:59:50", "warnings": ["Target 1 is close versus daily ATR."]}</t>
        </is>
      </c>
    </row>
    <row r="359">
      <c r="A359" t="inlineStr">
        <is>
          <t>2026-06-09T16:59:50</t>
        </is>
      </c>
      <c r="B359" t="inlineStr">
        <is>
          <t>DLR</t>
        </is>
      </c>
      <c r="C359" t="inlineStr">
        <is>
          <t>Breakout + Retest</t>
        </is>
      </c>
      <c r="D359" t="n">
        <v>0.32</v>
      </c>
      <c r="E359" t="n">
        <v>184.07</v>
      </c>
      <c r="F359" t="n">
        <v>178.64</v>
      </c>
      <c r="G359" t="n">
        <v>182.95</v>
      </c>
      <c r="H359" t="n">
        <v>176.48</v>
      </c>
      <c r="I359" t="n">
        <v>187.42</v>
      </c>
      <c r="J359" t="n">
        <v>201.34</v>
      </c>
      <c r="K359" t="n">
        <v>1.08</v>
      </c>
      <c r="L359" t="inlineStr">
        <is>
          <t>Price (184.07) retesting broken resistance (182.95) as support. Breakout on 2026-04-08 with 2.2× avg volume. Volume confirmed breakout. Entry at 184.07, stop at 176.48.</t>
        </is>
      </c>
      <c r="M359" t="inlineStr">
        <is>
          <t>WATCH</t>
        </is>
      </c>
      <c r="N359" t="inlineStr">
        <is>
          <t>WATCH: Technical setup detected, but weighted risk/reward 1.08 is below minimum 2.00. Market regime NEUTRAL; sector STRONG; net R/R 0.85.</t>
        </is>
      </c>
      <c r="O359" t="inlineStr">
        <is>
          <t>DLR
Breakout + Retest
0.32
score
Price
184.07
R/R
1.08x
Grade
C
Quality
54%
Buy Zone
178.64 - 182.95
Stop
176.48
Targets
187.42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(184.07) retesting broken resistance (182.95) as support. Breakout on 2026-04-08 with 2.2× avg volume. Volume confirmed breakout. Entry at 184.07, stop at 176.48.
Fib 61.8
188.75
Fib Zone
187.67 - 189.83
Swing Low
184.95
Swing High
194.89
Save setup
Click chart to open full size</t>
        </is>
      </c>
      <c r="P359" t="inlineStr">
        <is>
          <t>agent_results/charts/market_lens_agent_20260609_164637_dlr.png</t>
        </is>
      </c>
      <c r="Q359" t="inlineStr">
        <is>
          <t>Smart Universe: broad liquid US universe, diversified by sector | Sector: Real Estate - Strong (73/100); XLRE sector regime is strong: 6.8% 3m return, -0.9% vs SPY | Setup: Breakout + Retest; score 0.32; R/R 1.08x; price 184.07 | Market: NEUTRAL; Sector regime: STRONG; Net R/R: 0.85; Factors: Real Estate | Agent action: WATCH - WATCH: Technical setup detected, but weighted risk/reward 1.08 is below minimum 2.00. Market regime NEUTRAL; sector STRONG; net R/R 0.85.</t>
        </is>
      </c>
      <c r="R359" t="inlineStr">
        <is>
          <t>{"adjusted_cash_out": 0.0, "adjusted_position_size": 0, "adjusted_risk_amount": 0.0, "ask": 0.0, "bid": 0.0, "buy_zone_high": 182.95, "buy_zone_low": 178.64, "cash_available": 99725.38, "company_name": "Digital Realty", "correlation_warning": false, "days_to_earnings": 32, "earnings_blackout": false, "earnings_date": "2026-07-23T00:00:00", "estimated_fees": 0.0, "estimated_slippage": 0.9204, "estimated_spread": 0.1473, "executable_entry": 184.07, "execution_liquidity_bucket": "mid_liquid", "factor_exposure_after": {}, "factor_exposure_before": {}, "factor_exposure_cap": 7000.0, "factor_exposure_limit_exceeded": false, "factor_tags": ["Real Estate"], "final_action": "WATCH", "gross_reward_1_per_share": 3.35, "gross_reward_2_per_share": 17.27, "gross_risk_per_share": 7.59, "gross_rr": 1.0833, "gross_rr_1": 0.4414, "gross_rr_2": 2.2754, "gross_rr_decision": 1.0833, "highest_correlation_ticker": "", "highest_correlation_value": null, "initial_action": "WATCH", "market_cap": 64764139773.41,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184.6038, "net_reward_1_per_share": 2.5125, "net_reward_2_per_share": 16.4325, "net_risk_per_share": 8.6576, "net_rr": 0.8529, "net_rr_1": 0.2902, "net_rr_2": 1.898, "net_stop_assumption": 175.9462, "net_target_1_assumption": 187.1163, "net_target_2_assumption": 201.0363, "normalized_atr_score": 100.0, "normalized_liquidity_score": 41.2, "normalized_momentum_score": 49.06, "normalized_quality_score": 59.44,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197.54, "price": 184.07, "prior_high_20": 197.54, "prior_high_63": 208.14, "reason": "WATCH: Technical setup detected, but weighted risk/reward 1.08 is below minimum 2.00. Market regime NEUTRAL; sector STRONG; net R/R 0.85.",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0.32, "setup_type": "Breakout + Retest", "sizing_adjustment_reason": "", "spread_source": "liquidity_fallback", "stock_score": 0.32, "stop_loss": 176.48, "target_1": 187.42, "target_1_atr_distance": 0.7765, "target_2": 201.34, "target_2_atr_distance": 4.0032, "target_feasibility_status": "OK", "theoretical_entry": 178.64, "ticker": "DLR", "timestamp": "2026-06-09T16:59:50", "warnings": []}</t>
        </is>
      </c>
    </row>
    <row r="360">
      <c r="A360" t="inlineStr">
        <is>
          <t>2026-06-09T16:59:50</t>
        </is>
      </c>
      <c r="B360" t="inlineStr">
        <is>
          <t>AMD</t>
        </is>
      </c>
      <c r="C360" t="inlineStr">
        <is>
          <t>Breakout + Retest</t>
        </is>
      </c>
      <c r="D360" t="n">
        <v>0.3</v>
      </c>
      <c r="E360" t="n">
        <v>441.96</v>
      </c>
      <c r="F360" t="n">
        <v>437.15</v>
      </c>
      <c r="G360" t="n">
        <v>469.22</v>
      </c>
      <c r="H360" t="n">
        <v>421.12</v>
      </c>
      <c r="I360" t="n">
        <v>469.22</v>
      </c>
      <c r="J360" t="n">
        <v>517.01</v>
      </c>
      <c r="K360" t="n">
        <v>2.11</v>
      </c>
      <c r="L360" t="inlineStr">
        <is>
          <t>Price (441.96) retesting broken resistance (469.22) as support. Breakout on 2026-05-26 with 0.9× avg volume. Entry at 441.96, stop at 421.12.</t>
        </is>
      </c>
      <c r="M360" t="inlineStr">
        <is>
          <t>WATCH</t>
        </is>
      </c>
      <c r="N360" t="inlineStr">
        <is>
          <t>WATCH: Neutral market requires stronger setup score (0.30 &lt; 0.45).</t>
        </is>
      </c>
      <c r="O360" t="inlineStr">
        <is>
          <t>AMD
Breakout + Retest
0.30
score
Price
441.96
R/R
2.11x
Grade
B
Quality
66%
Buy Zone
437.15 - 469.22
Stop
421.12
Targets
469.22 / 517.01
Tradable if trigger confirms
Mixed
Relative Strength
Lagging
42%
Trend Quality
Constructive
68%
Liquidity
Institutional liquidity
100%
Volume
Confirmed
80%
Trigger
Close above 494.97 or reclaim of broken resistance.
Invalidation
Exit if price closes below 421.12 or setup support fails.
Ticker is lagging major indices.
Market regime: Mixed.
Price (441.96) retesting broken resistance (469.22) as support. Breakout on 2026-05-26 with 0.9× avg volume. Entry at 441.96, stop at 421.12.
Fib 61.8
298.44
Fib Zone
290.42 - 306.45
Swing Low
192.87
Swing High
469.22
Save setup
Click chart to open full size</t>
        </is>
      </c>
      <c r="P360" t="inlineStr">
        <is>
          <t>agent_results/charts/market_lens_agent_20260609_164637_amd.png</t>
        </is>
      </c>
      <c r="Q360" t="inlineStr">
        <is>
          <t>Smart Universe: broad liquid US universe, diversified by sector | Sector: Technology - Strong (71/100); XLK sector regime is strong: 24.7% 3m return, 17.0% vs SPY | Setup: Breakout + Retest; score 0.30; R/R 2.11x; price 441.96 | Market: NEUTRAL; Sector regime: STRONG; Net R/R: 1.87; Factors: AI / Semiconductors, High Beta Growth, Technology | Agent action: WATCH - WATCH: Neutral market requires stronger setup score (0.30 &lt; 0.45).</t>
        </is>
      </c>
      <c r="R360" t="inlineStr">
        <is>
          <t>{"adjusted_cash_out": 5745.48, "adjusted_position_size": 13, "adjusted_risk_amount": 270.92, "ask": 0.0, "bid": 0.0, "buy_zone_high": 469.22, "buy_zone_low": 437.15, "cash_available": 99725.38, "company_name": "Advanced Micro Devices, Inc.", "correlation_warning": false, "days_to_earnings": 40, "earnings_blackout": false, "earnings_date": "2026-08-04T00:00:00", "estimated_fees": 0.0, "estimated_slippage": 1.7281, "estimated_spread": 0.1326, "executable_entry": 441.96, "execution_liquidity_bucket": "large_liquid", "factor_exposure_after": {"AI / Semiconductors": 5745.48, "High Beta Growth": 5745.48, "Technology": 5745.48}, "factor_exposure_before": {}, "factor_exposure_cap": 7000.0, "factor_exposure_limit_exceeded": false, "factor_tags": ["AI / Semiconductors", "High Beta Growth", "Technology"], "final_action": "WATCH", "gross_reward_1_per_share": 27.26, "gross_reward_2_per_share": 75.05, "gross_risk_per_share": 20.84, "gross_rr": 2.1107, "gross_rr_1": 1.3081, "gross_rr_2": 3.6012, "gross_rr_decision": 2.1107, "highest_correlation_ticker": "", "highest_correlation_value": null, "initial_action": "BUY_SIMULATED", "market_cap": 728063185313.5,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2.2, "net_entry": 442.8903, "net_reward_1_per_share": 25.8314, "net_reward_2_per_share": 73.6214, "net_risk_per_share": 22.7007, "net_rr": 1.8747, "net_rr_1": 1.1379, "net_rr_2": 3.2431, "net_stop_assumption": 420.1897, "net_target_1_assumption": 468.7217, "net_target_2_assumption": 516.5117, "normalized_atr_score": 75.19, "normalized_liquidity_score": 100, "normalized_momentum_score": 100, "normalized_quality_score": 93.8, "original_cash_out": 9723.12, "original_position_size": 22, "original_risk_amount": 458.48, "portfolio_exposure_after": 0, "portfolio_exposure_before": 0, "position_size": 0, "position_size_adjusted": true, "position_sizing_explanation": "Base position sizing produced a candidate trade, but the risk transparency layer blocked the new buy. Candidate size: 13 shares, cash 5745.48, risk 270.92.", "previous_resistance": 546.44, "price": 441.96, "prior_high_20": 546.44, "prior_high_63": 546.44, "reason": "WATCH: Neutral market requires stronger setup score (0.30 &lt; 0.45).", "risk_amount": 0.0, "scan_source": "Smart Universe: broad liquid US universe filtered and diversified by the Market Lens UI.", "sector": "Technology", "sector_etf": "XLK", "sector_exposure_after": 5745.48, "sector_exposure_before": 0.0, "sector_exposure_cap": 6000.0, "sector_exposure_limit_exceeded": false, "sector_regime": "STRONG", "sector_score": 70.74, "setup_score": 0.3, "setup_type": "Breakout + Retest", "sizing_adjustment_reason": "Position size reduced by Technology sector exposure cap (22 -&gt; 13 shares).", "spread_source": "liquidity_fallback", "stock_score": 0.3, "stop_loss": 421.12, "target_1": 469.22, "target_1_atr_distance": 0.8501, "target_2": 517.01, "target_2_atr_distance": 2.3404, "target_feasibility_status": "OK", "theoretical_entry": 437.15, "ticker": "AMD", "timestamp": "2026-06-09T16:59:50", "warnings": ["Position size reduced by Technology sector exposure cap (22 -&gt; 13 shares).", "Gross R/R is valid, but Net R/R 1.87 failed minimum 2.20 after slippage/spread adjustment."]}</t>
        </is>
      </c>
    </row>
    <row r="361">
      <c r="A361" t="inlineStr">
        <is>
          <t>2026-06-09T16:59:50</t>
        </is>
      </c>
      <c r="B361" t="inlineStr">
        <is>
          <t>LNG</t>
        </is>
      </c>
      <c r="C361" t="inlineStr">
        <is>
          <t>Swing Low + Volume Support Buy Zone</t>
        </is>
      </c>
      <c r="D361" t="n">
        <v>0.27</v>
      </c>
      <c r="E361" t="n">
        <v>238.62</v>
      </c>
      <c r="F361" t="n">
        <v>233.32</v>
      </c>
      <c r="G361" t="n">
        <v>239</v>
      </c>
      <c r="H361" t="n">
        <v>224.81</v>
      </c>
      <c r="I361" t="n">
        <v>249.27</v>
      </c>
      <c r="J361" t="n">
        <v>296.84</v>
      </c>
      <c r="K361" t="n">
        <v>1.98</v>
      </c>
      <c r="L361" t="inlineStr">
        <is>
          <t>Price is pulling into a recent swing-low support (235.45) that overlaps with a high-volume area (VAL at 236.23), creating structural + volume confluence. Liquidity sweep below swing low detected — wick and reclaim. Stop below 224.81.</t>
        </is>
      </c>
      <c r="M361" t="inlineStr">
        <is>
          <t>SKIP</t>
        </is>
      </c>
      <c r="N361" t="inlineStr">
        <is>
          <t>SKIP: Energy sector regime is weak (22/100); skip new entry. Market regime NEUTRAL; sector WEAK; net R/R 1.81.</t>
        </is>
      </c>
      <c r="O361" t="inlineStr">
        <is>
          <t>LNG
Swing Low + Volume Support Buy Zone
0.27
score
Price
238.62
R/R
1.98x
Grade
C
Quality
54%
Buy Zone
233.32 - 239.00
Stop
224.81
Targets
249.27 / 296.84
Watch only; needs confirmation
Mixed
Relative Strength
In line
69%
Trend Quality
Messy
18%
Liquidity
Institutional liquidity
100%
Volume
Distribution risk
30%
Trigger
Break above prior-day high at 240.34 after holding buy zone.
Invalidation
Exit if price closes below 224.81 or setup support fails.
Trend quality is not clean.
Recent volume shows distribution risk.
Market regime: Mixed.
Relative strength: In line.
Price is pulling into a recent swing-low support (235.45) that overlaps with a high-volume area (VAL at 236.23), creating structural + volume confluence. Liquidity sweep below swing low detected — wick and reclaim. Stop below 224.81.
Fib 61.8
241.67
Fib Zone
239.90 - 243.45
Swing Low
235.45
Swing High
251.73
Save setup
Click chart to open full size</t>
        </is>
      </c>
      <c r="P361" t="inlineStr">
        <is>
          <t>agent_results/charts/market_lens_agent_20260609_164637_lng.png</t>
        </is>
      </c>
      <c r="Q361" t="inlineStr">
        <is>
          <t>Smart Universe: broad liquid US universe, diversified by sector | Sector: Energy - Weak (22/100); XLE sector regime is weak: 1.6% 3m return, -6.1% vs SPY | Setup: Swing Low + Volume Support Buy Zone; score 0.27; R/R 1.98x; price 238.62 | Market: NEUTRAL; Sector regime: WEAK; Net R/R: 1.81; Factors: Energy | Agent action: SKIP - SKIP: Energy sector regime is weak (22/100); skip new entry. Market regime NEUTRAL; sector WEAK; net R/R 1.81.</t>
        </is>
      </c>
      <c r="R361" t="inlineStr">
        <is>
          <t>{"adjusted_cash_out": 0.0, "adjusted_position_size": 0, "adjusted_risk_amount": 0.0, "ask": 0.0, "bid": 0.0, "buy_zone_high": 239.0, "buy_zone_low": 233.32, "cash_available": 99725.38, "company_name": "Cheniere Energy, Inc.", "correlation_warning": false, "days_to_earnings": 42, "earnings_blackout": false, "earnings_date": "2026-08-06T00:00:00", "estimated_fees": 0.0, "estimated_slippage": 0.7159, "estimated_spread": 0.1909, "executable_entry": 238.62, "execution_liquidity_bucket": "mid_liquid", "factor_exposure_after": {}, "factor_exposure_before": {}, "factor_exposure_cap": 7000.0, "factor_exposure_limit_exceeded": false, "factor_tags": ["Energy"], "final_action": "SKIP", "gross_reward_1_per_share": 10.65, "gross_reward_2_per_share": 58.22, "gross_risk_per_share": 13.81, "gross_rr": 1.9768, "gross_rr_1": 0.7712, "gross_rr_2": 4.2158, "gross_rr_decision": 1.9768, "highest_correlation_ticker": "", "highest_correlation_value": null, "initial_action": "SKIP", "market_cap": 49965547917.52,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"SUPPORTED_BY_20D_RESISTANCE", "minimum_net_rr_required": 2.5, "net_entry": 239.0734, "net_reward_1_per_share": 9.9222, "net_reward_2_per_share": 57.4922, "net_risk_per_share": 14.7168, "net_rr": 1.8055, "net_rr_1": 0.6742, "net_rr_2": 3.9066, "net_stop_assumption": 224.3566, "net_target_1_assumption": 248.9956, "net_target_2_assumption": 296.5656, "normalized_atr_score": 100.0, "normalized_liquidity_score": 47.62, "normalized_momentum_score": 34.02, "normalized_quality_score": 54.59,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251.73, "price": 238.62, "prior_high_20": 251.73, "prior_high_63": 300.1945, "reason": "SKIP: Energy sector regime is weak (22/100); skip new entry. Market regime NEUTRAL; sector WEAK; net R/R 1.81.",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0.27, "setup_type": "Swing Low + Volume Support Buy Zone", "sizing_adjustment_reason": "", "spread_source": "liquidity_fallback", "stock_score": 0.27, "stop_loss": 224.81, "target_1": 249.27, "target_1_atr_distance": 1.4953, "target_2": 296.84, "target_2_atr_distance": 8.1741, "target_feasibility_status": "OK", "theoretical_entry": 233.32, "ticker": "LNG", "timestamp": "2026-06-09T16:59:50", "warnings": []}</t>
        </is>
      </c>
    </row>
    <row r="362">
      <c r="A362" t="inlineStr">
        <is>
          <t>2026-06-09T16:59:50</t>
        </is>
      </c>
      <c r="B362" t="inlineStr">
        <is>
          <t>UNH</t>
        </is>
      </c>
      <c r="C362" t="inlineStr">
        <is>
          <t>No Trade</t>
        </is>
      </c>
      <c r="D362" t="n">
        <v>0</v>
      </c>
      <c r="E362" t="n">
        <v>410.2</v>
      </c>
      <c r="H362" t="n">
        <v>0</v>
      </c>
      <c r="K362" t="n">
        <v>0</v>
      </c>
      <c r="L362" t="inlineStr">
        <is>
          <t>No clean technical setup detected. Price in middle of value area or poor risk/reward.</t>
        </is>
      </c>
      <c r="M362" t="inlineStr">
        <is>
          <t>SKIP</t>
        </is>
      </c>
      <c r="N362" t="inlineStr">
        <is>
          <t>SKIP: No Trade result. Market regime NEUTRAL; sector STRONG; net R/R 0.00.</t>
        </is>
      </c>
      <c r="O362" t="inlineStr">
        <is>
          <t>UNH
No Trade
0.00
score
Price
410.20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312.57
Fib Zone
310.10 - 315.05
Swing Low
255.97
Swing High
404.15
Click chart to open full size</t>
        </is>
      </c>
      <c r="P362" t="inlineStr">
        <is>
          <t>agent_results/charts/market_lens_agent_20260609_164637_unh.png</t>
        </is>
      </c>
      <c r="Q362" t="inlineStr">
        <is>
          <t>Smart Universe: broad liquid US universe, diversified by sector | Sector: Healthcare - Strong (69/100); XLV sector regime is strong: 1.2% 3m return, -6.5% vs SPY | Setup: No Trade; score 0.00; R/R 0.00x; price 410.20 | Market: NEUTRAL; Sector regime: STRONG; Net R/R: 0.00; Factors: Defensive, Healthcare | Agent action: SKIP - SKIP: No Trade result. Market regime NEUTRAL; sector STRONG; net R/R 0.00.</t>
        </is>
      </c>
      <c r="R362" t="inlineStr">
        <is>
          <t>{"adjusted_cash_out": 0.0, "adjusted_position_size": 0, "adjusted_risk_amount": 0.0, "ask": 0.0, "bid": 0.0, "buy_zone_high": null, "buy_zone_low": null, "cash_available": 99725.38, "company_name": "UnitedHealth Group Incorporated", "correlation_warning": false, "days_to_earnings": 35, "earnings_blackout": false, "earnings_date": "2026-07-28T00:00:00", "estimated_fees": 0.0, "estimated_slippage": 0.5743, "estimated_spread": 0.1231, "executable_entry": 410.2,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410.2, "gross_rr": 0.0, "gross_rr_1": 0.0, "gross_rr_2": 0.0, "gross_rr_decision": 0.0, "highest_correlation_ticker": "", "highest_correlation_value": null, "initial_action": "SKIP", "market_cap": 372729701082.27,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410.5487, "net_reward_1_per_share": 0.0, "net_reward_2_per_share": 0.0, "net_risk_per_share": 410.8973, "net_rr": 0.0, "net_rr_1": 0.0, "net_rr_2": 0.0, "net_stop_assumption": -0.3487, "net_target_1_assumption": -0.2051, "net_target_2_assumption": -0.2051, "normalized_atr_score": 100.0, "normalized_liquidity_score": 60.88, "normalized_momentum_score": 100, "normalized_quality_score": 88.26,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410.2,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410.2, "ticker": "UNH", "timestamp": "2026-06-09T16:59:50", "warnings": ["Target ATR feasibility unavailable."]}</t>
        </is>
      </c>
    </row>
    <row r="363">
      <c r="A363" t="inlineStr">
        <is>
          <t>2026-06-09T16:59:50</t>
        </is>
      </c>
      <c r="B363" t="inlineStr">
        <is>
          <t>AMAT</t>
        </is>
      </c>
      <c r="C363" t="inlineStr">
        <is>
          <t>No Trade</t>
        </is>
      </c>
      <c r="D363" t="n">
        <v>0</v>
      </c>
      <c r="E363" t="n">
        <v>468.59</v>
      </c>
      <c r="H363" t="n">
        <v>0</v>
      </c>
      <c r="K363" t="n">
        <v>0</v>
      </c>
      <c r="L363" t="inlineStr">
        <is>
          <t>No clean technical setup detected. Price in middle of value area or poor risk/reward.</t>
        </is>
      </c>
      <c r="M363" t="inlineStr">
        <is>
          <t>SKIP</t>
        </is>
      </c>
      <c r="N363" t="inlineStr">
        <is>
          <t>SKIP: No Trade result. Market regime NEUTRAL; sector STRONG; net R/R 0.00.</t>
        </is>
      </c>
      <c r="O363" t="inlineStr">
        <is>
          <t>AMAT
No Trade
0.00
score
Price
468.59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397.16 - 410.51
Swing Low
376.60
Swing High
447.89
Click chart to open full size</t>
        </is>
      </c>
      <c r="P363" t="inlineStr">
        <is>
          <t>agent_results/charts/market_lens_agent_20260609_164637_amat.png</t>
        </is>
      </c>
      <c r="Q363" t="inlineStr">
        <is>
          <t>Smart Universe: broad liquid US universe, diversified by sector | Sector: Semiconductors - Strong (75/100); SMH sector regime is strong: 40.3% 3m return, 32.7% vs SPY | Setup: No Trade; score 0.00; R/R 0.00x; price 468.59 | Market: NEUTRAL; Sector regime: STRONG; Net R/R: 0.00; Factors: AI / Semiconductors, Semiconductors | Agent action: SKIP - SKIP: No Trade result. Market regime NEUTRAL; sector STRONG; net R/R 0.00.</t>
        </is>
      </c>
      <c r="R363" t="inlineStr">
        <is>
          <t>{"adjusted_cash_out": 0.0, "adjusted_position_size": 0, "adjusted_risk_amount": 0.0, "ask": 0.0, "bid": 0.0, "buy_zone_high": null, "buy_zone_low": null, "cash_available": 99725.38, "company_name": "Applied Materials, Inc.", "correlation_warning": false, "days_to_earnings": 47, "earnings_blackout": false, "earnings_date": "2026-08-13T00:00:00", "estimated_fees": 0.0, "estimated_slippage": 0.656, "estimated_spread": 0.1406, "executable_entry": 468.59,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468.59, "gross_rr": 0.0, "gross_rr_1": 0.0, "gross_rr_2": 0.0, "gross_rr_decision": 0.0, "highest_correlation_ticker": "", "highest_correlation_value": null, "initial_action": "SKIP", "market_cap": 377154547063.71,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468.9883, "net_reward_1_per_share": 0.0, "net_reward_2_per_share": 0.0, "net_risk_per_share": 469.3866, "net_rr": 0.0, "net_rr_1": 0.0, "net_rr_2": 0.0, "net_stop_assumption": -0.3983, "net_target_1_assumption": -0.2343, "net_target_2_assumption": -0.2343, "normalized_atr_score": 91.43, "normalized_liquidity_score": 69.72, "normalized_momentum_score": 100, "normalized_quality_score": 88.77,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468.59,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468.59, "ticker": "AMAT", "timestamp": "2026-06-09T16:59:50", "warnings": ["Target ATR feasibility unavailable."]}</t>
        </is>
      </c>
    </row>
    <row r="364">
      <c r="A364" t="inlineStr">
        <is>
          <t>2026-06-09T16:59:50</t>
        </is>
      </c>
      <c r="B364" t="inlineStr">
        <is>
          <t>LRCX</t>
        </is>
      </c>
      <c r="C364" t="inlineStr">
        <is>
          <t>No Trade</t>
        </is>
      </c>
      <c r="D364" t="n">
        <v>0</v>
      </c>
      <c r="E364" t="n">
        <v>307.37</v>
      </c>
      <c r="H364" t="n">
        <v>0</v>
      </c>
      <c r="K364" t="n">
        <v>0</v>
      </c>
      <c r="L364" t="inlineStr">
        <is>
          <t>No clean technical setup detected. Price in middle of value area or poor risk/reward.</t>
        </is>
      </c>
      <c r="M364" t="inlineStr">
        <is>
          <t>SKIP</t>
        </is>
      </c>
      <c r="N364" t="inlineStr">
        <is>
          <t>SKIP: No Trade result. Market regime NEUTRAL; sector STRONG; net R/R 0.00.</t>
        </is>
      </c>
      <c r="O364" t="inlineStr">
        <is>
          <t>LRCX
No Trade
0.00
score
Price
307.37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227.21
Fib Zone
222.56 - 231.86
Swing Low
198.60
Swing High
273.50
Click chart to open full size</t>
        </is>
      </c>
      <c r="P364" t="inlineStr">
        <is>
          <t>agent_results/charts/market_lens_agent_20260609_164637_lrcx.png</t>
        </is>
      </c>
      <c r="Q364" t="inlineStr">
        <is>
          <t>Smart Universe: broad liquid US universe, diversified by sector | Sector: Semiconductors - Strong (75/100); SMH sector regime is strong: 40.3% 3m return, 32.7% vs SPY | Setup: No Trade; score 0.00; R/R 0.00x; price 307.37 | Market: NEUTRAL; Sector regime: STRONG; Net R/R: 0.00; Factors: AI / Semiconductors, Semiconductors | Agent action: SKIP - SKIP: No Trade result. Market regime NEUTRAL; sector STRONG; net R/R 0.00.</t>
        </is>
      </c>
      <c r="R364" t="inlineStr">
        <is>
          <t>{"adjusted_cash_out": 0.0, "adjusted_position_size": 0, "adjusted_risk_amount": 0.0, "ask": 0.0, "bid": 0.0, "buy_zone_high": null, "buy_zone_low": null, "cash_available": 99725.38, "company_name": "Lam Research Corporation", "correlation_warning": false, "days_to_earnings": 36, "earnings_blackout": false, "earnings_date": "2026-07-29T00:00:00", "estimated_fees": 0.0, "estimated_slippage": 0.4303, "estimated_spread": 0.0922, "executable_entry": 307.37,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307.37, "gross_rr": 0.0, "gross_rr_1": 0.0, "gross_rr_2": 0.0, "gross_rr_decision": 0.0, "highest_correlation_ticker": "", "highest_correlation_value": null, "initial_action": "SKIP", "market_cap": 389305293036.93,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307.6313, "net_reward_1_per_share": 0.0, "net_reward_2_per_share": 0.0, "net_risk_per_share": 307.8925, "net_rr": 0.0, "net_rr_1": 0.0, "net_rr_2": 0.0, "net_stop_assumption": -0.2613, "net_target_1_assumption": -0.1537, "net_target_2_assumption": -0.1537, "normalized_atr_score": 87.64, "normalized_liquidity_score": 61.24, "normalized_momentum_score": 100, "normalized_quality_score": 85.28,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307.37,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307.37, "ticker": "LRCX", "timestamp": "2026-06-09T16:59:50", "warnings": ["Target ATR feasibility unavailable."]}</t>
        </is>
      </c>
    </row>
    <row r="365">
      <c r="A365" t="inlineStr">
        <is>
          <t>2026-06-09T16:59:50</t>
        </is>
      </c>
      <c r="B365" t="inlineStr">
        <is>
          <t>KLAC</t>
        </is>
      </c>
      <c r="C365" t="inlineStr">
        <is>
          <t>No Trade</t>
        </is>
      </c>
      <c r="D365" t="n">
        <v>0</v>
      </c>
      <c r="E365" t="n">
        <v>2000.51</v>
      </c>
      <c r="H365" t="n">
        <v>0</v>
      </c>
      <c r="K365" t="n">
        <v>0</v>
      </c>
      <c r="L365" t="inlineStr">
        <is>
          <t>No clean technical setup detected. Price in middle of value area or poor risk/reward.</t>
        </is>
      </c>
      <c r="M365" t="inlineStr">
        <is>
          <t>SKIP</t>
        </is>
      </c>
      <c r="N365" t="inlineStr">
        <is>
          <t>SKIP: No Trade result. Market regime NEUTRAL; sector STRONG; net R/R 0.00.</t>
        </is>
      </c>
      <c r="O365" t="inlineStr">
        <is>
          <t>KLAC
No Trade
0.00
score
Price
2000.51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1716.13 - 1773.96
Swing Low
1643.90
Swing High
1908.67
Click chart to open full size</t>
        </is>
      </c>
      <c r="P365" t="inlineStr">
        <is>
          <t>agent_results/charts/market_lens_agent_20260609_164637_klac.png</t>
        </is>
      </c>
      <c r="Q365" t="inlineStr">
        <is>
          <t>Smart Universe: broad liquid US universe, diversified by sector | Sector: Semiconductors - Strong (75/100); SMH sector regime is strong: 40.3% 3m return, 32.7% vs SPY | Setup: No Trade; score 0.00; R/R 0.00x; price 2000.51 | Market: NEUTRAL; Sector regime: STRONG; Net R/R: 0.00; Factors: AI / Semiconductors, Semiconductors | Agent action: SKIP - SKIP: No Trade result. Market regime NEUTRAL; sector STRONG; net R/R 0.00.</t>
        </is>
      </c>
      <c r="R365" t="inlineStr">
        <is>
          <t>{"adjusted_cash_out": 0.0, "adjusted_position_size": 0, "adjusted_risk_amount": 0.0, "ask": 0.0, "bid": 0.0, "buy_zone_high": null, "buy_zone_low": null, "cash_available": 99725.38, "company_name": "KLA Corporation", "correlation_warning": false, "days_to_earnings": 37, "earnings_blackout": false, "earnings_date": "2026-07-30T00:00:00", "estimated_fees": 0.0, "estimated_slippage": 2.8007, "estimated_spread": 0.6002, "executable_entry": 2000.51,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2000.51, "gross_rr": 0.0, "gross_rr_1": 0.0, "gross_rr_2": 0.0, "gross_rr_decision": 0.0, "highest_correlation_ticker": "", "highest_correlation_value": null, "initial_action": "SKIP", "market_cap": 264661802007.21,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2002.2104, "net_reward_1_per_share": 0.0, "net_reward_2_per_share": 0.0, "net_risk_per_share": 2003.9109, "net_rr": 0.0, "net_rr_1": 0.0, "net_rr_2": 0.0, "net_stop_assumption": -1.7004, "net_target_1_assumption": -1.0003, "net_target_2_assumption": -1.0003, "normalized_atr_score": 90.44, "normalized_liquidity_score": 51.2, "normalized_momentum_score": 100, "normalized_quality_score": 82.97,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2000.51,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2000.51, "ticker": "KLAC", "timestamp": "2026-06-09T16:59:50", "warnings": ["Target ATR feasibility unavailable."]}</t>
        </is>
      </c>
    </row>
    <row r="366">
      <c r="A366" t="inlineStr">
        <is>
          <t>2026-06-09T16:59:50</t>
        </is>
      </c>
      <c r="B366" t="inlineStr">
        <is>
          <t>MS</t>
        </is>
      </c>
      <c r="C366" t="inlineStr">
        <is>
          <t>No Trade</t>
        </is>
      </c>
      <c r="D366" t="n">
        <v>0</v>
      </c>
      <c r="E366" t="n">
        <v>206.81</v>
      </c>
      <c r="H366" t="n">
        <v>0</v>
      </c>
      <c r="K366" t="n">
        <v>0</v>
      </c>
      <c r="L366" t="inlineStr">
        <is>
          <t>No clean technical setup detected. Price in middle of value area or poor risk/reward.</t>
        </is>
      </c>
      <c r="M366" t="inlineStr">
        <is>
          <t>SKIP</t>
        </is>
      </c>
      <c r="N366" t="inlineStr">
        <is>
          <t>SKIP: No Trade result. Market regime NEUTRAL; sector STRONG; net R/R 0.00.</t>
        </is>
      </c>
      <c r="O366" t="inlineStr">
        <is>
          <t>MS
No Trade
0.00
score
Price
206.81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166.49 - 169.24
Swing Low
151.98
Swing High
193.55
Click chart to open full size</t>
        </is>
      </c>
      <c r="P366" t="inlineStr">
        <is>
          <t>agent_results/charts/market_lens_agent_20260609_164637_ms.png</t>
        </is>
      </c>
      <c r="Q366" t="inlineStr">
        <is>
          <t>Smart Universe: broad liquid US universe, diversified by sector | Sector: Financials - Strong (72/100); XLF sector regime is strong: 5.6% 3m return, -2.1% vs SPY | Setup: No Trade; score 0.00; R/R 0.00x; price 206.81 | Market: NEUTRAL; Sector regime: STRONG; Net R/R: 0.00; Factors: Financials | Agent action: SKIP - SKIP: No Trade result. Market regime NEUTRAL; sector STRONG; net R/R 0.00.</t>
        </is>
      </c>
      <c r="R366" t="inlineStr">
        <is>
          <t>{"adjusted_cash_out": 0.0, "adjusted_position_size": 0, "adjusted_risk_amount": 0.0, "ask": 0.0, "bid": 0.0, "buy_zone_high": null, "buy_zone_low": null, "cash_available": 99725.38, "company_name": "Morgan Stanley", "correlation_warning": false, "days_to_earnings": 26, "earnings_blackout": false, "earnings_date": "2026-07-15T00:00:00", "estimated_fees": 0.0, "estimated_slippage": 0.2895, "estimated_spread": 0.062, "executable_entry": 206.81, "execution_liquidity_bucket": "large_liquid", "factor_exposure_after": {}, "factor_exposure_before": {}, "factor_exposure_cap": 7000.0, "factor_exposure_limit_exceeded": false, "factor_tags": ["Financials"], "final_action": "SKIP", "gross_reward_1_per_share": 0.0, "gross_reward_2_per_share": 0.0, "gross_risk_per_share": 206.81, "gross_rr": 0.0, "gross_rr_1": 0.0, "gross_rr_2": 0.0, "gross_rr_decision": 0.0, "highest_correlation_ticker": "", "highest_correlation_value": null, "initial_action": "SKIP", "market_cap": 326182504969.09,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206.9858, "net_reward_1_per_share": 0.0, "net_reward_2_per_share": 0.0, "net_risk_per_share": 207.1616, "net_rr": 0.0, "net_rr_1": 0.0, "net_rr_2": 0.0, "net_stop_assumption": -0.1758, "net_target_1_assumption": -0.1034, "net_target_2_assumption": -0.1034, "normalized_atr_score": 100.0, "normalized_liquidity_score": 39.08, "normalized_momentum_score": 100, "normalized_quality_score": 81.72,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206.81,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206.81, "ticker": "MS", "timestamp": "2026-06-09T16:59:50", "warnings": ["Target ATR feasibility unavailable."]}</t>
        </is>
      </c>
    </row>
    <row r="367">
      <c r="A367" t="inlineStr">
        <is>
          <t>2026-06-09T16:59:50</t>
        </is>
      </c>
      <c r="B367" t="inlineStr">
        <is>
          <t>GS</t>
        </is>
      </c>
      <c r="C367" t="inlineStr">
        <is>
          <t>No Trade</t>
        </is>
      </c>
      <c r="D367" t="n">
        <v>0</v>
      </c>
      <c r="E367" t="n">
        <v>1010.48</v>
      </c>
      <c r="H367" t="n">
        <v>0</v>
      </c>
      <c r="K367" t="n">
        <v>0</v>
      </c>
      <c r="L367" t="inlineStr">
        <is>
          <t>No clean technical setup detected. Price in middle of value area or poor risk/reward.</t>
        </is>
      </c>
      <c r="M367" t="inlineStr">
        <is>
          <t>SKIP</t>
        </is>
      </c>
      <c r="N367" t="inlineStr">
        <is>
          <t>SKIP: No Trade result. Market regime NEUTRAL; sector STRONG; net R/R 0.00.</t>
        </is>
      </c>
      <c r="O367" t="inlineStr">
        <is>
          <t>GS
No Trade
0.00
score
Price
1010.48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842.30
Fib Zone
834.06 - 850.55
Swing Low
777.08
Swing High
947.83
Click chart to open full size</t>
        </is>
      </c>
      <c r="P367" t="inlineStr">
        <is>
          <t>agent_results/charts/market_lens_agent_20260609_164637_gs.png</t>
        </is>
      </c>
      <c r="Q367" t="inlineStr">
        <is>
          <t>Smart Universe: broad liquid US universe, diversified by sector | Sector: Financials - Strong (72/100); XLF sector regime is strong: 5.6% 3m return, -2.1% vs SPY | Setup: No Trade; score 0.00; R/R 0.00x; price 1010.48 | Market: NEUTRAL; Sector regime: STRONG; Net R/R: 0.00; Factors: Financials | Agent action: SKIP - SKIP: No Trade result. Market regime NEUTRAL; sector STRONG; net R/R 0.00.</t>
        </is>
      </c>
      <c r="R367" t="inlineStr">
        <is>
          <t>{"adjusted_cash_out": 0.0, "adjusted_position_size": 0, "adjusted_risk_amount": 0.0, "ask": 0.0, "bid": 0.0, "buy_zone_high": null, "buy_zone_low": null, "cash_available": 99725.38, "company_name": "Goldman Sachs Group, Inc.", "correlation_warning": false, "days_to_earnings": 25, "earnings_blackout": false, "earnings_date": "2026-07-14T00:00:00", "estimated_fees": 0.0, "estimated_slippage": 1.4147, "estimated_spread": 0.3031, "executable_entry": 1010.48, "execution_liquidity_bucket": "large_liquid", "factor_exposure_after": {}, "factor_exposure_before": {}, "factor_exposure_cap": 7000.0, "factor_exposure_limit_exceeded": false, "factor_tags": ["Financials"], "final_action": "SKIP", "gross_reward_1_per_share": 0.0, "gross_reward_2_per_share": 0.0, "gross_risk_per_share": 1010.48, "gross_rr": 0.0, "gross_rr_1": 0.0, "gross_rr_2": 0.0, "gross_rr_decision": 0.0, "highest_correlation_ticker": "", "highest_correlation_value": null, "initial_action": "SKIP", "market_cap": 298189068112.92,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1011.3389, "net_reward_1_per_share": 0.0, "net_reward_2_per_share": 0.0, "net_risk_per_share": 1012.1978, "net_rr": 0.0, "net_rr_1": 0.0, "net_rr_2": 0.0, "net_stop_assumption": -0.8589, "net_target_1_assumption": -0.5052, "net_target_2_assumption": -0.5052, "normalized_atr_score": 100.0, "normalized_liquidity_score": 55.0, "normalized_momentum_score": 100, "normalized_quality_score": 86.5,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1010.48,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1010.48, "ticker": "GS", "timestamp": "2026-06-09T16:59:50", "warnings": ["Target ATR feasibility unavailable."]}</t>
        </is>
      </c>
    </row>
    <row r="368">
      <c r="A368" t="inlineStr">
        <is>
          <t>2026-06-09T16:59:50</t>
        </is>
      </c>
      <c r="B368" t="inlineStr">
        <is>
          <t>ASML</t>
        </is>
      </c>
      <c r="C368" t="inlineStr">
        <is>
          <t>No Trade</t>
        </is>
      </c>
      <c r="D368" t="n">
        <v>0</v>
      </c>
      <c r="E368" t="n">
        <v>1680.72</v>
      </c>
      <c r="H368" t="n">
        <v>0</v>
      </c>
      <c r="K368" t="n">
        <v>0</v>
      </c>
      <c r="L368" t="inlineStr">
        <is>
          <t>No clean technical setup detected. Price in middle of value area or poor risk/reward.</t>
        </is>
      </c>
      <c r="M368" t="inlineStr">
        <is>
          <t>SKIP</t>
        </is>
      </c>
      <c r="N368" t="inlineStr">
        <is>
          <t>SKIP: No Trade result. Market regime NEUTRAL; sector STRONG; net R/R 0.00.</t>
        </is>
      </c>
      <c r="O368" t="inlineStr">
        <is>
          <t>ASML
No Trade
0.00
score
Price
1680.72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1455.99
Fib Zone
1436.33 - 1475.64
Swing Low
1364.81
Swing High
1603.49
Click chart to open full size</t>
        </is>
      </c>
      <c r="P368" t="inlineStr">
        <is>
          <t>agent_results/charts/market_lens_agent_20260609_164637_asml.png</t>
        </is>
      </c>
      <c r="Q368" t="inlineStr">
        <is>
          <t>Smart Universe: broad liquid US universe, diversified by sector | Sector: Semiconductors - Strong (75/100); SMH sector regime is strong: 40.3% 3m return, 32.7% vs SPY | Setup: No Trade; score 0.00; R/R 0.00x; price 1680.72 | Market: NEUTRAL; Sector regime: STRONG; Net R/R: 0.00; Factors: AI / Semiconductors, Semiconductors | Agent action: SKIP - SKIP: No Trade result. Market regime NEUTRAL; sector STRONG; net R/R 0.00.</t>
        </is>
      </c>
      <c r="R368" t="inlineStr">
        <is>
          <t>{"adjusted_cash_out": 0.0, "adjusted_position_size": 0, "adjusted_risk_amount": 0.0, "ask": 0.0, "bid": 0.0, "buy_zone_high": null, "buy_zone_low": null, "cash_available": 99725.38, "company_name": "ASML Holding N.V.", "correlation_warning": false, "days_to_earnings": 26, "earnings_blackout": false, "earnings_date": "2026-07-15T00:00:00", "estimated_fees": 0.0, "estimated_slippage": 2.353, "estimated_spread": 0.5042, "executable_entry": 1680.72,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1680.72, "gross_rr": 0.0, "gross_rr_1": 0.0, "gross_rr_2": 0.0, "gross_rr_decision": 0.0, "highest_correlation_ticker": "", "highest_correlation_value": null, "initial_action": "SKIP", "market_cap": 654963357548.63,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1682.1486, "net_reward_1_per_share": 0.0, "net_reward_2_per_share": 0.0, "net_risk_per_share": 1683.5772, "net_rr": 0.0, "net_rr_1": 0.0, "net_rr_2": 0.0, "net_stop_assumption": -1.4286, "net_target_1_assumption": -0.8404, "net_target_2_assumption": -0.8404, "normalized_atr_score": 100.0, "normalized_liquidity_score": 60.35, "normalized_momentum_score": 100, "normalized_quality_score": 88.11,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1680.72,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1680.72, "ticker": "ASML", "timestamp": "2026-06-09T16:59:50", "warnings": ["Target ATR feasibility unavailable."]}</t>
        </is>
      </c>
    </row>
    <row r="369">
      <c r="A369" t="inlineStr">
        <is>
          <t>2026-06-09T16:59:50</t>
        </is>
      </c>
      <c r="B369" t="inlineStr">
        <is>
          <t>URI</t>
        </is>
      </c>
      <c r="C369" t="inlineStr">
        <is>
          <t>No Trade</t>
        </is>
      </c>
      <c r="D369" t="n">
        <v>0</v>
      </c>
      <c r="E369" t="n">
        <v>1075.27</v>
      </c>
      <c r="H369" t="n">
        <v>0</v>
      </c>
      <c r="K369" t="n">
        <v>0</v>
      </c>
      <c r="L369" t="inlineStr">
        <is>
          <t>No clean technical setup detected. Price in middle of value area or poor risk/reward.</t>
        </is>
      </c>
      <c r="M369" t="inlineStr">
        <is>
          <t>SKIP</t>
        </is>
      </c>
      <c r="N369" t="inlineStr">
        <is>
          <t>SKIP: No Trade result. Market regime NEUTRAL; sector NEUTRAL; net R/R 0.00.</t>
        </is>
      </c>
      <c r="O369" t="inlineStr">
        <is>
          <t>URI
No Trade
0.00
score
Price
1075.27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819.18
Fib Zone
811.12 - 827.24
Swing Low
707.99
Swing High
999.06
Click chart to open full size</t>
        </is>
      </c>
      <c r="P369" t="inlineStr">
        <is>
          <t>agent_results/charts/market_lens_agent_20260609_164637_uri.png</t>
        </is>
      </c>
      <c r="Q369" t="inlineStr">
        <is>
          <t>Smart Universe: broad liquid US universe, diversified by sector | Sector: Industrials - Neutral (46/100); XLI sector regime is neutral: 2.0% 3m return, -5.7% vs SPY | Setup: No Trade; score 0.00; R/R 0.00x; price 1075.27 | Market: NEUTRAL; Sector regime: NEUTRAL; Net R/R: 0.00; Factors: Industrials | Agent action: SKIP - SKIP: No Trade result. Market regime NEUTRAL; sector NEUTRAL; net R/R 0.00.</t>
        </is>
      </c>
      <c r="R369" t="inlineStr">
        <is>
          <t>{"adjusted_cash_out": 0.0, "adjusted_position_size": 0, "adjusted_risk_amount": 0.0, "ask": 0.0, "bid": 0.0, "buy_zone_high": null, "buy_zone_low": null, "cash_available": 99725.38, "company_name": "United Rentals, Inc.", "correlation_warning": false, "days_to_earnings": 31, "earnings_blackout": false, "earnings_date": "2026-07-22T00:00:00", "estimated_fees": 0.0, "estimated_slippage": 3.2258, "estimated_spread": 0.8602, "executable_entry": 1075.27, "execution_liquidity_bucket": "mid_liquid", "factor_exposure_after": {}, "factor_exposure_before": {}, "factor_exposure_cap": 7000.0, "factor_exposure_limit_exceeded": false, "factor_tags": ["Industrials"], "final_action": "SKIP", "gross_reward_1_per_share": 0.0, "gross_reward_2_per_share": 0.0, "gross_risk_per_share": 1075.27, "gross_rr": 0.0, "gross_rr_1": 0.0, "gross_rr_2": 0.0, "gross_rr_decision": 0.0, "highest_correlation_ticker": "", "highest_correlation_value": null, "initial_action": "SKIP", "market_cap": 67525471165.05,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1077.313, "net_reward_1_per_share": 0.0, "net_reward_2_per_share": 0.0, "net_risk_per_share": 1079.356, "net_rr": 0.0, "net_rr_1": 0.0, "net_rr_2": 0.0, "net_stop_assumption": -2.043, "net_target_1_assumption": -1.2366, "net_target_2_assumption": -1.2366, "normalized_atr_score": 100.0, "normalized_liquidity_score": 47.12, "normalized_momentum_score": 100, "normalized_quality_score": 84.14,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1075.27,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1075.27, "ticker": "URI", "timestamp": "2026-06-09T16:59:50", "warnings": ["Target ATR feasibility unavailable."]}</t>
        </is>
      </c>
    </row>
    <row r="370">
      <c r="A370" t="inlineStr">
        <is>
          <t>2026-06-09T16:59:50</t>
        </is>
      </c>
      <c r="B370" t="inlineStr">
        <is>
          <t>C</t>
        </is>
      </c>
      <c r="C370" t="inlineStr">
        <is>
          <t>No Trade</t>
        </is>
      </c>
      <c r="D370" t="n">
        <v>0</v>
      </c>
      <c r="E370" t="n">
        <v>132.6</v>
      </c>
      <c r="H370" t="n">
        <v>0</v>
      </c>
      <c r="K370" t="n">
        <v>0</v>
      </c>
      <c r="L370" t="inlineStr">
        <is>
          <t>No clean technical setup detected. Price in middle of value area or poor risk/reward.</t>
        </is>
      </c>
      <c r="M370" t="inlineStr">
        <is>
          <t>SKIP</t>
        </is>
      </c>
      <c r="N370" t="inlineStr">
        <is>
          <t>SKIP: No Trade result. Market regime NEUTRAL; sector STRONG; net R/R 0.00.</t>
        </is>
      </c>
      <c r="O370" t="inlineStr">
        <is>
          <t>C
No Trade
0.00
score
Price
132.60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113.30 - 115.06
Swing Low
101.53
Swing High
134.65
Click chart to open full size</t>
        </is>
      </c>
      <c r="P370" t="inlineStr">
        <is>
          <t>agent_results/charts/market_lens_agent_20260609_164637_c.png</t>
        </is>
      </c>
      <c r="Q370" t="inlineStr">
        <is>
          <t>Smart Universe: broad liquid US universe, diversified by sector | Sector: Financials - Strong (72/100); XLF sector regime is strong: 5.6% 3m return, -2.1% vs SPY | Setup: No Trade; score 0.00; R/R 0.00x; price 132.60 | Market: NEUTRAL; Sector regime: STRONG; Net R/R: 0.00; Factors: Financials | Agent action: SKIP - SKIP: No Trade result. Market regime NEUTRAL; sector STRONG; net R/R 0.00.</t>
        </is>
      </c>
      <c r="R370" t="inlineStr">
        <is>
          <t>{"adjusted_cash_out": 0.0, "adjusted_position_size": 0, "adjusted_risk_amount": 0.0, "ask": 0.0, "bid": 0.0, "buy_zone_high": null, "buy_zone_low": null, "cash_available": 99725.38, "company_name": "Citigroup Inc.", "correlation_warning": false, "days_to_earnings": 25, "earnings_blackout": false, "earnings_date": "2026-07-14T00:00:00", "estimated_fees": 0.0, "estimated_slippage": 0.1856, "estimated_spread": 0.0398, "executable_entry": 132.6, "execution_liquidity_bucket": "large_liquid", "factor_exposure_after": {}, "factor_exposure_before": {}, "factor_exposure_cap": 7000.0, "factor_exposure_limit_exceeded": false, "factor_tags": ["Financials"], "final_action": "SKIP", "gross_reward_1_per_share": 0.0, "gross_reward_2_per_share": 0.0, "gross_risk_per_share": 132.6, "gross_rr": 0.0, "gross_rr_1": 0.0, "gross_rr_2": 0.0, "gross_rr_decision": 0.0, "highest_correlation_ticker": "", "highest_correlation_value": null, "initial_action": "SKIP", "market_cap": 226065694377.47,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132.7127, "net_reward_1_per_share": 0.0, "net_reward_2_per_share": 0.0, "net_risk_per_share": 132.8254, "net_rr": 0.0, "net_rr_1": 0.0, "net_rr_2": 0.0, "net_stop_assumption": -0.1127, "net_target_1_assumption": -0.0663, "net_target_2_assumption": -0.0663, "normalized_atr_score": 100.0, "normalized_liquidity_score": 41.08, "normalized_momentum_score": 100, "normalized_quality_score": 82.32,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132.6,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132.6, "ticker": "C", "timestamp": "2026-06-09T16:59:50", "warnings": ["Target ATR feasibility unavailable."]}</t>
        </is>
      </c>
    </row>
    <row r="371">
      <c r="A371" t="inlineStr">
        <is>
          <t>2026-06-09T16:59:50</t>
        </is>
      </c>
      <c r="B371" t="inlineStr">
        <is>
          <t>PANW</t>
        </is>
      </c>
      <c r="C371" t="inlineStr">
        <is>
          <t>No Trade</t>
        </is>
      </c>
      <c r="D371" t="n">
        <v>0</v>
      </c>
      <c r="E371" t="n">
        <v>252.45</v>
      </c>
      <c r="H371" t="n">
        <v>0</v>
      </c>
      <c r="K371" t="n">
        <v>0</v>
      </c>
      <c r="L371" t="inlineStr">
        <is>
          <t>No clean technical setup detected. Price in middle of value area or poor risk/reward.</t>
        </is>
      </c>
      <c r="M371" t="inlineStr">
        <is>
          <t>SKIP</t>
        </is>
      </c>
      <c r="N371" t="inlineStr">
        <is>
          <t>SKIP: No Trade result. Market regime NEUTRAL; sector STRONG; net R/R 0.00.</t>
        </is>
      </c>
      <c r="O371" t="inlineStr">
        <is>
          <t>PANW
No Trade
0.00
score
Price
252.45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206.03 - 212.40
Swing Low
151.28
Swing High
302.95
Click chart to open full size</t>
        </is>
      </c>
      <c r="P371" t="inlineStr">
        <is>
          <t>agent_results/charts/market_lens_agent_20260609_164637_panw.png</t>
        </is>
      </c>
      <c r="Q371" t="inlineStr">
        <is>
          <t>Smart Universe: broad liquid US universe, diversified by sector | Sector: Technology - Strong (71/100); XLK sector regime is strong: 24.7% 3m return, 17.0% vs SPY | Setup: No Trade; score 0.00; R/R 0.00x; price 252.45 | Market: NEUTRAL; Sector regime: STRONG; Net R/R: 0.00; Factors: High Beta Growth, Technology | Agent action: SKIP - SKIP: No Trade result. Market regime NEUTRAL; sector STRONG; net R/R 0.00.</t>
        </is>
      </c>
      <c r="R371" t="inlineStr">
        <is>
          <t>{"adjusted_cash_out": 0.0, "adjusted_position_size": 0, "adjusted_risk_amount": 0.0, "ask": 0.0, "bid": 0.0, "buy_zone_high": null, "buy_zone_low": null, "cash_available": 99725.38, "company_name": "Palo Alto Networks, Inc.", "correlation_warning": false, "days_to_earnings": 50, "earnings_blackout": false, "earnings_date": "2026-08-18T00:00:00", "estimated_fees": 0.0, "estimated_slippage": 0.3534, "estimated_spread": 0.0757, "executable_entry": 252.45,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252.45, "gross_rr": 0.0, "gross_rr_1": 0.0, "gross_rr_2": 0.0, "gross_rr_decision": 0.0, "highest_correlation_ticker": "", "highest_correlation_value": null, "initial_action": "SKIP", "market_cap": 206781800994.87,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252.6646, "net_reward_1_per_share": 0.0, "net_reward_2_per_share": 0.0, "net_risk_per_share": 252.8792, "net_rr": 0.0, "net_rr_1": 0.0, "net_rr_2": 0.0, "net_stop_assumption": -0.2146, "net_target_1_assumption": -0.1262, "net_target_2_assumption": -0.1262, "normalized_atr_score": 97.71, "normalized_liquidity_score": 58.95, "normalized_momentum_score": 100, "normalized_quality_score": 87.11,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252.45,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252.45, "ticker": "PANW", "timestamp": "2026-06-09T16:59:50", "warnings": ["Target ATR feasibility unavailable."]}</t>
        </is>
      </c>
    </row>
    <row r="372">
      <c r="A372" t="inlineStr">
        <is>
          <t>2026-06-09T16:59:50</t>
        </is>
      </c>
      <c r="B372" t="inlineStr">
        <is>
          <t>CRWD</t>
        </is>
      </c>
      <c r="C372" t="inlineStr">
        <is>
          <t>No Trade</t>
        </is>
      </c>
      <c r="D372" t="n">
        <v>0</v>
      </c>
      <c r="E372" t="n">
        <v>622.38</v>
      </c>
      <c r="H372" t="n">
        <v>0</v>
      </c>
      <c r="K372" t="n">
        <v>0</v>
      </c>
      <c r="L372" t="inlineStr">
        <is>
          <t>No clean technical setup detected. Price in middle of value area or poor risk/reward.</t>
        </is>
      </c>
      <c r="M372" t="inlineStr">
        <is>
          <t>SKIP</t>
        </is>
      </c>
      <c r="N372" t="inlineStr">
        <is>
          <t>SKIP: No Trade result. Market regime NEUTRAL; sector STRONG; net R/R 0.00.</t>
        </is>
      </c>
      <c r="O372" t="inlineStr">
        <is>
          <t>CRWD
No Trade
0.00
score
Price
622.38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558.50 - 576.38
Swing Low
432.55
Swing High
785.66
Click chart to open full size</t>
        </is>
      </c>
      <c r="P372" t="inlineStr">
        <is>
          <t>agent_results/charts/market_lens_agent_20260609_164637_crwd.png</t>
        </is>
      </c>
      <c r="Q372" t="inlineStr">
        <is>
          <t>Smart Universe: broad liquid US universe, diversified by sector | Sector: Technology - Strong (71/100); XLK sector regime is strong: 24.7% 3m return, 17.0% vs SPY | Setup: No Trade; score 0.00; R/R 0.00x; price 622.38 | Market: NEUTRAL; Sector regime: STRONG; Net R/R: 0.00; Factors: High Beta Growth, Technology | Agent action: SKIP - SKIP: No Trade result. Market regime NEUTRAL; sector STRONG; net R/R 0.00.</t>
        </is>
      </c>
      <c r="R372" t="inlineStr">
        <is>
          <t>{"adjusted_cash_out": 0.0, "adjusted_position_size": 0, "adjusted_risk_amount": 0.0, "ask": 0.0, "bid": 0.0, "buy_zone_high": null, "buy_zone_low": null, "cash_available": 99725.38, "company_name": "CrowdStrike Holdings, Inc.", "correlation_warning": false, "days_to_earnings": 60, "earnings_blackout": false, "earnings_date": "2026-09-01T00:00:00", "estimated_fees": 0.0, "estimated_slippage": 0.8713, "estimated_spread": 0.1867, "executable_entry": 622.38, "execution_liquidity_bucket": "large_liquid", "factor_exposure_after": {}, "factor_exposure_before": {}, "factor_exposure_cap": 7000.0, "factor_exposure_limit_exceeded": false, "factor_tags": ["High Beta Growth", "Technology"], "final_action": "SKIP", "gross_reward_1_per_share": 0.0, "gross_reward_2_per_share": 0.0, "gross_risk_per_share": 622.38, "gross_rr": 0.0, "gross_rr_1": 0.0, "gross_rr_2": 0.0, "gross_rr_decision": 0.0, "highest_correlation_ticker": "", "highest_correlation_value": null, "initial_action": "SKIP", "market_cap": 159487656462.64,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622.909, "net_reward_1_per_share": 0.0, "net_reward_2_per_share": 0.0, "net_risk_per_share": 623.438, "net_rr": 0.0, "net_rr_1": 0.0, "net_rr_2": 0.0, "net_stop_assumption": -0.529, "net_target_1_assumption": -0.3112, "net_target_2_assumption": -0.3112, "normalized_atr_score": 98.12, "normalized_liquidity_score": 94.3, "normalized_momentum_score": 100, "normalized_quality_score": 97.82,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622.38,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622.38, "ticker": "CRWD", "timestamp": "2026-06-09T16:59:50", "warnings": ["Target ATR feasibility unavailable."]}</t>
        </is>
      </c>
    </row>
    <row r="373">
      <c r="A373" t="inlineStr">
        <is>
          <t>2026-06-09T16:59:50</t>
        </is>
      </c>
      <c r="B373" t="inlineStr">
        <is>
          <t>LLY</t>
        </is>
      </c>
      <c r="C373" t="inlineStr">
        <is>
          <t>No Trade</t>
        </is>
      </c>
      <c r="D373" t="n">
        <v>0</v>
      </c>
      <c r="E373" t="n">
        <v>1140.35</v>
      </c>
      <c r="H373" t="n">
        <v>0</v>
      </c>
      <c r="K373" t="n">
        <v>0</v>
      </c>
      <c r="L373" t="inlineStr">
        <is>
          <t>No clean technical setup detected. Price in middle of value area or poor risk/reward.</t>
        </is>
      </c>
      <c r="M373" t="inlineStr">
        <is>
          <t>SKIP</t>
        </is>
      </c>
      <c r="N373" t="inlineStr">
        <is>
          <t>SKIP: No Trade result. Market regime NEUTRAL; sector STRONG; net R/R 0.00.</t>
        </is>
      </c>
      <c r="O373" t="inlineStr">
        <is>
          <t>LLY
No Trade
0.00
score
Price
1140.35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954.45 - 972.88
Swing Low
849.05
Swing High
1149.10
Click chart to open full size</t>
        </is>
      </c>
      <c r="P373" t="inlineStr">
        <is>
          <t>agent_results/charts/market_lens_agent_20260609_164637_lly.png</t>
        </is>
      </c>
      <c r="Q373" t="inlineStr">
        <is>
          <t>Smart Universe: broad liquid US universe, diversified by sector | Sector: Healthcare - Strong (69/100); XLV sector regime is strong: 1.2% 3m return, -6.5% vs SPY | Setup: No Trade; score 0.00; R/R 0.00x; price 1140.35 | Market: NEUTRAL; Sector regime: STRONG; Net R/R: 0.00; Factors: Defensive, Healthcare | Agent action: SKIP - SKIP: No Trade result. Market regime NEUTRAL; sector STRONG; net R/R 0.00.</t>
        </is>
      </c>
      <c r="R373" t="inlineStr">
        <is>
          <t>{"adjusted_cash_out": 0.0, "adjusted_position_size": 0, "adjusted_risk_amount": 0.0, "ask": 0.0, "bid": 0.0, "buy_zone_high": null, "buy_zone_low": null, "cash_available": 99725.38, "company_name": "Eli Lilly and Company", "correlation_warning": false, "days_to_earnings": 41, "earnings_blackout": false, "earnings_date": "2026-08-05T00:00:00", "estimated_fees": 0.0, "estimated_slippage": 1.5965, "estimated_spread": 0.3421, "executable_entry": 1140.35,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1140.35, "gross_rr": 0.0, "gross_rr_1": 0.0, "gross_rr_2": 0.0, "gross_rr_decision": 0.0, "highest_correlation_ticker": "", "highest_correlation_value": null, "initial_action": "SKIP", "market_cap": 1018225976547.6,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1141.3193, "net_reward_1_per_share": 0.0, "net_reward_2_per_share": 0.0, "net_risk_per_share": 1142.2886, "net_rr": 0.0, "net_rr_1": 0.0, "net_rr_2": 0.0, "net_stop_assumption": -0.9693, "net_target_1_assumption": -0.5702, "net_target_2_assumption": -0.5702, "normalized_atr_score": 100.0, "normalized_liquidity_score": 66.72, "normalized_momentum_score": 100, "normalized_quality_score": 90.02,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1140.35,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1140.35, "ticker": "LLY", "timestamp": "2026-06-09T16:59:50", "warnings": ["Target ATR feasibility unavailable."]}</t>
        </is>
      </c>
    </row>
    <row r="374">
      <c r="A374" t="inlineStr">
        <is>
          <t>2026-06-09T16:59:50</t>
        </is>
      </c>
      <c r="B374" t="inlineStr">
        <is>
          <t>BAC</t>
        </is>
      </c>
      <c r="C374" t="inlineStr">
        <is>
          <t>No Trade</t>
        </is>
      </c>
      <c r="D374" t="n">
        <v>0</v>
      </c>
      <c r="E374" t="n">
        <v>53.89</v>
      </c>
      <c r="H374" t="n">
        <v>0</v>
      </c>
      <c r="K374" t="n">
        <v>0</v>
      </c>
      <c r="L374" t="inlineStr">
        <is>
          <t>No clean technical setup detected. Price in middle of value area or poor risk/reward.</t>
        </is>
      </c>
      <c r="M374" t="inlineStr">
        <is>
          <t>SKIP</t>
        </is>
      </c>
      <c r="N374" t="inlineStr">
        <is>
          <t>SKIP: No Trade result. Market regime NEUTRAL; sector STRONG; net R/R 0.00.</t>
        </is>
      </c>
      <c r="O374" t="inlineStr">
        <is>
          <t>BAC
No Trade
0.00
score
Price
53.89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49.13 - 49.69
Swing Low
45.88
Swing High
55.11
Click chart to open full size</t>
        </is>
      </c>
      <c r="P374" t="inlineStr">
        <is>
          <t>agent_results/charts/market_lens_agent_20260609_164637_bac.png</t>
        </is>
      </c>
      <c r="Q374" t="inlineStr">
        <is>
          <t>Smart Universe: broad liquid US universe, diversified by sector | Sector: Financials - Strong (72/100); XLF sector regime is strong: 5.6% 3m return, -2.1% vs SPY | Setup: No Trade; score 0.00; R/R 0.00x; price 53.89 | Market: NEUTRAL; Sector regime: STRONG; Net R/R: 0.00; Factors: Financials | Agent action: SKIP - SKIP: No Trade result. Market regime NEUTRAL; sector STRONG; net R/R 0.00.</t>
        </is>
      </c>
      <c r="R374" t="inlineStr">
        <is>
          <t>{"adjusted_cash_out": 0.0, "adjusted_position_size": 0, "adjusted_risk_amount": 0.0, "ask": 0.0, "bid": 0.0, "buy_zone_high": null, "buy_zone_low": null, "cash_available": 99725.38, "company_name": "Bank of America Corporation", "correlation_warning": false, "days_to_earnings": 25, "earnings_blackout": false, "earnings_date": "2026-07-14T00:00:00", "estimated_fees": 0.0, "estimated_slippage": 0.0754, "estimated_spread": 0.0162, "executable_entry": 53.89, "execution_liquidity_bucket": "large_liquid", "factor_exposure_after": {}, "factor_exposure_before": {}, "factor_exposure_cap": 7000.0, "factor_exposure_limit_exceeded": false, "factor_tags": ["Financials"], "final_action": "SKIP", "gross_reward_1_per_share": 0.0, "gross_reward_2_per_share": 0.0, "gross_risk_per_share": 53.89, "gross_rr": 0.0, "gross_rr_1": 0.0, "gross_rr_2": 0.0, "gross_rr_decision": 0.0, "highest_correlation_ticker": "", "highest_correlation_value": null, "initial_action": "SKIP", "market_cap": 381938506671.11,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53.9358, "net_reward_1_per_share": 0.0, "net_reward_2_per_share": 0.0, "net_risk_per_share": 53.9816, "net_rr": 0.0, "net_rr_1": 0.0, "net_rr_2": 0.0, "net_stop_assumption": -0.0458, "net_target_1_assumption": -0.0269, "net_target_2_assumption": -0.0269, "normalized_atr_score": 100.0, "normalized_liquidity_score": 52.2, "normalized_momentum_score": 100, "normalized_quality_score": 85.66,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53.89,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53.89, "ticker": "BAC", "timestamp": "2026-06-09T16:59:50", "warnings": ["Target ATR feasibility unavailable."]}</t>
        </is>
      </c>
    </row>
    <row r="375">
      <c r="A375" t="inlineStr">
        <is>
          <t>2026-06-09T16:59:50</t>
        </is>
      </c>
      <c r="B375" t="inlineStr">
        <is>
          <t>ESS</t>
        </is>
      </c>
      <c r="C375" t="inlineStr">
        <is>
          <t>No Trade</t>
        </is>
      </c>
      <c r="D375" t="n">
        <v>0</v>
      </c>
      <c r="E375" t="n">
        <v>284.23</v>
      </c>
      <c r="H375" t="n">
        <v>0</v>
      </c>
      <c r="K375" t="n">
        <v>0</v>
      </c>
      <c r="L375" t="inlineStr">
        <is>
          <t>No clean technical setup detected. Price in middle of value area or poor risk/reward.</t>
        </is>
      </c>
      <c r="M375" t="inlineStr">
        <is>
          <t>SKIP</t>
        </is>
      </c>
      <c r="N375" t="inlineStr">
        <is>
          <t>SKIP: No Trade result. Market regime NEUTRAL; sector STRONG; net R/R 0.00.</t>
        </is>
      </c>
      <c r="O375" t="inlineStr">
        <is>
          <t>ESS
No Trade
0.00
score
Price
284.23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242.88
Fib Zone
241.55 - 244.20
Swing Low
235.91
Swing High
254.14
Click chart to open full size</t>
        </is>
      </c>
      <c r="P375" t="inlineStr">
        <is>
          <t>agent_results/charts/market_lens_agent_20260609_164637_ess.png</t>
        </is>
      </c>
      <c r="Q375" t="inlineStr">
        <is>
          <t>Smart Universe: broad liquid US universe, diversified by sector | Sector: Real Estate - Strong (73/100); XLRE sector regime is strong: 6.8% 3m return, -0.9% vs SPY | Setup: No Trade; score 0.00; R/R 0.00x; price 284.23 | Market: NEUTRAL; Sector regime: STRONG; Net R/R: 0.00; Factors: Real Estate | Agent action: SKIP - SKIP: No Trade result. Market regime NEUTRAL; sector STRONG; net R/R 0.00.</t>
        </is>
      </c>
      <c r="R375" t="inlineStr">
        <is>
          <t>{"adjusted_cash_out": 0.0, "adjusted_position_size": 0, "adjusted_risk_amount": 0.0, "ask": 0.0, "bid": 0.0, "buy_zone_high": null, "buy_zone_low": null, "cash_available": 99725.38, "company_name": "Essex Property Trust", "correlation_warning": false, "days_to_earnings": 35, "earnings_blackout": false, "earnings_date": "2026-07-28T00:00:00", "estimated_fees": 0.0, "estimated_slippage": 0.8527, "estimated_spread": 0.2274, "executable_entry": 284.23, "execution_liquidity_bucket": "mid_liquid", "factor_exposure_after": {}, "factor_exposure_before": {}, "factor_exposure_cap": 7000.0, "factor_exposure_limit_exceeded": false, "factor_tags": ["Real Estate"], "final_action": "SKIP", "gross_reward_1_per_share": 0.0, "gross_reward_2_per_share": 0.0, "gross_risk_per_share": 284.23, "gross_rr": 0.0, "gross_rr_1": 0.0, "gross_rr_2": 0.0, "gross_rr_decision": 0.0, "highest_correlation_ticker": "", "highest_correlation_value": null, "initial_action": "SKIP", "market_cap": 18274432028.12,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284.77, "net_reward_1_per_share": 0.0, "net_reward_2_per_share": 0.0, "net_risk_per_share": 285.3101, "net_rr": 0.0, "net_rr_1": 0.0, "net_rr_2": 0.0, "net_stop_assumption": -0.54, "net_target_1_assumption": -0.3269, "net_target_2_assumption": -0.3269, "normalized_atr_score": 100.0, "normalized_liquidity_score": 21.09, "normalized_momentum_score": 100, "normalized_quality_score": 76.33,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284.23,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284.23, "ticker": "ESS", "timestamp": "2026-06-09T16:59:50", "warnings": ["Target ATR feasibility unavailable."]}</t>
        </is>
      </c>
    </row>
    <row r="376">
      <c r="A376" t="inlineStr">
        <is>
          <t>2026-06-09T16:59:50</t>
        </is>
      </c>
      <c r="B376" t="inlineStr">
        <is>
          <t>JPM</t>
        </is>
      </c>
      <c r="C376" t="inlineStr">
        <is>
          <t>No Trade</t>
        </is>
      </c>
      <c r="D376" t="n">
        <v>0</v>
      </c>
      <c r="E376" t="n">
        <v>310.91</v>
      </c>
      <c r="H376" t="n">
        <v>0</v>
      </c>
      <c r="K376" t="n">
        <v>0</v>
      </c>
      <c r="L376" t="inlineStr">
        <is>
          <t>No clean technical setup detected. Price in middle of value area or poor risk/reward.</t>
        </is>
      </c>
      <c r="M376" t="inlineStr">
        <is>
          <t>SKIP</t>
        </is>
      </c>
      <c r="N376" t="inlineStr">
        <is>
          <t>SKIP: No Trade result. Market regime NEUTRAL; sector STRONG; net R/R 0.00.</t>
        </is>
      </c>
      <c r="O376" t="inlineStr">
        <is>
          <t>JPM
No Trade
0.00
score
Price
310.91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298.29 - 301.47
Swing Low
293.67
Swing High
309.93
Click chart to open full size</t>
        </is>
      </c>
      <c r="P376" t="inlineStr">
        <is>
          <t>agent_results/charts/market_lens_agent_20260609_164637_jpm.png</t>
        </is>
      </c>
      <c r="Q376" t="inlineStr">
        <is>
          <t>Smart Universe: broad liquid US universe, diversified by sector | Sector: Financials - Strong (72/100); XLF sector regime is strong: 5.6% 3m return, -2.1% vs SPY | Setup: No Trade; score 0.00; R/R 0.00x; price 310.91 | Market: NEUTRAL; Sector regime: STRONG; Net R/R: 0.00; Factors: Financials | Agent action: SKIP - SKIP: No Trade result. Market regime NEUTRAL; sector STRONG; net R/R 0.00.</t>
        </is>
      </c>
      <c r="R376" t="inlineStr">
        <is>
          <t>{"adjusted_cash_out": 0.0, "adjusted_position_size": 0, "adjusted_risk_amount": 0.0, "ask": 0.0, "bid": 0.0, "buy_zone_high": null, "buy_zone_low": null, "cash_available": 99725.38, "company_name": "JPMorgan Chase &amp; Co.", "correlation_warning": false, "days_to_earnings": 25, "earnings_blackout": false, "earnings_date": "2026-07-14T00:00:00", "estimated_fees": 0.0, "estimated_slippage": 0.4353, "estimated_spread": 0.0933, "executable_entry": 310.91, "execution_liquidity_bucket": "large_liquid", "factor_exposure_after": {}, "factor_exposure_before": {}, "factor_exposure_cap": 7000.0, "factor_exposure_limit_exceeded": false, "factor_tags": ["Financials"], "final_action": "SKIP", "gross_reward_1_per_share": 0.0, "gross_reward_2_per_share": 0.0, "gross_risk_per_share": 310.91, "gross_rr": 0.0, "gross_rr_1": 0.0, "gross_rr_2": 0.0, "gross_rr_decision": 0.0, "highest_correlation_ticker": "", "highest_correlation_value": null, "initial_action": "SKIP", "market_cap": 832443848209.83,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311.1743, "net_reward_1_per_share": 0.0, "net_reward_2_per_share": 0.0, "net_risk_per_share": 311.4385, "net_rr": 0.0, "net_rr_1": 0.0, "net_rr_2": 0.0, "net_stop_assumption": -0.2643, "net_target_1_assumption": -0.1555, "net_target_2_assumption": -0.1555, "normalized_atr_score": 100.0, "normalized_liquidity_score": 58.86, "normalized_momentum_score": 86.67, "normalized_quality_score": 81.66,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310.91,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310.91, "ticker": "JPM", "timestamp": "2026-06-09T16:59:50", "warnings": ["Target ATR feasibility unavailable."]}</t>
        </is>
      </c>
    </row>
    <row r="377">
      <c r="A377" t="inlineStr">
        <is>
          <t>2026-06-09T16:59:50</t>
        </is>
      </c>
      <c r="B377" t="inlineStr">
        <is>
          <t>SPG</t>
        </is>
      </c>
      <c r="C377" t="inlineStr">
        <is>
          <t>No Trade</t>
        </is>
      </c>
      <c r="D377" t="n">
        <v>0</v>
      </c>
      <c r="E377" t="n">
        <v>211.44</v>
      </c>
      <c r="H377" t="n">
        <v>0</v>
      </c>
      <c r="K377" t="n">
        <v>0</v>
      </c>
      <c r="L377" t="inlineStr">
        <is>
          <t>No clean technical setup detected. Price in middle of value area or poor risk/reward.</t>
        </is>
      </c>
      <c r="M377" t="inlineStr">
        <is>
          <t>SKIP</t>
        </is>
      </c>
      <c r="N377" t="inlineStr">
        <is>
          <t>SKIP: No Trade result. Market regime NEUTRAL; sector STRONG; net R/R 0.00.</t>
        </is>
      </c>
      <c r="O377" t="inlineStr">
        <is>
          <t>SPG
No Trade
0.00
score
Price
211.44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202.52
Fib Zone
201.55 - 203.49
Swing Low
198.64
Swing High
208.79
Click chart to open full size</t>
        </is>
      </c>
      <c r="P377" t="inlineStr">
        <is>
          <t>agent_results/charts/market_lens_agent_20260609_164637_spg.png</t>
        </is>
      </c>
      <c r="Q377" t="inlineStr">
        <is>
          <t>Smart Universe: broad liquid US universe, diversified by sector | Sector: Real Estate - Strong (73/100); XLRE sector regime is strong: 6.8% 3m return, -0.9% vs SPY | Setup: No Trade; score 0.00; R/R 0.00x; price 211.44 | Market: NEUTRAL; Sector regime: STRONG; Net R/R: 0.00; Factors: Real Estate | Agent action: SKIP - SKIP: No Trade result. Market regime NEUTRAL; sector STRONG; net R/R 0.00.</t>
        </is>
      </c>
      <c r="R377" t="inlineStr">
        <is>
          <t>{"adjusted_cash_out": 0.0, "adjusted_position_size": 0, "adjusted_risk_amount": 0.0, "ask": 0.0, "bid": 0.0, "buy_zone_high": null, "buy_zone_low": null, "cash_available": 99725.38, "company_name": "Simon Property Group", "correlation_warning": false, "days_to_earnings": 39, "earnings_blackout": false, "earnings_date": "2026-08-03T00:00:00", "estimated_fees": 0.0, "estimated_slippage": 0.6343, "estimated_spread": 0.1692, "executable_entry": 211.44, "execution_liquidity_bucket": "mid_liquid", "factor_exposure_after": {}, "factor_exposure_before": {}, "factor_exposure_cap": 7000.0, "factor_exposure_limit_exceeded": false, "factor_tags": ["Real Estate"], "final_action": "SKIP", "gross_reward_1_per_share": 0.0, "gross_reward_2_per_share": 0.0, "gross_risk_per_share": 211.44, "gross_rr": 0.0, "gross_rr_1": 0.0, "gross_rr_2": 0.0, "gross_rr_decision": 0.0, "highest_correlation_ticker": "", "highest_correlation_value": null, "initial_action": "SKIP", "market_cap": 68593803571.76,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211.8417, "net_reward_1_per_share": 0.0, "net_reward_2_per_share": 0.0, "net_risk_per_share": 212.2435, "net_rr": 0.0, "net_rr_1": 0.0, "net_rr_2": 0.0, "net_stop_assumption": -0.4017, "net_target_1_assumption": -0.2432, "net_target_2_assumption": -0.2432, "normalized_atr_score": 100.0, "normalized_liquidity_score": 38.35, "normalized_momentum_score": 95.45, "normalized_quality_score": 79.46,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211.44,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211.44, "ticker": "SPG", "timestamp": "2026-06-09T16:59:50", "warnings": ["Target ATR feasibility unavailable."]}</t>
        </is>
      </c>
    </row>
    <row r="378">
      <c r="A378" t="inlineStr">
        <is>
          <t>2026-06-09T16:59:50</t>
        </is>
      </c>
      <c r="B378" t="inlineStr">
        <is>
          <t>TSM</t>
        </is>
      </c>
      <c r="C378" t="inlineStr">
        <is>
          <t>No Trade</t>
        </is>
      </c>
      <c r="D378" t="n">
        <v>0</v>
      </c>
      <c r="E378" t="n">
        <v>407.28</v>
      </c>
      <c r="H378" t="n">
        <v>0</v>
      </c>
      <c r="K378" t="n">
        <v>0</v>
      </c>
      <c r="L378" t="inlineStr">
        <is>
          <t>No clean technical setup detected. Price in middle of value area or poor risk/reward.</t>
        </is>
      </c>
      <c r="M378" t="inlineStr">
        <is>
          <t>SKIP</t>
        </is>
      </c>
      <c r="N378" t="inlineStr">
        <is>
          <t>SKIP: No Trade result. Market regime NEUTRAL; sector STRONG; net R/R 0.00.</t>
        </is>
      </c>
      <c r="O378" t="inlineStr">
        <is>
          <t>TSM
No Trade
0.00
score
Price
407.28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381.16
Fib Zone
376.66 - 385.66
Swing Low
360.55
Swing High
414.50
Click chart to open full size</t>
        </is>
      </c>
      <c r="P378" t="inlineStr">
        <is>
          <t>agent_results/charts/market_lens_agent_20260609_164637_tsm.png</t>
        </is>
      </c>
      <c r="Q378" t="inlineStr">
        <is>
          <t>Smart Universe: broad liquid US universe, diversified by sector | Sector: Semiconductors - Strong (75/100); SMH sector regime is strong: 40.3% 3m return, 32.7% vs SPY | Setup: No Trade; score 0.00; R/R 0.00x; price 407.28 | Market: NEUTRAL; Sector regime: STRONG; Net R/R: 0.00; Factors: AI / Semiconductors, Semiconductors | Agent action: SKIP - SKIP: No Trade result. Market regime NEUTRAL; sector STRONG; net R/R 0.00.</t>
        </is>
      </c>
      <c r="R378" t="inlineStr">
        <is>
          <t>{"adjusted_cash_out": 0.0, "adjusted_position_size": 0, "adjusted_risk_amount": 0.0, "ask": 0.0, "bid": 0.0, "buy_zone_high": null, "buy_zone_low": null, "cash_available": 99725.38, "company_name": "Taiwan Semiconductor Manufacturing Company Limited", "correlation_warning": false, "days_to_earnings": 27, "earnings_blackout": false, "earnings_date": "2026-07-16T00:00:00", "estimated_fees": 0.0, "estimated_slippage": 0.5702, "estimated_spread": 0.1222, "executable_entry": 407.28, "execution_liquidity_bucket": "large_liquid", "factor_exposure_after": {}, "factor_exposure_before": {}, "factor_exposure_cap": 7000.0, "factor_exposure_limit_exceeded": false, "factor_tags": ["AI / Semiconductors", "Semiconductors"], "final_action": "SKIP", "gross_reward_1_per_share": 0.0, "gross_reward_2_per_share": 0.0, "gross_risk_per_share": 407.28, "gross_rr": 0.0, "gross_rr_1": 0.0, "gross_rr_2": 0.0, "gross_rr_decision": 0.0, "highest_correlation_ticker": "", "highest_correlation_value": null, "initial_action": "SKIP", "market_cap": 2129099497725.79,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407.6262, "net_reward_1_per_share": 0.0, "net_reward_2_per_share": 0.0, "net_risk_per_share": 407.9724, "net_rr": 0.0, "net_rr_1": 0.0, "net_rr_2": 0.0, "net_stop_assumption": -0.3462, "net_target_1_assumption": -0.2036, "net_target_2_assumption": -0.2036, "normalized_atr_score": 100.0, "normalized_liquidity_score": 79.04, "normalized_momentum_score": 100, "normalized_quality_score": 93.71,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407.28,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75.32, "setup_score": 0.0, "setup_type": "No Trade", "sizing_adjustment_reason": "", "spread_source": "liquidity_fallback", "stock_score": 0.0, "stop_loss": 0.0, "target_1": null, "target_1_atr_distance": 0.0, "target_2": null, "target_2_atr_distance": 0.0, "target_feasibility_status": "UNKNOWN", "theoretical_entry": 407.28, "ticker": "TSM", "timestamp": "2026-06-09T16:59:50", "warnings": ["Target ATR feasibility unavailable."]}</t>
        </is>
      </c>
    </row>
    <row r="379">
      <c r="A379" t="inlineStr">
        <is>
          <t>2026-06-09T16:59:50</t>
        </is>
      </c>
      <c r="B379" t="inlineStr">
        <is>
          <t>CAT</t>
        </is>
      </c>
      <c r="C379" t="inlineStr">
        <is>
          <t>No Trade</t>
        </is>
      </c>
      <c r="D379" t="n">
        <v>0</v>
      </c>
      <c r="E379" t="n">
        <v>882.62</v>
      </c>
      <c r="H379" t="n">
        <v>0</v>
      </c>
      <c r="K379" t="n">
        <v>0</v>
      </c>
      <c r="L379" t="inlineStr">
        <is>
          <t>No clean technical setup detected. Price in middle of value area or poor risk/reward.</t>
        </is>
      </c>
      <c r="M379" t="inlineStr">
        <is>
          <t>SKIP</t>
        </is>
      </c>
      <c r="N379" t="inlineStr">
        <is>
          <t>SKIP: No Trade result. Market regime NEUTRAL; sector NEUTRAL; net R/R 0.00.</t>
        </is>
      </c>
      <c r="O379" t="inlineStr">
        <is>
          <t>CAT
No Trade
0.00
score
Price
882.62
R/R
0.00x
Grade
No Trade
Quality
0%
Buy Zone
-
Stop
0.00
Targets
-
Skip
Mixed
Relative Strength
Leadership
95%
Trend Quality
Constructive
68%
Liquidity
Institutional liquidity
100%
Volume
Distribution risk
45%
No actionable setup detected.
No clean technical setup detected. Price in middle of value area or poor risk/reward.
Fib 61.8
764.64
Fib Zone
756.61 - 772.67
Swing Low
661.59
Swing High
931.35
Click chart to open full size</t>
        </is>
      </c>
      <c r="P379" t="inlineStr">
        <is>
          <t>agent_results/charts/market_lens_agent_20260609_164637_cat.png</t>
        </is>
      </c>
      <c r="Q379" t="inlineStr">
        <is>
          <t>Smart Universe: broad liquid US universe, diversified by sector | Sector: Industrials - Neutral (46/100); XLI sector regime is neutral: 2.0% 3m return, -5.7% vs SPY | Setup: No Trade; score 0.00; R/R 0.00x; price 882.62 | Market: NEUTRAL; Sector regime: NEUTRAL; Net R/R: 0.00; Factors: Industrials | Agent action: SKIP - SKIP: No Trade result. Market regime NEUTRAL; sector NEUTRAL; net R/R 0.00.</t>
        </is>
      </c>
      <c r="R379" t="inlineStr">
        <is>
          <t>{"adjusted_cash_out": 0.0, "adjusted_position_size": 0, "adjusted_risk_amount": 0.0, "ask": 0.0, "bid": 0.0, "buy_zone_high": null, "buy_zone_low": null, "cash_available": 99725.38, "company_name": "Caterpillar Inc.", "correlation_warning": false, "days_to_earnings": 40, "earnings_blackout": false, "earnings_date": "2026-08-04T00:00:00", "estimated_fees": 0.0, "estimated_slippage": 1.2357, "estimated_spread": 0.2648, "executable_entry": 882.62, "execution_liquidity_bucket": "large_liquid", "factor_exposure_after": {}, "factor_exposure_before": {}, "factor_exposure_cap": 7000.0, "factor_exposure_limit_exceeded": false, "factor_tags": ["Industrials"], "final_action": "SKIP", "gross_reward_1_per_share": 0.0, "gross_reward_2_per_share": 0.0, "gross_risk_per_share": 882.62, "gross_rr": 0.0, "gross_rr_1": 0.0, "gross_rr_2": 0.0, "gross_rr_decision": 0.0, "highest_correlation_ticker": "", "highest_correlation_value": null, "initial_action": "SKIP", "market_cap": 408038448984.62,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883.3702, "net_reward_1_per_share": 0.0, "net_reward_2_per_share": 0.0, "net_risk_per_share": 884.1205, "net_rr": 0.0, "net_rr_1": 0.0, "net_rr_2": 0.0, "net_stop_assumption": -0.7502, "net_target_1_assumption": -0.4413, "net_target_2_assumption": -0.4413, "normalized_atr_score": 100.0, "normalized_liquidity_score": 56.44, "normalized_momentum_score": 100, "normalized_quality_score": 86.93,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882.62,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882.62, "ticker": "CAT", "timestamp": "2026-06-09T16:59:50", "warnings": ["Target ATR feasibility unavailable."]}</t>
        </is>
      </c>
    </row>
    <row r="380">
      <c r="A380" t="inlineStr">
        <is>
          <t>2026-06-09T16:59:50</t>
        </is>
      </c>
      <c r="B380" t="inlineStr">
        <is>
          <t>MRK</t>
        </is>
      </c>
      <c r="C380" t="inlineStr">
        <is>
          <t>No Trade</t>
        </is>
      </c>
      <c r="D380" t="n">
        <v>0</v>
      </c>
      <c r="E380" t="n">
        <v>120.19</v>
      </c>
      <c r="H380" t="n">
        <v>0</v>
      </c>
      <c r="K380" t="n">
        <v>0</v>
      </c>
      <c r="L380" t="inlineStr">
        <is>
          <t>No clean technical setup detected. Price in middle of value area or poor risk/reward.</t>
        </is>
      </c>
      <c r="M380" t="inlineStr">
        <is>
          <t>SKIP</t>
        </is>
      </c>
      <c r="N380" t="inlineStr">
        <is>
          <t>SKIP: No Trade result. Market regime NEUTRAL; sector STRONG; net R/R 0.00.</t>
        </is>
      </c>
      <c r="O380" t="inlineStr">
        <is>
          <t>MRK
No Trade
0.00
score
Price
120.19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114.81 - 116.39
Swing Low
110.94
Swing High
123.13
Click chart to open full size</t>
        </is>
      </c>
      <c r="P380" t="inlineStr">
        <is>
          <t>agent_results/charts/market_lens_agent_20260609_164637_mrk.png</t>
        </is>
      </c>
      <c r="Q380" t="inlineStr">
        <is>
          <t>Smart Universe: broad liquid US universe, diversified by sector | Sector: Healthcare - Strong (69/100); XLV sector regime is strong: 1.2% 3m return, -6.5% vs SPY | Setup: No Trade; score 0.00; R/R 0.00x; price 120.19 | Market: NEUTRAL; Sector regime: STRONG; Net R/R: 0.00; Factors: Defensive, Healthcare | Agent action: SKIP - SKIP: No Trade result. Market regime NEUTRAL; sector STRONG; net R/R 0.00.</t>
        </is>
      </c>
      <c r="R380" t="inlineStr">
        <is>
          <t>{"adjusted_cash_out": 0.0, "adjusted_position_size": 0, "adjusted_risk_amount": 0.0, "ask": 0.0, "bid": 0.0, "buy_zone_high": null, "buy_zone_low": null, "cash_available": 99725.38, "company_name": "Merck &amp; Co., Inc.", "correlation_warning": false, "days_to_earnings": 40, "earnings_blackout": false, "earnings_date": "2026-08-04T00:00:00", "estimated_fees": 0.0, "estimated_slippage": 0.1683, "estimated_spread": 0.0361, "executable_entry": 120.19, "execution_liquidity_bucket": "large_liquid", "factor_exposure_after": {}, "factor_exposure_before": {}, "factor_exposure_cap": 7000.0, "factor_exposure_limit_exceeded": false, "factor_tags": ["Defensive", "Healthcare"], "final_action": "SKIP", "gross_reward_1_per_share": 0.0, "gross_reward_2_per_share": 0.0, "gross_risk_per_share": 120.19, "gross_rr": 0.0, "gross_rr_1": 0.0, "gross_rr_2": 0.0, "gross_rr_decision": 0.0, "highest_correlation_ticker": "", "highest_correlation_value": null, "initial_action": "SKIP", "market_cap": 296934636524.72,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120.2922, "net_reward_1_per_share": 0.0, "net_reward_2_per_share": 0.0, "net_risk_per_share": 120.3943, "net_rr": 0.0, "net_rr_1": 0.0, "net_rr_2": 0.0, "net_stop_assumption": -0.1022, "net_target_1_assumption": -0.0601, "net_target_2_assumption": -0.0601, "normalized_atr_score": 100.0, "normalized_liquidity_score": 38.97, "normalized_momentum_score": 78.06, "normalized_quality_score": 71.82,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120.19,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120.19, "ticker": "MRK", "timestamp": "2026-06-09T16:59:50", "warnings": ["Target ATR feasibility unavailable."]}</t>
        </is>
      </c>
    </row>
    <row r="381">
      <c r="A381" t="inlineStr">
        <is>
          <t>2026-06-09T16:59:50</t>
        </is>
      </c>
      <c r="B381" t="inlineStr">
        <is>
          <t>PRU</t>
        </is>
      </c>
      <c r="C381" t="inlineStr">
        <is>
          <t>No Trade</t>
        </is>
      </c>
      <c r="D381" t="n">
        <v>0</v>
      </c>
      <c r="E381" t="n">
        <v>103.09</v>
      </c>
      <c r="H381" t="n">
        <v>0</v>
      </c>
      <c r="K381" t="n">
        <v>0</v>
      </c>
      <c r="L381" t="inlineStr">
        <is>
          <t>No clean technical setup detected. Price in middle of value area or poor risk/reward.</t>
        </is>
      </c>
      <c r="M381" t="inlineStr">
        <is>
          <t>SKIP</t>
        </is>
      </c>
      <c r="N381" t="inlineStr">
        <is>
          <t>SKIP: No Trade result. Market regime NEUTRAL; sector STRONG; net R/R 0.00.</t>
        </is>
      </c>
      <c r="O381" t="inlineStr">
        <is>
          <t>PRU
No Trade
0.00
score
Price
103.09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96.03
Fib Zone
95.50 - 96.56
Swing Low
91.41
Swing High
103.50
Click chart to open full size</t>
        </is>
      </c>
      <c r="P381" t="inlineStr">
        <is>
          <t>agent_results/charts/market_lens_agent_20260609_164637_pru.png</t>
        </is>
      </c>
      <c r="Q381" t="inlineStr">
        <is>
          <t>Smart Universe: broad liquid US universe, diversified by sector | Sector: Financials - Strong (72/100); XLF sector regime is strong: 5.6% 3m return, -2.1% vs SPY | Setup: No Trade; score 0.00; R/R 0.00x; price 103.09 | Market: NEUTRAL; Sector regime: STRONG; Net R/R: 0.00; Factors: Financials | Agent action: SKIP - SKIP: No Trade result. Market regime NEUTRAL; sector STRONG; net R/R 0.00.</t>
        </is>
      </c>
      <c r="R381" t="inlineStr">
        <is>
          <t>{"adjusted_cash_out": 0.0, "adjusted_position_size": 0, "adjusted_risk_amount": 0.0, "ask": 0.0, "bid": 0.0, "buy_zone_high": null, "buy_zone_low": null, "cash_available": 99725.38, "company_name": "Prudential Financial", "correlation_warning": false, "days_to_earnings": 36, "earnings_blackout": false, "earnings_date": "2026-07-29T00:00:00", "estimated_fees": 0.0, "estimated_slippage": 0.3093, "estimated_spread": 0.0825, "executable_entry": 103.09, "execution_liquidity_bucket": "mid_liquid", "factor_exposure_after": {}, "factor_exposure_before": {}, "factor_exposure_cap": 7000.0, "factor_exposure_limit_exceeded": false, "factor_tags": ["Financials"], "final_action": "SKIP", "gross_reward_1_per_share": 0.0, "gross_reward_2_per_share": 0.0, "gross_risk_per_share": 103.09, "gross_rr": 0.0, "gross_rr_1": 0.0, "gross_rr_2": 0.0, "gross_rr_decision": 0.0, "highest_correlation_ticker": "", "highest_correlation_value": null, "initial_action": "SKIP", "market_cap": 35725860718.01,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103.2859, "net_reward_1_per_share": 0.0, "net_reward_2_per_share": 0.0, "net_risk_per_share": 103.4817, "net_rr": 0.0, "net_rr_1": 0.0, "net_rr_2": 0.0, "net_stop_assumption": -0.1959, "net_target_1_assumption": -0.1186, "net_target_2_assumption": -0.1186, "normalized_atr_score": 100.0, "normalized_liquidity_score": 25.27, "normalized_momentum_score": 86.39, "normalized_quality_score": 71.46,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103.09,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103.09, "ticker": "PRU", "timestamp": "2026-06-09T16:59:50", "warnings": ["Target ATR feasibility unavailable."]}</t>
        </is>
      </c>
    </row>
    <row r="382">
      <c r="A382" t="inlineStr">
        <is>
          <t>2026-06-09T16:59:50</t>
        </is>
      </c>
      <c r="B382" t="inlineStr">
        <is>
          <t>ABBV</t>
        </is>
      </c>
      <c r="C382" t="inlineStr">
        <is>
          <t>No Trade</t>
        </is>
      </c>
      <c r="D382" t="n">
        <v>0</v>
      </c>
      <c r="E382" t="n">
        <v>226.51</v>
      </c>
      <c r="H382" t="n">
        <v>0</v>
      </c>
      <c r="K382" t="n">
        <v>0</v>
      </c>
      <c r="L382" t="inlineStr">
        <is>
          <t>No clean technical setup detected. Price in middle of value area or poor risk/reward.</t>
        </is>
      </c>
      <c r="M382" t="inlineStr">
        <is>
          <t>SKIP</t>
        </is>
      </c>
      <c r="N382" t="inlineStr">
        <is>
          <t>SKIP: No Trade result. Market regime NEUTRAL; sector STRONG; net R/R 0.00.</t>
        </is>
      </c>
      <c r="O382" t="inlineStr">
        <is>
          <t>ABBV
No Trade
0.00
score
Price
226.51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207.66
Fib Zone
206.23 - 209.08
Swing Low
200.02
Swing High
220.01
Click chart to open full size</t>
        </is>
      </c>
      <c r="P382" t="inlineStr">
        <is>
          <t>agent_results/charts/market_lens_agent_20260609_164637_abbv.png</t>
        </is>
      </c>
      <c r="Q382" t="inlineStr">
        <is>
          <t>Smart Universe: broad liquid US universe, diversified by sector | Sector: Healthcare - Strong (69/100); XLV sector regime is strong: 1.2% 3m return, -6.5% vs SPY | Setup: No Trade; score 0.00; R/R 0.00x; price 226.51 | Market: NEUTRAL; Sector regime: STRONG; Net R/R: 0.00; Factors: Defensive, Healthcare | Agent action: SKIP - SKIP: No Trade result. Market regime NEUTRAL; sector STRONG; net R/R 0.00.</t>
        </is>
      </c>
      <c r="R382" t="inlineStr">
        <is>
          <t>{"adjusted_cash_out": 0.0, "adjusted_position_size": 0, "adjusted_risk_amount": 0.0, "ask": 0.0, "bid": 0.0, "buy_zone_high": null, "buy_zone_low": null, "cash_available": 99725.38, "company_name": "AbbVie Inc.", "correlation_warning": false, "days_to_earnings": 37, "earnings_blackout": false, "earnings_date": "2026-07-30T00:00:00", "estimated_fees": 0.0, "estimated_slippage": 0.3171, "estimated_spread": 0.068, "executable_entry": 226.51,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226.51, "gross_rr": 0.0, "gross_rr_1": 0.0, "gross_rr_2": 0.0, "gross_rr_decision": 0.0, "highest_correlation_ticker": "", "highest_correlation_value": null, "initial_action": "SKIP", "market_cap": 399842879007.05,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226.7025, "net_reward_1_per_share": 0.0, "net_reward_2_per_share": 0.0, "net_risk_per_share": 226.8951, "net_rr": 0.0, "net_rr_1": 0.0, "net_rr_2": 0.0, "net_stop_assumption": -0.1925, "net_target_1_assumption": -0.1133, "net_target_2_assumption": -0.1133, "normalized_atr_score": 100.0, "normalized_liquidity_score": 39.15, "normalized_momentum_score": 69.37, "normalized_quality_score": 67.96,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226.51,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226.51, "ticker": "ABBV", "timestamp": "2026-06-09T16:59:50", "warnings": ["Target ATR feasibility unavailable."]}</t>
        </is>
      </c>
    </row>
    <row r="383">
      <c r="A383" t="inlineStr">
        <is>
          <t>2026-06-09T16:59:50</t>
        </is>
      </c>
      <c r="B383" t="inlineStr">
        <is>
          <t>AAPL</t>
        </is>
      </c>
      <c r="C383" t="inlineStr">
        <is>
          <t>No Trade</t>
        </is>
      </c>
      <c r="D383" t="n">
        <v>0</v>
      </c>
      <c r="E383" t="n">
        <v>288.23</v>
      </c>
      <c r="H383" t="n">
        <v>0</v>
      </c>
      <c r="K383" t="n">
        <v>0</v>
      </c>
      <c r="L383" t="inlineStr">
        <is>
          <t>No clean technical setup detected. Price in middle of value area or poor risk/reward.</t>
        </is>
      </c>
      <c r="M383" t="inlineStr">
        <is>
          <t>SKIP</t>
        </is>
      </c>
      <c r="N383" t="inlineStr">
        <is>
          <t>SKIP: No Trade result. Market regime NEUTRAL; sector STRONG; net R/R 0.00.</t>
        </is>
      </c>
      <c r="O383" t="inlineStr">
        <is>
          <t>AAPL
No Trade
0.00
score
Price
288.23
R/R
0.00x
Grade
No Trade
Quality
0%
Buy Zone
-
Stop
0.00
Targets
-
Skip
Mixed
Relative Strength
In line
66%
Trend Quality
Constructive
68%
Liquidity
Institutional liquidity
100%
Volume
Distribution risk
30%
No actionable setup detected.
No clean technical setup detected. Price in middle of value area or poor risk/reward.
Fib 61.8
257.26
Fib Zone
255.44 - 259.09
Swing Low
242.97
Swing High
280.39
Click chart to open full size</t>
        </is>
      </c>
      <c r="P383" t="inlineStr">
        <is>
          <t>agent_results/charts/market_lens_agent_20260609_164637_aapl.png</t>
        </is>
      </c>
      <c r="Q383" t="inlineStr">
        <is>
          <t>Smart Universe: broad liquid US universe, diversified by sector | Sector: Technology - Strong (71/100); XLK sector regime is strong: 24.7% 3m return, 17.0% vs SPY | Setup: No Trade; score 0.00; R/R 0.00x; price 288.23 | Market: NEUTRAL; Sector regime: STRONG; Net R/R: 0.00; Factors: Mega Cap Tech, Rates-sensitive Growth, Technology | Agent action: SKIP - SKIP: No Trade result. Market regime NEUTRAL; sector STRONG; net R/R 0.00.</t>
        </is>
      </c>
      <c r="R383" t="inlineStr">
        <is>
          <t>{"adjusted_cash_out": 0.0, "adjusted_position_size": 0, "adjusted_risk_amount": 0.0, "ask": 0.0, "bid": 0.0, "buy_zone_high": null, "buy_zone_low": null, "cash_available": 99725.38, "company_name": "Apple Inc.", "correlation_warning": false, "days_to_earnings": 37, "earnings_blackout": false, "earnings_date": "2026-07-30T00:00:00", "estimated_fees": 0.0, "estimated_slippage": 0.4035, "estimated_spread": 0.0865, "executable_entry": 288.23, "execution_liquidity_bucket": "large_liquid", "factor_exposure_after": {}, "factor_exposure_before": {}, "factor_exposure_cap": 7000.0, "factor_exposure_limit_exceeded": false, "factor_tags": ["Mega Cap Tech", "Rates-sensitive Growth", "Technology"], "final_action": "SKIP", "gross_reward_1_per_share": 0.0, "gross_reward_2_per_share": 0.0, "gross_risk_per_share": 288.23, "gross_rr": 0.0, "gross_rr_1": 0.0, "gross_rr_2": 0.0, "gross_rr_decision": 0.0, "highest_correlation_ticker": "", "highest_correlation_value": null, "initial_action": "SKIP", "market_cap": 4249051911510.99,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288.475, "net_reward_1_per_share": 0.0, "net_reward_2_per_share": 0.0, "net_risk_per_share": 288.72, "net_rr": 0.0, "net_rr_1": 0.0, "net_rr_2": 0.0, "net_stop_assumption": -0.245, "net_target_1_assumption": -0.1441, "net_target_2_assumption": -0.1441, "normalized_atr_score": 100.0, "normalized_liquidity_score": 100, "normalized_momentum_score": 87.85, "normalized_quality_score": 94.53,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288.23,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288.23, "ticker": "AAPL", "timestamp": "2026-06-09T16:59:50", "warnings": ["Target ATR feasibility unavailable."]}</t>
        </is>
      </c>
    </row>
    <row r="384">
      <c r="A384" t="inlineStr">
        <is>
          <t>2026-06-09T16:59:50</t>
        </is>
      </c>
      <c r="B384" t="inlineStr">
        <is>
          <t>UNP</t>
        </is>
      </c>
      <c r="C384" t="inlineStr">
        <is>
          <t>No Trade</t>
        </is>
      </c>
      <c r="D384" t="n">
        <v>0</v>
      </c>
      <c r="E384" t="n">
        <v>269.71</v>
      </c>
      <c r="H384" t="n">
        <v>0</v>
      </c>
      <c r="K384" t="n">
        <v>0</v>
      </c>
      <c r="L384" t="inlineStr">
        <is>
          <t>No clean technical setup detected. Price in middle of value area or poor risk/reward.</t>
        </is>
      </c>
      <c r="M384" t="inlineStr">
        <is>
          <t>SKIP</t>
        </is>
      </c>
      <c r="N384" t="inlineStr">
        <is>
          <t>SKIP: No Trade result. Market regime NEUTRAL; sector NEUTRAL; net R/R 0.00.</t>
        </is>
      </c>
      <c r="O384" t="inlineStr">
        <is>
          <t>UNP
No Trade
0.00
score
Price
269.71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263.96 - 267.10
Swing Low
259.69
Swing High
274.97
Click chart to open full size</t>
        </is>
      </c>
      <c r="P384" t="inlineStr">
        <is>
          <t>agent_results/charts/market_lens_agent_20260609_164637_unp.png</t>
        </is>
      </c>
      <c r="Q384" t="inlineStr">
        <is>
          <t>Smart Universe: broad liquid US universe, diversified by sector | Sector: Industrials - Neutral (46/100); XLI sector regime is neutral: 2.0% 3m return, -5.7% vs SPY | Setup: No Trade; score 0.00; R/R 0.00x; price 269.71 | Market: NEUTRAL; Sector regime: NEUTRAL; Net R/R: 0.00; Factors: Industrials | Agent action: SKIP - SKIP: No Trade result. Market regime NEUTRAL; sector NEUTRAL; net R/R 0.00.</t>
        </is>
      </c>
      <c r="R384" t="inlineStr">
        <is>
          <t>{"adjusted_cash_out": 0.0, "adjusted_position_size": 0, "adjusted_risk_amount": 0.0, "ask": 0.0, "bid": 0.0, "buy_zone_high": null, "buy_zone_low": null, "cash_available": 99725.38, "company_name": "Union Pacific Corporation", "correlation_warning": false, "days_to_earnings": 32, "earnings_blackout": false, "earnings_date": "2026-07-23T00:00:00", "estimated_fees": 0.0, "estimated_slippage": 0.3776, "estimated_spread": 0.0809, "executable_entry": 269.71, "execution_liquidity_bucket": "large_liquid", "factor_exposure_after": {}, "factor_exposure_before": {}, "factor_exposure_cap": 7000.0, "factor_exposure_limit_exceeded": false, "factor_tags": ["Industrials"], "final_action": "SKIP", "gross_reward_1_per_share": 0.0, "gross_reward_2_per_share": 0.0, "gross_risk_per_share": 269.71, "gross_rr": 0.0, "gross_rr_1": 0.0, "gross_rr_2": 0.0, "gross_rr_decision": 0.0, "highest_correlation_ticker": "", "highest_correlation_value": null, "initial_action": "SKIP", "market_cap": 159744475640.28,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269.9393, "net_reward_1_per_share": 0.0, "net_reward_2_per_share": 0.0, "net_risk_per_share": 270.1685, "net_rr": 0.0, "net_rr_1": 0.0, "net_rr_2": 0.0, "net_stop_assumption": -0.2293, "net_target_1_assumption": -0.1349, "net_target_2_assumption": -0.1349, "normalized_atr_score": 100.0, "normalized_liquidity_score": 61.32, "normalized_momentum_score": 78.97, "normalized_quality_score": 78.93,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269.71,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269.71, "ticker": "UNP", "timestamp": "2026-06-09T16:59:50", "warnings": ["Target ATR feasibility unavailable."]}</t>
        </is>
      </c>
    </row>
    <row r="385">
      <c r="A385" t="inlineStr">
        <is>
          <t>2026-06-09T16:59:50</t>
        </is>
      </c>
      <c r="B385" t="inlineStr">
        <is>
          <t>SBAC</t>
        </is>
      </c>
      <c r="C385" t="inlineStr">
        <is>
          <t>No Trade</t>
        </is>
      </c>
      <c r="D385" t="n">
        <v>0</v>
      </c>
      <c r="E385" t="n">
        <v>204.6</v>
      </c>
      <c r="H385" t="n">
        <v>0</v>
      </c>
      <c r="K385" t="n">
        <v>0</v>
      </c>
      <c r="L385" t="inlineStr">
        <is>
          <t>No clean technical setup detected. Price in middle of value area or poor risk/reward.</t>
        </is>
      </c>
      <c r="M385" t="inlineStr">
        <is>
          <t>SKIP</t>
        </is>
      </c>
      <c r="N385" t="inlineStr">
        <is>
          <t>SKIP: No Trade result. Market regime NEUTRAL; sector STRONG; net R/R 0.00.</t>
        </is>
      </c>
      <c r="O385" t="inlineStr">
        <is>
          <t>SBAC
No Trade
0.00
score
Price
204.60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185.00
Fib Zone
183.41 - 186.58
Swing Low
161.43
Swing High
223.11
Click chart to open full size</t>
        </is>
      </c>
      <c r="P385" t="inlineStr">
        <is>
          <t>agent_results/charts/market_lens_agent_20260609_164637_sbac.png</t>
        </is>
      </c>
      <c r="Q385" t="inlineStr">
        <is>
          <t>Smart Universe: broad liquid US universe, diversified by sector | Sector: Real Estate - Strong (73/100); XLRE sector regime is strong: 6.8% 3m return, -0.9% vs SPY | Setup: No Trade; score 0.00; R/R 0.00x; price 204.60 | Market: NEUTRAL; Sector regime: STRONG; Net R/R: 0.00; Factors: Real Estate | Agent action: SKIP - SKIP: No Trade result. Market regime NEUTRAL; sector STRONG; net R/R 0.00.</t>
        </is>
      </c>
      <c r="R385" t="inlineStr">
        <is>
          <t>{"adjusted_cash_out": 0.0, "adjusted_position_size": 0, "adjusted_risk_amount": 0.0, "ask": 0.0, "bid": 0.0, "buy_zone_high": null, "buy_zone_low": null, "cash_available": 99725.38, "company_name": "SBA Communications", "correlation_warning": false, "days_to_earnings": -29, "earnings_blackout": false, "earnings_date": "2026-04-29T00:00:00", "estimated_fees": 0.0, "estimated_slippage": 0.6138, "estimated_spread": 0.1637, "executable_entry": 204.6, "execution_liquidity_bucket": "mid_liquid", "factor_exposure_after": {}, "factor_exposure_before": {}, "factor_exposure_cap": 7000.0, "factor_exposure_limit_exceeded": false, "factor_tags": ["Real Estate"], "final_action": "SKIP", "gross_reward_1_per_share": 0.0, "gross_reward_2_per_share": 0.0, "gross_risk_per_share": 204.6, "gross_rr": 0.0, "gross_rr_1": 0.0, "gross_rr_2": 0.0, "gross_rr_decision": 0.0, "highest_correlation_ticker": "", "highest_correlation_value": null, "initial_action": "SKIP", "market_cap": 21714281017.26,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204.9887, "net_reward_1_per_share": 0.0, "net_reward_2_per_share": 0.0, "net_risk_per_share": 205.3775, "net_rr": 0.0, "net_rr_1": 0.0, "net_rr_2": 0.0, "net_stop_assumption": -0.3887, "net_target_1_assumption": -0.2353, "net_target_2_assumption": -0.2353, "normalized_atr_score": 100.0, "normalized_liquidity_score": 25.23, "normalized_momentum_score": 73.61, "normalized_quality_score": 65.69,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204.6,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73.19, "setup_score": 0.0, "setup_type": "No Trade", "sizing_adjustment_reason": "", "spread_source": "liquidity_fallback", "stock_score": 0.0, "stop_loss": 0.0, "target_1": null, "target_1_atr_distance": 0.0, "target_2": null, "target_2_atr_distance": 0.0, "target_feasibility_status": "UNKNOWN", "theoretical_entry": 204.6, "ticker": "SBAC", "timestamp": "2026-06-09T16:59:50", "warnings": ["Target ATR feasibility unavailable."]}</t>
        </is>
      </c>
    </row>
    <row r="386">
      <c r="A386" t="inlineStr">
        <is>
          <t>2026-06-09T16:59:50</t>
        </is>
      </c>
      <c r="B386" t="inlineStr">
        <is>
          <t>DLTR</t>
        </is>
      </c>
      <c r="C386" t="inlineStr">
        <is>
          <t>No Trade</t>
        </is>
      </c>
      <c r="D386" t="n">
        <v>0</v>
      </c>
      <c r="E386" t="n">
        <v>110.14</v>
      </c>
      <c r="H386" t="n">
        <v>0</v>
      </c>
      <c r="K386" t="n">
        <v>0</v>
      </c>
      <c r="L386" t="inlineStr">
        <is>
          <t>No clean technical setup detected. Price in middle of value area or poor risk/reward.</t>
        </is>
      </c>
      <c r="M386" t="inlineStr">
        <is>
          <t>SKIP</t>
        </is>
      </c>
      <c r="N386" t="inlineStr">
        <is>
          <t>SKIP: No Trade result. Market regime NEUTRAL; sector NEUTRAL; net R/R 0.00.</t>
        </is>
      </c>
      <c r="O386" t="inlineStr">
        <is>
          <t>DLTR
No Trade
0.00
score
Price
110.14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97.72
Fib Zone
96.50 - 98.95
Swing Low
85.88
Swing High
116.88
Click chart to open full size</t>
        </is>
      </c>
      <c r="P386" t="inlineStr">
        <is>
          <t>agent_results/charts/market_lens_agent_20260609_164637_dltr.png</t>
        </is>
      </c>
      <c r="Q386" t="inlineStr">
        <is>
          <t>Smart Universe: broad liquid US universe, diversified by sector | Sector: Consumer Defensive - Neutral (58/100); XLP sector regime is neutral: 0.3% 3m return, -7.4% vs SPY | Setup: No Trade; score 0.00; R/R 0.00x; price 110.14 | Market: NEUTRAL; Sector regime: NEUTRAL; Net R/R: 0.00; Factors: Consumer Defensive, Defensive, Low Volatility | Agent action: SKIP - SKIP: No Trade result. Market regime NEUTRAL; sector NEUTRAL; net R/R 0.00.</t>
        </is>
      </c>
      <c r="R386" t="inlineStr">
        <is>
          <t>{"adjusted_cash_out": 0.0, "adjusted_position_size": 0, "adjusted_risk_amount": 0.0, "ask": 0.0, "bid": 0.0, "buy_zone_high": null, "buy_zone_low": null, "cash_available": 99725.38, "company_name": "Dollar Tree", "correlation_warning": false, "days_to_earnings": -8, "earnings_blackout": false, "earnings_date": "2026-05-28T00:00:00", "estimated_fees": 0.0, "estimated_slippage": 0.3304, "estimated_spread": 0.0881, "executable_entry": 110.14, "execution_liquidity_bucket": "mid_liquid", "factor_exposure_after": {}, "factor_exposure_before": {}, "factor_exposure_cap": 7000.0, "factor_exposure_limit_exceeded": false, "factor_tags": ["Consumer Defensive", "Defensive", "Low Volatility"], "final_action": "SKIP", "gross_reward_1_per_share": 0.0, "gross_reward_2_per_share": 0.0, "gross_risk_per_share": 110.14, "gross_rr": 0.0, "gross_rr_1": 0.0, "gross_rr_2": 0.0, "gross_rr_decision": 0.0, "highest_correlation_ticker": "", "highest_correlation_value": null, "initial_action": "SKIP", "market_cap": 21414014399.49,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110.3493, "net_reward_1_per_share": 0.0, "net_reward_2_per_share": 0.0, "net_risk_per_share": 110.5585, "net_rr": 0.0, "net_rr_1": 0.0, "net_rr_2": 0.0, "net_stop_assumption": -0.2093, "net_target_1_assumption": -0.1267, "net_target_2_assumption": -0.1267, "normalized_atr_score": 100.0, "normalized_liquidity_score": 44.11, "normalized_momentum_score": 82.91, "normalized_quality_score": 75.54,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110.14,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58.12, "setup_score": 0.0, "setup_type": "No Trade", "sizing_adjustment_reason": "", "spread_source": "liquidity_fallback", "stock_score": 0.0, "stop_loss": 0.0, "target_1": null, "target_1_atr_distance": 0.0, "target_2": null, "target_2_atr_distance": 0.0, "target_feasibility_status": "UNKNOWN", "theoretical_entry": 110.14, "ticker": "DLTR", "timestamp": "2026-06-09T16:59:50", "warnings": ["Target ATR feasibility unavailable."]}</t>
        </is>
      </c>
    </row>
    <row r="387">
      <c r="A387" t="inlineStr">
        <is>
          <t>2026-06-09T16:59:50</t>
        </is>
      </c>
      <c r="B387" t="inlineStr">
        <is>
          <t>GE</t>
        </is>
      </c>
      <c r="C387" t="inlineStr">
        <is>
          <t>No Trade</t>
        </is>
      </c>
      <c r="D387" t="n">
        <v>0</v>
      </c>
      <c r="E387" t="n">
        <v>321.32</v>
      </c>
      <c r="H387" t="n">
        <v>0</v>
      </c>
      <c r="K387" t="n">
        <v>0</v>
      </c>
      <c r="L387" t="inlineStr">
        <is>
          <t>No clean technical setup detected. Price in middle of value area or poor risk/reward.</t>
        </is>
      </c>
      <c r="M387" t="inlineStr">
        <is>
          <t>SKIP</t>
        </is>
      </c>
      <c r="N387" t="inlineStr">
        <is>
          <t>SKIP: No Trade result. Market regime NEUTRAL; sector NEUTRAL; net R/R 0.00.</t>
        </is>
      </c>
      <c r="O387" t="inlineStr">
        <is>
          <t>GE
No Trade
0.00
score
Price
321.32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284.61
Fib Zone
282.10 - 287.11
Swing Low
268.91
Swing High
310.00
Click chart to open full size</t>
        </is>
      </c>
      <c r="P387" t="inlineStr">
        <is>
          <t>agent_results/charts/market_lens_agent_20260609_164637_ge.png</t>
        </is>
      </c>
      <c r="Q387" t="inlineStr">
        <is>
          <t>Smart Universe: broad liquid US universe, diversified by sector | Sector: Industrials - Neutral (46/100); XLI sector regime is neutral: 2.0% 3m return, -5.7% vs SPY | Setup: No Trade; score 0.00; R/R 0.00x; price 321.32 | Market: NEUTRAL; Sector regime: NEUTRAL; Net R/R: 0.00; Factors: Industrials | Agent action: SKIP - SKIP: No Trade result. Market regime NEUTRAL; sector NEUTRAL; net R/R 0.00.</t>
        </is>
      </c>
      <c r="R387" t="inlineStr">
        <is>
          <t>{"adjusted_cash_out": 0.0, "adjusted_position_size": 0, "adjusted_risk_amount": 0.0, "ask": 0.0, "bid": 0.0, "buy_zone_high": null, "buy_zone_low": null, "cash_available": 99725.38, "company_name": "GE Aerospace", "correlation_warning": false, "days_to_earnings": 27, "earnings_blackout": false, "earnings_date": "2026-07-16T00:00:00", "estimated_fees": 0.0, "estimated_slippage": 0.4498, "estimated_spread": 0.0964, "executable_entry": 321.32, "execution_liquidity_bucket": "large_liquid", "factor_exposure_after": {}, "factor_exposure_before": {}, "factor_exposure_cap": 7000.0, "factor_exposure_limit_exceeded": false, "factor_tags": ["Industrials"], "final_action": "SKIP", "gross_reward_1_per_share": 0.0, "gross_reward_2_per_share": 0.0, "gross_risk_per_share": 321.32, "gross_rr": 0.0, "gross_rr_1": 0.0, "gross_rr_2": 0.0, "gross_rr_decision": 0.0, "highest_correlation_ticker": "", "highest_correlation_value": null, "initial_action": "SKIP", "market_cap": 336717224679.97,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321.5931, "net_reward_1_per_share": 0.0, "net_reward_2_per_share": 0.0, "net_risk_per_share": 321.8662, "net_rr": 0.0, "net_rr_1": 0.0, "net_rr_2": 0.0, "net_stop_assumption": -0.2731, "net_target_1_assumption": -0.1607, "net_target_2_assumption": -0.1607, "normalized_atr_score": 100.0, "normalized_liquidity_score": 44.29, "normalized_momentum_score": 58.25, "normalized_quality_score": 64.5,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321.32,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321.32, "ticker": "GE", "timestamp": "2026-06-09T16:59:50", "warnings": ["Target ATR feasibility unavailable."]}</t>
        </is>
      </c>
    </row>
    <row r="388">
      <c r="A388" t="inlineStr">
        <is>
          <t>2026-06-09T16:59:50</t>
        </is>
      </c>
      <c r="B388" t="inlineStr">
        <is>
          <t>BRK-B</t>
        </is>
      </c>
      <c r="C388" t="inlineStr">
        <is>
          <t>No Trade</t>
        </is>
      </c>
      <c r="D388" t="n">
        <v>0</v>
      </c>
      <c r="E388" t="n">
        <v>489.92</v>
      </c>
      <c r="H388" t="n">
        <v>0</v>
      </c>
      <c r="K388" t="n">
        <v>0</v>
      </c>
      <c r="L388" t="inlineStr">
        <is>
          <t>No clean technical setup detected. Price in middle of value area or poor risk/reward.</t>
        </is>
      </c>
      <c r="M388" t="inlineStr">
        <is>
          <t>SKIP</t>
        </is>
      </c>
      <c r="N388" t="inlineStr">
        <is>
          <t>SKIP: No Trade result. Market regime NEUTRAL; sector STRONG; net R/R 0.00.</t>
        </is>
      </c>
      <c r="O388" t="inlineStr">
        <is>
          <t>BRK-B
No Trade
0.00
score
Price
489.92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473.72
Fib Zone
472.00 - 475.43
Swing Low
464.01
Swing High
489.42
Click chart to open full size</t>
        </is>
      </c>
      <c r="P388" t="inlineStr">
        <is>
          <t>agent_results/charts/market_lens_agent_20260609_164637_brk-b.png</t>
        </is>
      </c>
      <c r="Q388" t="inlineStr">
        <is>
          <t>Smart Universe: broad liquid US universe, diversified by sector | Sector: Financials - Strong (72/100); XLF sector regime is strong: 5.6% 3m return, -2.1% vs SPY | Setup: No Trade; score 0.00; R/R 0.00x; price 489.92 | Market: NEUTRAL; Sector regime: STRONG; Net R/R: 0.00; Factors: Financials | Agent action: SKIP - SKIP: No Trade result. Market regime NEUTRAL; sector STRONG; net R/R 0.00.</t>
        </is>
      </c>
      <c r="R388" t="inlineStr">
        <is>
          <t>{"adjusted_cash_out": 0.0, "adjusted_position_size": 0, "adjusted_risk_amount": 0.0, "ask": 0.0, "bid": 0.0, "buy_zone_high": null, "buy_zone_low": null, "cash_available": 99725.38, "company_name": "Berkshire Hathaway Inc.", "correlation_warning": false, "days_to_earnings": 38, "earnings_blackout": false, "earnings_date": "2026-08-01T00:00:00", "estimated_fees": 0.0, "estimated_slippage": 0.6859, "estimated_spread": 0.147, "executable_entry": 489.92, "execution_liquidity_bucket": "large_liquid", "factor_exposure_after": {}, "factor_exposure_before": {}, "factor_exposure_cap": 7000.0, "factor_exposure_limit_exceeded": false, "factor_tags": ["Financials"], "final_action": "SKIP", "gross_reward_1_per_share": 0.0, "gross_reward_2_per_share": 0.0, "gross_risk_per_share": 489.92, "gross_rr": 0.0, "gross_rr_1": 0.0, "gross_rr_2": 0.0, "gross_rr_decision": 0.0, "highest_correlation_ticker": "", "highest_correlation_value": null, "initial_action": "SKIP", "market_cap": 1055477942505.38,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490.3364, "net_reward_1_per_share": 0.0, "net_reward_2_per_share": 0.0, "net_risk_per_share": 490.7529, "net_rr": 0.0, "net_rr_1": 0.0, "net_rr_2": 0.0, "net_stop_assumption": -0.4164, "net_target_1_assumption": -0.245, "net_target_2_assumption": -0.245, "normalized_atr_score": 100.0, "normalized_liquidity_score": 57.42, "normalized_momentum_score": 50.2, "normalized_quality_score": 64.82,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489.92,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489.92, "ticker": "BRK-B", "timestamp": "2026-06-09T16:59:50", "warnings": ["Target ATR feasibility unavailable."]}</t>
        </is>
      </c>
    </row>
    <row r="389">
      <c r="A389" t="inlineStr">
        <is>
          <t>2026-06-09T16:59:50</t>
        </is>
      </c>
      <c r="B389" t="inlineStr">
        <is>
          <t>WFC</t>
        </is>
      </c>
      <c r="C389" t="inlineStr">
        <is>
          <t>No Trade</t>
        </is>
      </c>
      <c r="D389" t="n">
        <v>0</v>
      </c>
      <c r="E389" t="n">
        <v>81.34999999999999</v>
      </c>
      <c r="H389" t="n">
        <v>0</v>
      </c>
      <c r="K389" t="n">
        <v>0</v>
      </c>
      <c r="L389" t="inlineStr">
        <is>
          <t>No clean technical setup detected. Price in middle of value area or poor risk/reward.</t>
        </is>
      </c>
      <c r="M389" t="inlineStr">
        <is>
          <t>SKIP</t>
        </is>
      </c>
      <c r="N389" t="inlineStr">
        <is>
          <t>SKIP: No Trade result. Market regime NEUTRAL; sector STRONG; net R/R 0.00.</t>
        </is>
      </c>
      <c r="O389" t="inlineStr">
        <is>
          <t>WFC
No Trade
0.00
score
Price
81.35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78.42
Fib Zone
77.95 - 78.89
Swing Low
73.61
Swing High
86.21
Click chart to open full size</t>
        </is>
      </c>
      <c r="P389" t="inlineStr">
        <is>
          <t>agent_results/charts/market_lens_agent_20260609_164637_wfc.png</t>
        </is>
      </c>
      <c r="Q389" t="inlineStr">
        <is>
          <t>Smart Universe: broad liquid US universe, diversified by sector | Sector: Financials - Strong (72/100); XLF sector regime is strong: 5.6% 3m return, -2.1% vs SPY | Setup: No Trade; score 0.00; R/R 0.00x; price 81.35 | Market: NEUTRAL; Sector regime: STRONG; Net R/R: 0.00; Factors: Financials | Agent action: SKIP - SKIP: No Trade result. Market regime NEUTRAL; sector STRONG; net R/R 0.00.</t>
        </is>
      </c>
      <c r="R389" t="inlineStr">
        <is>
          <t>{"adjusted_cash_out": 0.0, "adjusted_position_size": 0, "adjusted_risk_amount": 0.0, "ask": 0.0, "bid": 0.0, "buy_zone_high": null, "buy_zone_low": null, "cash_available": 99725.38, "company_name": "Wells Fargo &amp; Company", "correlation_warning": false, "days_to_earnings": 25, "earnings_blackout": false, "earnings_date": "2026-07-14T00:00:00", "estimated_fees": 0.0, "estimated_slippage": 0.1139, "estimated_spread": 0.0244, "executable_entry": 81.35, "execution_liquidity_bucket": "large_liquid", "factor_exposure_after": {}, "factor_exposure_before": {}, "factor_exposure_cap": 7000.0, "factor_exposure_limit_exceeded": false, "factor_tags": ["Financials"], "final_action": "SKIP", "gross_reward_1_per_share": 0.0, "gross_reward_2_per_share": 0.0, "gross_risk_per_share": 81.35, "gross_rr": 0.0, "gross_rr_1": 0.0, "gross_rr_2": 0.0, "gross_rr_decision": 0.0, "highest_correlation_ticker": "", "highest_correlation_value": null, "initial_action": "SKIP", "market_cap": 248824000285.97,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81.4191, "net_reward_1_per_share": 0.0, "net_reward_2_per_share": 0.0, "net_risk_per_share": 81.4883, "net_rr": 0.0, "net_rr_1": 0.0, "net_rr_2": 0.0, "net_stop_assumption": -0.0691, "net_target_1_assumption": -0.0407, "net_target_2_assumption": -0.0407, "normalized_atr_score": 100.0, "normalized_liquidity_score": 40.35, "normalized_momentum_score": 89.73, "normalized_quality_score": 77.48,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81.35,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81.35, "ticker": "WFC", "timestamp": "2026-06-09T16:59:50", "warnings": ["Target ATR feasibility unavailable."]}</t>
        </is>
      </c>
    </row>
    <row r="390">
      <c r="A390" t="inlineStr">
        <is>
          <t>2026-06-09T16:59:50</t>
        </is>
      </c>
      <c r="B390" t="inlineStr">
        <is>
          <t>EMR</t>
        </is>
      </c>
      <c r="C390" t="inlineStr">
        <is>
          <t>No Trade</t>
        </is>
      </c>
      <c r="D390" t="n">
        <v>0</v>
      </c>
      <c r="E390" t="n">
        <v>138.5</v>
      </c>
      <c r="H390" t="n">
        <v>0</v>
      </c>
      <c r="K390" t="n">
        <v>0</v>
      </c>
      <c r="L390" t="inlineStr">
        <is>
          <t>No clean technical setup detected. Price in middle of value area or poor risk/reward.</t>
        </is>
      </c>
      <c r="M390" t="inlineStr">
        <is>
          <t>SKIP</t>
        </is>
      </c>
      <c r="N390" t="inlineStr">
        <is>
          <t>SKIP: No Trade result. Market regime NEUTRAL; sector NEUTRAL; net R/R 0.00.</t>
        </is>
      </c>
      <c r="O390" t="inlineStr">
        <is>
          <t>EMR
No Trade
0.00
score
Price
138.50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134.79
Fib Zone
133.82 - 135.77
Swing Low
128.13
Swing High
145.57
Click chart to open full size</t>
        </is>
      </c>
      <c r="P390" t="inlineStr">
        <is>
          <t>agent_results/charts/market_lens_agent_20260609_164637_emr.png</t>
        </is>
      </c>
      <c r="Q390" t="inlineStr">
        <is>
          <t>Smart Universe: broad liquid US universe, diversified by sector | Sector: Industrials - Neutral (46/100); XLI sector regime is neutral: 2.0% 3m return, -5.7% vs SPY | Setup: No Trade; score 0.00; R/R 0.00x; price 138.50 | Market: NEUTRAL; Sector regime: NEUTRAL; Net R/R: 0.00; Factors: Industrials | Agent action: SKIP - SKIP: No Trade result. Market regime NEUTRAL; sector NEUTRAL; net R/R 0.00.</t>
        </is>
      </c>
      <c r="R390" t="inlineStr">
        <is>
          <t>{"adjusted_cash_out": 0.0, "adjusted_position_size": 0, "adjusted_risk_amount": 0.0, "ask": 0.0, "bid": 0.0, "buy_zone_high": null, "buy_zone_low": null, "cash_available": 99725.38, "company_name": "Emerson Electric Co.", "correlation_warning": false, "days_to_earnings": 41, "earnings_blackout": false, "earnings_date": "2026-08-05T00:00:00", "estimated_fees": 0.0, "estimated_slippage": 0.4155, "estimated_spread": 0.1108, "executable_entry": 138.5, "execution_liquidity_bucket": "mid_liquid", "factor_exposure_after": {}, "factor_exposure_before": {}, "factor_exposure_cap": 7000.0, "factor_exposure_limit_exceeded": false, "factor_tags": ["Industrials"], "final_action": "SKIP", "gross_reward_1_per_share": 0.0, "gross_reward_2_per_share": 0.0, "gross_risk_per_share": 138.5, "gross_rr": 0.0, "gross_rr_1": 0.0, "gross_rr_2": 0.0, "gross_rr_decision": 0.0, "highest_correlation_ticker": "", "highest_correlation_value": null, "initial_action": "SKIP", "market_cap": 77753026277.16,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138.7631, "net_reward_1_per_share": 0.0, "net_reward_2_per_share": 0.0, "net_risk_per_share": 139.0263, "net_rr": 0.0, "net_rr_1": 0.0, "net_rr_2": 0.0, "net_stop_assumption": -0.2631, "net_target_1_assumption": -0.1593, "net_target_2_assumption": -0.1593, "normalized_atr_score": 100.0, "normalized_liquidity_score": 40.03, "normalized_momentum_score": 49.51, "normalized_quality_score": 59.29,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138.5,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45.99, "setup_score": 0.0, "setup_type": "No Trade", "sizing_adjustment_reason": "", "spread_source": "liquidity_fallback", "stock_score": 0.0, "stop_loss": 0.0, "target_1": null, "target_1_atr_distance": 0.0, "target_2": null, "target_2_atr_distance": 0.0, "target_feasibility_status": "UNKNOWN", "theoretical_entry": 138.5, "ticker": "EMR", "timestamp": "2026-06-09T16:59:50", "warnings": ["Target ATR feasibility unavailable."]}</t>
        </is>
      </c>
    </row>
    <row r="391">
      <c r="A391" t="inlineStr">
        <is>
          <t>2026-06-09T16:59:50</t>
        </is>
      </c>
      <c r="B391" t="inlineStr">
        <is>
          <t>JNJ</t>
        </is>
      </c>
      <c r="C391" t="inlineStr">
        <is>
          <t>No Trade</t>
        </is>
      </c>
      <c r="D391" t="n">
        <v>0</v>
      </c>
      <c r="E391" t="n">
        <v>236.84</v>
      </c>
      <c r="H391" t="n">
        <v>0</v>
      </c>
      <c r="K391" t="n">
        <v>0</v>
      </c>
      <c r="L391" t="inlineStr">
        <is>
          <t>No clean technical setup detected. Price in middle of value area or poor risk/reward.</t>
        </is>
      </c>
      <c r="M391" t="inlineStr">
        <is>
          <t>SKIP</t>
        </is>
      </c>
      <c r="N391" t="inlineStr">
        <is>
          <t>SKIP: No Trade result. Market regime NEUTRAL; sector STRONG; net R/R 0.00.</t>
        </is>
      </c>
      <c r="O391" t="inlineStr">
        <is>
          <t>JNJ
No Trade
0.00
score
Price
236.84
R/R
0.00x
Grade
No Trade
Quality
0%
Buy Zone
-
Stop
0.00
Targets
-
Skip
Mixed
Relative Strength
Leadership
100%
Trend Quality
Constructive
68%
Liquidity
Institutional liquidity
100%
Volume
Distribution risk
30%
No actionable setup detected.
No clean technical setup detected. Price in middle of value area or poor risk/reward.
Fib 61.8
224.86
Fib Zone
223.72 - 225.99
Swing Low
219.11
Swing High
234.15
Click chart to open full size</t>
        </is>
      </c>
      <c r="P391" t="inlineStr">
        <is>
          <t>agent_results/charts/market_lens_agent_20260609_164637_jnj.png</t>
        </is>
      </c>
      <c r="Q391" t="inlineStr">
        <is>
          <t>Smart Universe: broad liquid US universe, diversified by sector | Sector: Healthcare - Strong (69/100); XLV sector regime is strong: 1.2% 3m return, -6.5% vs SPY | Setup: No Trade; score 0.00; R/R 0.00x; price 236.84 | Market: NEUTRAL; Sector regime: STRONG; Net R/R: 0.00; Factors: Defensive, Healthcare | Agent action: SKIP - SKIP: No Trade result. Market regime NEUTRAL; sector STRONG; net R/R 0.00.</t>
        </is>
      </c>
      <c r="R391" t="inlineStr">
        <is>
          <t>{"adjusted_cash_out": 0.0, "adjusted_position_size": 0, "adjusted_risk_amount": 0.0, "ask": 0.0, "bid": 0.0, "buy_zone_high": null, "buy_zone_low": null, "cash_available": 99725.38, "company_name": "Johnson &amp; Johnson", "correlation_warning": false, "days_to_earnings": 26, "earnings_blackout": false, "earnings_date": "2026-07-15T00:00:00", "estimated_fees": 0.0, "estimated_slippage": 0.3316, "estimated_spread": 0.0711, "executable_entry": 236.84, "execution_liquidity_bucket": "large_liquid", "factor_exposure_after": {}, "factor_exposure_before": {}, "factor_exposure_cap": 7000.0, "factor_exposure_limit_exceeded": false, "factor_tags": ["Defensive", "Healthcare"], "final_action": "SKIP", "gross_reward_1_per_share": 0.0, "gross_reward_2_per_share": 0.0, "gross_risk_per_share": 236.84, "gross_rr": 0.0, "gross_rr_1": 0.0, "gross_rr_2": 0.0, "gross_rr_decision": 0.0, "highest_correlation_ticker": "", "highest_correlation_value": null, "initial_action": "SKIP", "market_cap": 570666897107.11,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237.0413, "net_reward_1_per_share": 0.0, "net_reward_2_per_share": 0.0, "net_risk_per_share": 237.2426, "net_rr": 0.0, "net_rr_1": 0.0, "net_rr_2": 0.0, "net_stop_assumption": -0.2013, "net_target_1_assumption": -0.1184, "net_target_2_assumption": -0.1184, "normalized_atr_score": 100.0, "normalized_liquidity_score": 48.89, "normalized_momentum_score": 55.52, "normalized_quality_score": 64.65,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236.84,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236.84, "ticker": "JNJ", "timestamp": "2026-06-09T16:59:50", "warnings": ["Target ATR feasibility unavailable."]}</t>
        </is>
      </c>
    </row>
    <row r="392">
      <c r="A392" t="inlineStr">
        <is>
          <t>2026-06-09T16:59:50</t>
        </is>
      </c>
      <c r="B392" t="inlineStr">
        <is>
          <t>NVDA</t>
        </is>
      </c>
      <c r="C392" t="inlineStr">
        <is>
          <t>No Trade</t>
        </is>
      </c>
      <c r="D392" t="n">
        <v>0</v>
      </c>
      <c r="E392" t="n">
        <v>200.69</v>
      </c>
      <c r="H392" t="n">
        <v>0</v>
      </c>
      <c r="K392" t="n">
        <v>0</v>
      </c>
      <c r="L392" t="inlineStr">
        <is>
          <t>No clean technical setup detected. Price in middle of value area or poor risk/reward.</t>
        </is>
      </c>
      <c r="M392" t="inlineStr">
        <is>
          <t>SKIP</t>
        </is>
      </c>
      <c r="N392" t="inlineStr">
        <is>
          <t>SKIP: No Trade result. Market regime NEUTRAL; sector STRONG; net R/R 0.00.</t>
        </is>
      </c>
      <c r="O392" t="inlineStr">
        <is>
          <t>NVDA
No Trade
0.00
score
Price
200.69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217.50
Fib Zone
215.36 - 219.64
Swing Low
208.54
Swing High
232.01
Click chart to open full size</t>
        </is>
      </c>
      <c r="P392" t="inlineStr">
        <is>
          <t>agent_results/charts/market_lens_agent_20260609_164637_nvda.png</t>
        </is>
      </c>
      <c r="Q392" t="inlineStr">
        <is>
          <t>Smart Universe: broad liquid US universe, diversified by sector | Sector: Technology - Strong (71/100); XLK sector regime is strong: 24.7% 3m return, 17.0% vs SPY | Setup: No Trade; score 0.00; R/R 0.00x; price 200.69 | Market: NEUTRAL; Sector regime: STRONG; Net R/R: 0.00; Factors: AI / Semiconductors, High Beta Growth, Mega Cap Tech, Rates-sensitive Growth, Technology | Agent action: SKIP - SKIP: No Trade result. Market regime NEUTRAL; sector STRONG; net R/R 0.00.</t>
        </is>
      </c>
      <c r="R392" t="inlineStr">
        <is>
          <t>{"adjusted_cash_out": 0.0, "adjusted_position_size": 0, "adjusted_risk_amount": 0.0, "ask": 0.0, "bid": 0.0, "buy_zone_high": null, "buy_zone_low": null, "cash_available": 99725.38, "company_name": "NVIDIA Corporation", "correlation_warning": false, "days_to_earnings": 56, "earnings_blackout": false, "earnings_date": "2026-08-26T00:00:00", "estimated_fees": 0.0, "estimated_slippage": 0.281, "estimated_spread": 0.0602, "executable_entry": 200.69, "execution_liquidity_bucket": "large_liquid", "factor_exposure_after": {}, "factor_exposure_before": {}, "factor_exposure_cap": 7000.0, "factor_exposure_limit_exceeded": false, "factor_tags": ["AI / Semiconductors", "High Beta Growth", "Mega Cap Tech", "Rates-sensitive Growth", "Technology"], "final_action": "SKIP", "gross_reward_1_per_share": 0.0, "gross_reward_2_per_share": 0.0, "gross_risk_per_share": 200.69, "gross_rr": 0.0, "gross_rr_1": 0.0, "gross_rr_2": 0.0, "gross_rr_decision": 0.0, "highest_correlation_ticker": "", "highest_correlation_value": null, "initial_action": "SKIP", "market_cap": 4892918078598.02,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200.8606, "net_reward_1_per_share": 0.0, "net_reward_2_per_share": 0.0, "net_risk_per_share": 201.0312, "net_rr": 0.0, "net_rr_1": 0.0, "net_rr_2": 0.0, "net_stop_assumption": -0.1706, "net_target_1_assumption": -0.1003, "net_target_2_assumption": -0.1003, "normalized_atr_score": 100.0, "normalized_liquidity_score": 100, "normalized_momentum_score": 68.87, "normalized_quality_score": 85.99,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200.69,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200.69, "ticker": "NVDA", "timestamp": "2026-06-09T16:59:50", "warnings": ["Target ATR feasibility unavailable."]}</t>
        </is>
      </c>
    </row>
    <row r="393">
      <c r="A393" t="inlineStr">
        <is>
          <t>2026-06-09T16:59:50</t>
        </is>
      </c>
      <c r="B393" t="inlineStr">
        <is>
          <t>CB</t>
        </is>
      </c>
      <c r="C393" t="inlineStr">
        <is>
          <t>No Trade</t>
        </is>
      </c>
      <c r="D393" t="n">
        <v>0</v>
      </c>
      <c r="E393" t="n">
        <v>328.51</v>
      </c>
      <c r="H393" t="n">
        <v>0</v>
      </c>
      <c r="K393" t="n">
        <v>0</v>
      </c>
      <c r="L393" t="inlineStr">
        <is>
          <t>No clean technical setup detected. Price in middle of value area or poor risk/reward.</t>
        </is>
      </c>
      <c r="M393" t="inlineStr">
        <is>
          <t>SKIP</t>
        </is>
      </c>
      <c r="N393" t="inlineStr">
        <is>
          <t>SKIP: No Trade result. Market regime NEUTRAL; sector STRONG; net R/R 0.00.</t>
        </is>
      </c>
      <c r="O393" t="inlineStr">
        <is>
          <t>CB
No Trade
0.00
score
Price
328.51
R/R
0.00x
Grade
No Trade
Quality
0%
Buy Zone
-
Stop
0.00
Targets
-
Skip
Mixed
Relative Strength
Leadership
100%
Trend Quality
Constructive
58%
Liquidity
Institutional liquidity
100%
Volume
Distribution risk
30%
No actionable setup detected.
No clean technical setup detected. Price in middle of value area or poor risk/reward.
Fib 61.8
322.29
Fib Zone
320.70 - 323.89
Swing Low
315.04
Swing High
334.03
Click chart to open full size</t>
        </is>
      </c>
      <c r="P393" t="inlineStr">
        <is>
          <t>agent_results/charts/market_lens_agent_20260609_164637_cb.png</t>
        </is>
      </c>
      <c r="Q393" t="inlineStr">
        <is>
          <t>Smart Universe: broad liquid US universe, diversified by sector | Sector: Financials - Strong (72/100); XLF sector regime is strong: 5.6% 3m return, -2.1% vs SPY | Setup: No Trade; score 0.00; R/R 0.00x; price 328.51 | Market: NEUTRAL; Sector regime: STRONG; Net R/R: 0.00; Factors: Financials | Agent action: SKIP - SKIP: No Trade result. Market regime NEUTRAL; sector STRONG; net R/R 0.00.</t>
        </is>
      </c>
      <c r="R393" t="inlineStr">
        <is>
          <t>{"adjusted_cash_out": 0.0, "adjusted_position_size": 0, "adjusted_risk_amount": 0.0, "ask": 0.0, "bid": 0.0, "buy_zone_high": null, "buy_zone_low": null, "cash_available": 99725.38, "company_name": "Chubb Limited", "correlation_warning": false, "days_to_earnings": 35, "earnings_blackout": false, "earnings_date": "2026-07-28T00:00:00", "estimated_fees": 0.0, "estimated_slippage": 0.4599, "estimated_spread": 0.0986, "executable_entry": 328.51, "execution_liquidity_bucket": "large_liquid", "factor_exposure_after": {}, "factor_exposure_before": {}, "factor_exposure_cap": 7000.0, "factor_exposure_limit_exceeded": false, "factor_tags": ["Financials"], "final_action": "SKIP", "gross_reward_1_per_share": 0.0, "gross_reward_2_per_share": 0.0, "gross_risk_per_share": 328.51, "gross_rr": 0.0, "gross_rr_1": 0.0, "gross_rr_2": 0.0, "gross_rr_decision": 0.0, "highest_correlation_ticker": "", "highest_correlation_value": null, "initial_action": "SKIP", "market_cap": 127105632023.03,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328.7892, "net_reward_1_per_share": 0.0, "net_reward_2_per_share": 0.0, "net_risk_per_share": 329.0685, "net_rr": 0.0, "net_rr_1": 0.0, "net_rr_2": 0.0, "net_stop_assumption": -0.2792, "net_target_1_assumption": -0.1643, "net_target_2_assumption": -0.1643, "normalized_atr_score": 100.0, "normalized_liquidity_score": 49.87, "normalized_momentum_score": 59.59, "normalized_quality_score": 66.78,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328.51,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72.2, "setup_score": 0.0, "setup_type": "No Trade", "sizing_adjustment_reason": "", "spread_source": "liquidity_fallback", "stock_score": 0.0, "stop_loss": 0.0, "target_1": null, "target_1_atr_distance": 0.0, "target_2": null, "target_2_atr_distance": 0.0, "target_feasibility_status": "UNKNOWN", "theoretical_entry": 328.51, "ticker": "CB", "timestamp": "2026-06-09T16:59:50", "warnings": ["Target ATR feasibility unavailable."]}</t>
        </is>
      </c>
    </row>
    <row r="394">
      <c r="A394" t="inlineStr">
        <is>
          <t>2026-06-09T16:59:50</t>
        </is>
      </c>
      <c r="B394" t="inlineStr">
        <is>
          <t>CRM</t>
        </is>
      </c>
      <c r="C394" t="inlineStr">
        <is>
          <t>No Trade</t>
        </is>
      </c>
      <c r="D394" t="n">
        <v>0</v>
      </c>
      <c r="E394" t="n">
        <v>172.55</v>
      </c>
      <c r="H394" t="n">
        <v>0</v>
      </c>
      <c r="K394" t="n">
        <v>0</v>
      </c>
      <c r="L394" t="inlineStr">
        <is>
          <t>No clean technical setup detected. Price in middle of value area or poor risk/reward.</t>
        </is>
      </c>
      <c r="M394" t="inlineStr">
        <is>
          <t>SKIP</t>
        </is>
      </c>
      <c r="N394" t="inlineStr">
        <is>
          <t>SKIP: No Trade result. Market regime NEUTRAL; sector STRONG; net R/R 0.00.</t>
        </is>
      </c>
      <c r="O394" t="inlineStr">
        <is>
          <t>CRM
No Trade
0.00
score
Price
172.55
R/R
0.00x
Grade
No Trade
Quality
0%
Buy Zone
-
Stop
0.00
Targets
-
Skip
Mixed
Relative Strength
Leadership
100%
Trend Quality
Messy
28%
Liquidity
Institutional liquidity
100%
Volume
Distribution risk
45%
No actionable setup detected.
No clean technical setup detected. Price in middle of value area or poor risk/reward.
Fib 61.8
173.16
Fib Zone
170.83 - 175.49
Swing Low
164.33
Swing High
187.44
Click chart to open full size</t>
        </is>
      </c>
      <c r="P394" t="inlineStr">
        <is>
          <t>agent_results/charts/market_lens_agent_20260609_164637_crm.png</t>
        </is>
      </c>
      <c r="Q394" t="inlineStr">
        <is>
          <t>Smart Universe: broad liquid US universe, diversified by sector | Sector: Technology - Strong (71/100); XLK sector regime is strong: 24.7% 3m return, 17.0% vs SPY | Setup: No Trade; score 0.00; R/R 0.00x; price 172.55 | Market: NEUTRAL; Sector regime: STRONG; Net R/R: 0.00; Factors: Technology | Agent action: SKIP - SKIP: No Trade result. Market regime NEUTRAL; sector STRONG; net R/R 0.00.</t>
        </is>
      </c>
      <c r="R394" t="inlineStr">
        <is>
          <t>{"adjusted_cash_out": 0.0, "adjusted_position_size": 0, "adjusted_risk_amount": 0.0, "ask": 0.0, "bid": 0.0, "buy_zone_high": null, "buy_zone_low": null, "cash_available": 99725.38, "company_name": "Salesforce, Inc.", "correlation_warning": false, "days_to_earnings": 61, "earnings_blackout": false, "earnings_date": "2026-09-02T00:00:00", "estimated_fees": 0.0, "estimated_slippage": 0.2416, "estimated_spread": 0.0518, "executable_entry": 172.55, "execution_liquidity_bucket": "large_liquid", "factor_exposure_after": {}, "factor_exposure_before": {}, "factor_exposure_cap": 7000.0, "factor_exposure_limit_exceeded": false, "factor_tags": ["Technology"], "final_action": "SKIP", "gross_reward_1_per_share": 0.0, "gross_reward_2_per_share": 0.0, "gross_risk_per_share": 172.55, "gross_rr": 0.0, "gross_rr_1": 0.0, "gross_rr_2": 0.0, "gross_rr_decision": 0.0, "highest_correlation_ticker": "", "highest_correlation_value": null, "initial_action": "SKIP", "market_cap": 141666529998.78,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172.6967, "net_reward_1_per_share": 0.0, "net_reward_2_per_share": 0.0, "net_risk_per_share": 172.8433, "net_rr": 0.0, "net_rr_1": 0.0, "net_rr_2": 0.0, "net_stop_assumption": -0.1467, "net_target_1_assumption": -0.0863, "net_target_2_assumption": -0.0863, "normalized_atr_score": 100.0, "normalized_liquidity_score": 97.38, "normalized_momentum_score": 11.77, "normalized_quality_score": 59.51,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172.55,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172.55, "ticker": "CRM", "timestamp": "2026-06-09T16:59:50", "warnings": ["Target ATR feasibility unavailable."]}</t>
        </is>
      </c>
    </row>
    <row r="395">
      <c r="A395" t="inlineStr">
        <is>
          <t>2026-06-09T16:59:50</t>
        </is>
      </c>
      <c r="B395" t="inlineStr">
        <is>
          <t>TMO</t>
        </is>
      </c>
      <c r="C395" t="inlineStr">
        <is>
          <t>No Trade</t>
        </is>
      </c>
      <c r="D395" t="n">
        <v>0</v>
      </c>
      <c r="E395" t="n">
        <v>484</v>
      </c>
      <c r="H395" t="n">
        <v>0</v>
      </c>
      <c r="K395" t="n">
        <v>0</v>
      </c>
      <c r="L395" t="inlineStr">
        <is>
          <t>No clean technical setup detected. Price in middle of value area or poor risk/reward.</t>
        </is>
      </c>
      <c r="M395" t="inlineStr">
        <is>
          <t>SKIP</t>
        </is>
      </c>
      <c r="N395" t="inlineStr">
        <is>
          <t>SKIP: No Trade result. Market regime NEUTRAL; sector STRONG; net R/R 0.00.</t>
        </is>
      </c>
      <c r="O395" t="inlineStr">
        <is>
          <t>TMO
No Trade
0.00
score
Price
484.00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459.61
Fib Zone
455.88 - 463.35
Swing Low
435.27
Swing High
499.00
Click chart to open full size</t>
        </is>
      </c>
      <c r="P395" t="inlineStr">
        <is>
          <t>agent_results/charts/market_lens_agent_20260609_164637_tmo.png</t>
        </is>
      </c>
      <c r="Q395" t="inlineStr">
        <is>
          <t>Smart Universe: broad liquid US universe, diversified by sector | Sector: Healthcare - Strong (69/100); XLV sector regime is strong: 1.2% 3m return, -6.5% vs SPY | Setup: No Trade; score 0.00; R/R 0.00x; price 484.00 | Market: NEUTRAL; Sector regime: STRONG; Net R/R: 0.00; Factors: Defensive, Healthcare | Agent action: SKIP - SKIP: No Trade result. Market regime NEUTRAL; sector STRONG; net R/R 0.00.</t>
        </is>
      </c>
      <c r="R395" t="inlineStr">
        <is>
          <t>{"adjusted_cash_out": 0.0, "adjusted_position_size": 0, "adjusted_risk_amount": 0.0, "ask": 0.0, "bid": 0.0, "buy_zone_high": null, "buy_zone_low": null, "cash_available": 99725.38, "company_name": "Thermo Fisher Scientific Inc.", "correlation_warning": false, "days_to_earnings": 31, "earnings_blackout": false, "earnings_date": "2026-07-22T00:00:00", "estimated_fees": 0.0, "estimated_slippage": 0.6776, "estimated_spread": 0.1452, "executable_entry": 484.0, "execution_liquidity_bucket": "large_liquid", "factor_exposure_after": {}, "factor_exposure_before": {}, "factor_exposure_cap": 7000.0, "factor_exposure_limit_exceeded": false, "factor_tags": ["Defensive", "Healthcare"], "final_action": "SKIP", "gross_reward_1_per_share": 0.0, "gross_reward_2_per_share": 0.0, "gross_risk_per_share": 484.0, "gross_rr": 0.0, "gross_rr_1": 0.0, "gross_rr_2": 0.0, "gross_rr_decision": 0.0, "highest_correlation_ticker": "", "highest_correlation_value": null, "initial_action": "SKIP", "market_cap": 179606509419.99,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484.4114, "net_reward_1_per_share": 0.0, "net_reward_2_per_share": 0.0, "net_risk_per_share": 484.8228, "net_rr": 0.0, "net_rr_1": 0.0, "net_rr_2": 0.0, "net_stop_assumption": -0.4114, "net_target_1_assumption": -0.242, "net_target_2_assumption": -0.242, "normalized_atr_score": 100.0, "normalized_liquidity_score": 70.07, "normalized_momentum_score": 53.15, "normalized_quality_score": 69.94,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484.0,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69.47, "setup_score": 0.0, "setup_type": "No Trade", "sizing_adjustment_reason": "", "spread_source": "liquidity_fallback", "stock_score": 0.0, "stop_loss": 0.0, "target_1": null, "target_1_atr_distance": 0.0, "target_2": null, "target_2_atr_distance": 0.0, "target_feasibility_status": "UNKNOWN", "theoretical_entry": 484.0, "ticker": "TMO", "timestamp": "2026-06-09T16:59:50", "warnings": ["Target ATR feasibility unavailable."]}</t>
        </is>
      </c>
    </row>
    <row r="396">
      <c r="A396" t="inlineStr">
        <is>
          <t>2026-06-09T16:59:50</t>
        </is>
      </c>
      <c r="B396" t="inlineStr">
        <is>
          <t>HAL</t>
        </is>
      </c>
      <c r="C396" t="inlineStr">
        <is>
          <t>No Trade</t>
        </is>
      </c>
      <c r="D396" t="n">
        <v>0</v>
      </c>
      <c r="E396" t="n">
        <v>39.3</v>
      </c>
      <c r="H396" t="n">
        <v>0</v>
      </c>
      <c r="K396" t="n">
        <v>0</v>
      </c>
      <c r="L396" t="inlineStr">
        <is>
          <t>No clean technical setup detected. Price in middle of value area or poor risk/reward.</t>
        </is>
      </c>
      <c r="M396" t="inlineStr">
        <is>
          <t>SKIP</t>
        </is>
      </c>
      <c r="N396" t="inlineStr">
        <is>
          <t>SKIP: No Trade result. Market regime NEUTRAL; sector WEAK; net R/R 0.00.</t>
        </is>
      </c>
      <c r="O396" t="inlineStr">
        <is>
          <t>HAL
No Trade
0.00
score
Price
39.30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40.48
Fib Zone
40.15 - 40.80
Swing Low
38.67
Swing High
43.41
Click chart to open full size</t>
        </is>
      </c>
      <c r="P396" t="inlineStr">
        <is>
          <t>agent_results/charts/market_lens_agent_20260609_164637_hal.png</t>
        </is>
      </c>
      <c r="Q396" t="inlineStr">
        <is>
          <t>Smart Universe: broad liquid US universe, diversified by sector | Sector: Energy - Weak (22/100); XLE sector regime is weak: 1.6% 3m return, -6.1% vs SPY | Setup: No Trade; score 0.00; R/R 0.00x; price 39.30 | Market: NEUTRAL; Sector regime: WEAK; Net R/R: 0.00; Factors: Energy | Agent action: SKIP - SKIP: No Trade result. Market regime NEUTRAL; sector WEAK; net R/R 0.00.</t>
        </is>
      </c>
      <c r="R396" t="inlineStr">
        <is>
          <t>{"adjusted_cash_out": 0.0, "adjusted_position_size": 0, "adjusted_risk_amount": 0.0, "ask": 0.0, "bid": 0.0, "buy_zone_high": null, "buy_zone_low": null, "cash_available": 99725.38, "company_name": "Halliburton Company", "correlation_warning": false, "days_to_earnings": 30, "earnings_blackout": false, "earnings_date": "2026-07-21T00:00:00", "estimated_fees": 0.0, "estimated_slippage": 0.1179, "estimated_spread": 0.0314, "executable_entry": 39.3, "execution_liquidity_bucket": "mid_liquid", "factor_exposure_after": {}, "factor_exposure_before": {}, "factor_exposure_cap": 7000.0, "factor_exposure_limit_exceeded": false, "factor_tags": ["Energy"], "final_action": "SKIP", "gross_reward_1_per_share": 0.0, "gross_reward_2_per_share": 0.0, "gross_risk_per_share": 39.3, "gross_rr": 0.0, "gross_rr_1": 0.0, "gross_rr_2": 0.0, "gross_rr_decision": 0.0, "highest_correlation_ticker": "", "highest_correlation_value": null, "initial_action": "SKIP", "market_cap": 32956441283.11, "market_cap_bucket": "Large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2.5, "net_entry": 39.3747, "net_reward_1_per_share": 0.0, "net_reward_2_per_share": 0.0, "net_risk_per_share": 39.4493, "net_rr": 0.0, "net_rr_1": 0.0, "net_rr_2": 0.0, "net_stop_assumption": -0.0747, "net_target_1_assumption": -0.0452, "net_target_2_assumption": -0.0452, "normalized_atr_score": 100.0, "normalized_liquidity_score": 44.14, "normalized_momentum_score": 80.29, "normalized_quality_score": 74.37,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39.3, "prior_high_20": 0.0, "prior_high_63": 0.0, "reason": "SKIP: No Trade result. Market regime NEUTRAL; sector WEAK;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"WEAK", "sector_score": 22.5, "setup_score": 0.0, "setup_type": "No Trade", "sizing_adjustment_reason": "", "spread_source": "liquidity_fallback", "stock_score": 0.0, "stop_loss": 0.0, "target_1": null, "target_1_atr_distance": 0.0, "target_2": null, "target_2_atr_distance": 0.0, "target_feasibility_status": "UNKNOWN", "theoretical_entry": 39.3, "ticker": "HAL", "timestamp": "2026-06-09T16:59:50", "warnings": ["Target ATR feasibility unavailable."]}</t>
        </is>
      </c>
    </row>
    <row r="397">
      <c r="A397" t="inlineStr">
        <is>
          <t>2026-06-09T16:59:50</t>
        </is>
      </c>
      <c r="B397" t="inlineStr">
        <is>
          <t>QCOM</t>
        </is>
      </c>
      <c r="C397" t="inlineStr">
        <is>
          <t>No Trade</t>
        </is>
      </c>
      <c r="D397" t="n">
        <v>0</v>
      </c>
      <c r="E397" t="n">
        <v>193.4</v>
      </c>
      <c r="H397" t="n">
        <v>0</v>
      </c>
      <c r="K397" t="n">
        <v>0</v>
      </c>
      <c r="L397" t="inlineStr">
        <is>
          <t>No clean technical setup detected. Price in middle of value area or poor risk/reward.</t>
        </is>
      </c>
      <c r="M397" t="inlineStr">
        <is>
          <t>SKIP</t>
        </is>
      </c>
      <c r="N397" t="inlineStr">
        <is>
          <t>SKIP: No Trade result. Market regime NEUTRAL; sector STRONG; net R/R 0.00.</t>
        </is>
      </c>
      <c r="O397" t="inlineStr">
        <is>
          <t>QCOM
No Trade
0.00
score
Price
193.40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216.54
Fib Zone
212.08 - 221.00
Swing Low
190.32
Swing High
258.96
Click chart to open full size</t>
        </is>
      </c>
      <c r="P397" t="inlineStr">
        <is>
          <t>agent_results/charts/market_lens_agent_20260609_164637_qcom.png</t>
        </is>
      </c>
      <c r="Q397" t="inlineStr">
        <is>
          <t>Smart Universe: broad liquid US universe, diversified by sector | Sector: Technology - Strong (71/100); XLK sector regime is strong: 24.7% 3m return, 17.0% vs SPY | Setup: No Trade; score 0.00; R/R 0.00x; price 193.40 | Market: NEUTRAL; Sector regime: STRONG; Net R/R: 0.00; Factors: AI / Semiconductors, Technology | Agent action: SKIP - SKIP: No Trade result. Market regime NEUTRAL; sector STRONG; net R/R 0.00.</t>
        </is>
      </c>
      <c r="R397" t="inlineStr">
        <is>
          <t>{"adjusted_cash_out": 0.0, "adjusted_position_size": 0, "adjusted_risk_amount": 0.0, "ask": 0.0, "bid": 0.0, "buy_zone_high": null, "buy_zone_low": null, "cash_available": 99725.38, "company_name": "QUALCOMM Incorporated", "correlation_warning": false, "days_to_earnings": 36, "earnings_blackout": false, "earnings_date": "2026-07-29T00:00:00", "estimated_fees": 0.0, "estimated_slippage": 0.3114, "estimated_spread": 0.058, "executable_entry": 193.4,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193.4, "gross_rr": 0.0, "gross_rr_1": 0.0, "gross_rr_2": 0.0, "gross_rr_decision": 0.0, "highest_correlation_ticker": "", "highest_correlation_value": null, "initial_action": "SKIP", "market_cap": 207195321929.93,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193.5847, "net_reward_1_per_share": 0.0, "net_reward_2_per_share": 0.0, "net_risk_per_share": 193.7694, "net_rr": 0.0, "net_rr_1": 0.0, "net_rr_2": 0.0, "net_stop_assumption": -0.1847, "net_target_1_assumption": -0.1069, "net_target_2_assumption": -0.1069, "normalized_atr_score": 55.45, "normalized_liquidity_score": 79.55, "normalized_momentum_score": 100, "normalized_quality_score": 82.73,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193.4,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193.4, "ticker": "QCOM", "timestamp": "2026-06-09T16:59:50", "warnings": ["Target ATR feasibility unavailable."]}</t>
        </is>
      </c>
    </row>
    <row r="398">
      <c r="A398" t="inlineStr">
        <is>
          <t>2026-06-09T16:59:50</t>
        </is>
      </c>
      <c r="B398" t="inlineStr">
        <is>
          <t>INTC</t>
        </is>
      </c>
      <c r="C398" t="inlineStr">
        <is>
          <t>No Trade</t>
        </is>
      </c>
      <c r="D398" t="n">
        <v>0</v>
      </c>
      <c r="E398" t="n">
        <v>99.91</v>
      </c>
      <c r="H398" t="n">
        <v>0</v>
      </c>
      <c r="K398" t="n">
        <v>0</v>
      </c>
      <c r="L398" t="inlineStr">
        <is>
          <t>No clean technical setup detected. Price in middle of value area or poor risk/reward.</t>
        </is>
      </c>
      <c r="M398" t="inlineStr">
        <is>
          <t>SKIP</t>
        </is>
      </c>
      <c r="N398" t="inlineStr">
        <is>
          <t>SKIP: No Trade result. Market regime NEUTRAL; sector STRONG; net R/R 0.00.</t>
        </is>
      </c>
      <c r="O398" t="inlineStr">
        <is>
          <t>INTC
No Trade
0.00
score
Price
99.91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111.66
Fib Zone
109.36 - 113.96
Swing Low
102.40
Swing High
126.64
Click chart to open full size</t>
        </is>
      </c>
      <c r="P398" t="inlineStr">
        <is>
          <t>agent_results/charts/market_lens_agent_20260609_164637_intc.png</t>
        </is>
      </c>
      <c r="Q398" t="inlineStr">
        <is>
          <t>Smart Universe: broad liquid US universe, diversified by sector | Sector: Technology - Strong (71/100); XLK sector regime is strong: 24.7% 3m return, 17.0% vs SPY | Setup: No Trade; score 0.00; R/R 0.00x; price 99.91 | Market: NEUTRAL; Sector regime: STRONG; Net R/R: 0.00; Factors: AI / Semiconductors, Technology | Agent action: SKIP - SKIP: No Trade result. Market regime NEUTRAL; sector STRONG; net R/R 0.00.</t>
        </is>
      </c>
      <c r="R398" t="inlineStr">
        <is>
          <t>{"adjusted_cash_out": 0.0, "adjusted_position_size": 0, "adjusted_risk_amount": 0.0, "ask": 0.0, "bid": 0.0, "buy_zone_high": null, "buy_zone_low": null, "cash_available": 99725.38, "company_name": "Intel Corporation", "correlation_warning": false, "days_to_earnings": 32, "earnings_blackout": false, "earnings_date": "2026-07-23T00:00:00", "estimated_fees": 0.0, "estimated_slippage": 0.1609, "estimated_spread": 0.03, "executable_entry": 99.91, "execution_liquidity_bucket": "large_liquid", "factor_exposure_after": {}, "factor_exposure_before": {}, "factor_exposure_cap": 7000.0, "factor_exposure_limit_exceeded": false, "factor_tags": ["AI / Semiconductors", "Technology"], "final_action": "SKIP", "gross_reward_1_per_share": 0.0, "gross_reward_2_per_share": 0.0, "gross_risk_per_share": 99.91, "gross_rr": 0.0, "gross_rr_1": 0.0, "gross_rr_2": 0.0, "gross_rr_decision": 0.0, "highest_correlation_ticker": "", "highest_correlation_value": null, "initial_action": "SKIP", "market_cap": 510088729263.31, "market_cap_bucket": "Mega Cap", "market_regime": "NEUTRAL", "market_regime_indicators": {"DXY": {"ema20": 99.2976, "ema200": 98.8375, "ema50": 98.9948, "price": 100.031, "return_1m": 2.13, "return_3m": 0.81, "trend": "bullish"}, "IWM": {"ema20": 284.2597, "ema200": 267.2862, "ema50": 277.2262, "price": 279.46, "return_1m": -2.06, "return_3m": 10.72, "trend": "mixed"}, "QQQ": {"ema20": 715.0219, "ema200": 651.4312, "ema50": 684.6851, "price": 692.14, "return_1m": -2.97, "return_3m": 14.04, "trend": "mixed"}, "SPY": {"ema20": 741.6482, "ema200": 703.0628, "ema50": 723.8232, "price": 726.39, "return_1m": -1.75, "return_3m": 7.7, "trend": "mixed"}, "US10Y": {"ema20": 4.4944, "ema200": 4.3209, "ema50": 4.4221, "price": 4.548, "return_1m": 3.13, "return_3m": 8.08, "trend": "bullish"}, "VIX": {"ema20": 17.9124, "ema200": 18.8886, "ema50": 18.5911, "price": 23.05, "return_1m": 28.13, "return_3m": -15.54, "trend": "mixed"}}, "market_regime_reason": "Market regime is mixed; use lower exposure and higher net R/R.", "market_regime_score": 0.52, "market_structure_status": "UNKNOWN", "minimum_net_rr_required": 2.2, "net_entry": 100.0054, "net_reward_1_per_share": 0.0, "net_reward_2_per_share": 0.0, "net_risk_per_share": 100.1008, "net_rr": 0.0, "net_rr_1": 0.0, "net_rr_2": 0.0, "net_stop_assumption": -0.0954, "net_target_1_assumption": -0.0552, "net_target_2_assumption": -0.0552, "normalized_atr_score": 55.43, "normalized_liquidity_score": 100, "normalized_momentum_score": 100, "normalized_quality_score": 88.86,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0.0, "price": 99.91,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70.74, "setup_score": 0.0, "setup_type": "No Trade", "sizing_adjustment_reason": "", "spread_source": "liquidity_fallback", "stock_score": 0.0, "stop_loss": 0.0, "target_1": null, "target_1_atr_distance": 0.0, "target_2": null, "target_2_atr_distance": 0.0, "target_feasibility_status": "UNKNOWN", "theoretical_entry": 99.91, "ticker": "INTC", "timestamp": "2026-06-09T16:59:50", "warnings": ["Target ATR feasibility unavailable."]}</t>
        </is>
      </c>
    </row>
    <row r="399">
      <c r="A399" t="inlineStr">
        <is>
          <t>2026-06-09T17:37:36</t>
        </is>
      </c>
      <c r="B399" t="inlineStr">
        <is>
          <t>DE</t>
        </is>
      </c>
      <c r="C399" t="inlineStr">
        <is>
          <t>Fib 61.8 Confluence Buy Zone</t>
        </is>
      </c>
      <c r="D399" t="n">
        <v>0.5600000000000001</v>
      </c>
      <c r="E399" t="n">
        <v>573.74</v>
      </c>
      <c r="F399" t="n">
        <v>567.1799999999999</v>
      </c>
      <c r="G399" t="n">
        <v>576.01</v>
      </c>
      <c r="H399" t="n">
        <v>563.75</v>
      </c>
      <c r="I399" t="n">
        <v>575.87</v>
      </c>
      <c r="J399" t="n">
        <v>593.98</v>
      </c>
      <c r="K399" t="n">
        <v>0.85</v>
      </c>
      <c r="L399" t="inlineStr">
        <is>
          <t>Price at 61.8% fib retracement (571.60) with confluence at POC, VWAP. Planned entry at zone low 567.18; executable entry 573.74, stop below fib 78.6% at 563.75.</t>
        </is>
      </c>
      <c r="M399" t="inlineStr">
        <is>
          <t>WATCH</t>
        </is>
      </c>
      <c r="N399" t="inlineStr">
        <is>
          <t>WATCH: Technical setup detected, but weighted risk/reward 0.85 is below minimum 2.00. Market regime NEUTRAL; sector NEUTRAL; net R/R 0.70.</t>
        </is>
      </c>
      <c r="O399" t="inlineStr">
        <is>
          <t>DE
Fib 61.8 Confluence Buy Zone
0.56
score
Price
573.74
R/R
0.85x
Grade
B
Quality
73%
Buy Zone
567.18 - 576.01
Stop
563.75
Targets
575.87 / 593.98
Tradable if trigger confirms
Mixed
Relative Strength
Leadership
100%
Trend Quality
Constructive
58%
Liquidity
Institutional liquidity
100%
Volume
Confirmed
80%
Trigger
Break above prior-day high at 592.61 after holding buy zone.
Invalidation
Exit if price closes below 563.75 or setup support fails.
Market regime: Mixed.
Relative strength: Leadership.
Price at 61.8% fib retracement (571.60) with confluence at POC, VWAP. Planned entry at zone low 567.18; executable entry 573.74, stop below fib 78.6% at 563.75.
Fib 61.8
571.60
Fib Zone
567.18 - 576.01
Swing Low
557.76
Swing High
593.98
Save setup
Click chart to open full size</t>
        </is>
      </c>
      <c r="P399" t="inlineStr">
        <is>
          <t>agent_results/charts/market_lens_agent_20260609_173202_de.png</t>
        </is>
      </c>
      <c r="Q399" t="inlineStr">
        <is>
          <t>Smart Universe: broad liquid US universe, diversified by sector | Sector: Industrials - Neutral (68/100); XLI sector regime is neutral: 3.0% 3m return, -5.6% vs SPY | Setup: Fib 61.8 Confluence Buy Zone; score 0.56; R/R 0.85x; price 573.74 | Market: NEUTRAL; Sector regime: NEUTRAL; Net R/R: 0.70; Factors: Industrials | Agent action: WATCH - WATCH: Technical setup detected, but weighted risk/reward 0.85 is below minimum 2.00. Market regime NEUTRAL; sector NEUTRAL; net R/R 0.70.</t>
        </is>
      </c>
      <c r="R399" t="inlineStr">
        <is>
          <t>{"adjusted_cash_out": 0.0, "adjusted_position_size": 0, "adjusted_risk_amount": 0.0, "ask": 0.0, "bid": 0.0, "buy_zone_high": 576.01, "buy_zone_low": 567.18, "cash_available": 99725.38, "company_name": "Deere &amp; Company", "correlation_warning": false, "days_to_earnings": 52, "earnings_blackout": false, "earnings_date": "2026-08-20T00:00:00", "estimated_fees": 0.0, "estimated_slippage": 0.8032, "estimated_spread": 0.1721, "executable_entry": 573.74, "execution_liquidity_bucket": "large_liquid", "factor_exposure_after": {}, "factor_exposure_before": {}, "factor_exposure_cap": 7000.0, "factor_exposure_limit_exceeded": false, "factor_tags": ["Industrials"], "final_action": "WATCH", "gross_reward_1_per_share": 2.13, "gross_reward_2_per_share": 20.24, "gross_risk_per_share": 9.99, "gross_rr": 0.8477, "gross_rr_1": 0.2132, "gross_rr_2": 2.026, "gross_rr_decision": 0.8477, "highest_correlation_ticker": "", "highest_correlation_value": null, "initial_action": "WATCH", "market_cap": 155187032222.77,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574.2277, "net_reward_1_per_share": 1.3555, "net_reward_2_per_share": 19.4655, "net_risk_per_share": 10.9654, "net_rr": 0.7017, "net_rr_1": 0.1236, "net_rr_2": 1.7752, "net_stop_assumption": 563.2623, "net_target_1_assumption": 575.5831, "net_target_2_assumption": 593.6931, "normalized_atr_score": 100.0, "normalized_liquidity_score": 62.21, "normalized_momentum_score": 36.83, "normalized_quality_score": 60.24, "original_cash_out": 0.0, "original_position_size": 0, "original_risk_amount": 0.0, "portfolio_exposure_after": 0, "portfolio_exposure_before": 0, "position_size": 0, "position_size_adjusted": false, "position_sizing_explanation": "No new position size was calculated because the base decision did not open a simulated buy.", "previous_resistance": 604.51, "price": 573.74, "prior_high_20": 604.51, "prior_high_63": 619.24, "reason": "WATCH: Technical setup detected, but weighted risk/reward 0.85 is below minimum 2.00. Market regime NEUTRAL; sector NEUTRAL; net R/R 0.70.",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67.73, "setup_score": 0.56, "setup_type": "Fib 61.8 Confluence Buy Zone", "sizing_adjustment_reason": "", "spread_source": "liquidity_fallback", "stock_score": 0.56, "stop_loss": 563.75, "target_1": 575.87, "target_1_atr_distance": 0.1206, "target_2": 593.98, "target_2_atr_distance": 1.1462, "target_feasibility_status": "LOW_REWARD_DISTANCE", "theoretical_entry": 567.18, "ticker": "DE", "timestamp": "2026-06-09T17:37:36", "warnings": ["Target 1 is close versus daily ATR."]}</t>
        </is>
      </c>
    </row>
    <row r="400">
      <c r="A400" t="inlineStr">
        <is>
          <t>2026-06-09T17:37:36</t>
        </is>
      </c>
      <c r="B400" t="inlineStr">
        <is>
          <t>HON</t>
        </is>
      </c>
      <c r="C400" t="inlineStr">
        <is>
          <t>Breakout + Retest</t>
        </is>
      </c>
      <c r="D400" t="n">
        <v>0.47</v>
      </c>
      <c r="E400" t="n">
        <v>214.42</v>
      </c>
      <c r="F400" t="n">
        <v>213.65</v>
      </c>
      <c r="G400" t="n">
        <v>219.83</v>
      </c>
      <c r="H400" t="n">
        <v>210.55</v>
      </c>
      <c r="I400" t="n">
        <v>219.83</v>
      </c>
      <c r="J400" t="n">
        <v>239.94</v>
      </c>
      <c r="K400" t="n">
        <v>3.22</v>
      </c>
      <c r="L400" t="inlineStr">
        <is>
          <t>Price (214.42) retesting broken resistance (219.83) as support. Breakout on 2026-05-21 with 1.1× avg volume. Entry at 214.42, stop at 210.55.</t>
        </is>
      </c>
      <c r="M400" t="inlineStr">
        <is>
          <t>BUY_SIMULATED</t>
        </is>
      </c>
      <c r="N400" t="inlineStr">
        <is>
          <t>BUY_SIMULATED: NEUTRAL market regime, NEUTRAL sector, valid setup, net R/R 2.54, no earnings blackout, correlation acceptable, and risk limits allow entry. Position size reduced to 27 shares to fit exposure caps.</t>
        </is>
      </c>
      <c r="O400" t="inlineStr">
        <is>
          <t>HON
Breakout + Retest
0.47
score
Price
214.42
R/R
3.22x
Grade
B
Quality
71%
Buy Zone
213.65 - 219.83
Stop
210.55
Targets
219.83 / 239.94
Tradable if trigger confirms
Mixed
Relative Strength
Leadership
92%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(214.42) retesting broken resistance (219.83) as support. Breakout on 2026-05-21 with 1.1× avg volume. Entry at 214.42, stop at 210.55.
Fib 61.8
222.36
Fib Zone
220.82 - 223.91
Swing Low
211.50
Swing High
239.94
Save setup
Click chart to open full size</t>
        </is>
      </c>
      <c r="P400" t="inlineStr">
        <is>
          <t>agent_results/charts/market_lens_agent_20260609_173202_hon.png</t>
        </is>
      </c>
      <c r="Q400"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R400"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401">
      <c r="A401" t="inlineStr">
        <is>
          <t>2026-06-09T17:37:36</t>
        </is>
      </c>
      <c r="B401" t="inlineStr">
        <is>
          <t>ORCL</t>
        </is>
      </c>
      <c r="C401" t="inlineStr">
        <is>
          <t>Breakout + Retest</t>
        </is>
      </c>
      <c r="D401" t="n">
        <v>0.4</v>
      </c>
      <c r="E401" t="n">
        <v>203.81</v>
      </c>
      <c r="F401" t="n">
        <v>187.64</v>
      </c>
      <c r="G401" t="n">
        <v>200.71</v>
      </c>
      <c r="H401" t="n">
        <v>181.11</v>
      </c>
      <c r="I401" t="n">
        <v>219.06</v>
      </c>
      <c r="J401" t="n">
        <v>250.25</v>
      </c>
      <c r="K401" t="n">
        <v>1.15</v>
      </c>
      <c r="L401" t="inlineStr">
        <is>
          <t>Price (203.81) retesting broken resistance (200.71) as support. Breakout on 2026-05-28 with 1.3× avg volume. Entry at 203.81, stop at 181.11.</t>
        </is>
      </c>
      <c r="M401" t="inlineStr">
        <is>
          <t>WATCH</t>
        </is>
      </c>
      <c r="N401" t="inlineStr">
        <is>
          <t>WATCH: Technical setup detected, but weighted risk/reward 1.15 is below minimum 2.00. Market regime NEUTRAL; sector STRONG; net R/R 1.08.</t>
        </is>
      </c>
      <c r="O401" t="inlineStr">
        <is>
          <t>ORCL
Breakout + Retest
0.40
score
Price
203.81
R/R
1.15x
Grade
B
Quality
76%
Buy Zone
187.64 - 200.71
Stop
181.11
Targets
219.06 / 250.25
Tradable if trigger confirms
Mixed
Relative Strength
Leadership
100%
Trend Quality
Constructive
68%
Liquidity
Institutional liquidity
100%
Volume
Confirmed
80%
Trigger
Close above 219.06 or reclaim of broken resistance.
Invalidation
Exit if price closes below 181.11 or setup support fails.
Market regime: Mixed.
Relative strength: Leadership.
Price (203.81) retesting broken resistance (200.71) as support. Breakout on 2026-05-28 with 1.3× avg volume. Entry at 203.81, stop at 181.11.
Fib 61.8
206.09
Fib Zone
202.83 - 209.36
Swing Low
178.80
Swing High
250.25
Save setup
Click chart to open full size</t>
        </is>
      </c>
      <c r="P401" t="inlineStr">
        <is>
          <t>agent_results/charts/market_lens_agent_20260609_173202_orcl.png</t>
        </is>
      </c>
      <c r="Q401" t="inlineStr">
        <is>
          <t>Smart Universe: broad liquid US universe, diversified by sector | Sector: Technology - Strong (73/100); XLK sector regime is strong: 27.1% 3m return, 18.5% vs SPY | Setup: Breakout + Retest; score 0.40; R/R 1.15x; price 203.81 | Market: NEUTRAL; Sector regime: STRONG; Net R/R: 1.08; Factors: Technology | Agent action: WATCH - WATCH: Technical setup detected, but weighted risk/reward 1.15 is below minimum 2.00. Market regime NEUTRAL; sector STRONG; net R/R 1.08.</t>
        </is>
      </c>
      <c r="R401" t="inlineStr">
        <is>
          <t>{"adjusted_cash_out": 0.0, "adjusted_position_size": 0, "adjusted_risk_amount": 0.0, "ask": 0.0, "bid": 0.0, "buy_zone_high": 200.71, "buy_zone_low": 187.64, "cash_available": 93936.04, "company_name": "Oracle Corporation", "correlation_warning": false, "days_to_earnings": 1, "earnings_blackout": true, "earnings_date": "2026-06-10T00:00:00", "estimated_fees": 0.0, "estimated_slippage": 0.7969, "estimated_spread": 0.0611, "executable_entry": 203.81, "execution_liquidity_bucket": "large_liquid", "factor_exposure_after": {"Industrials": 5789.34}, "factor_exposure_before": {"Industrials": 5789.34}, "factor_exposure_cap": 7000.0, "factor_exposure_limit_exceeded": false, "factor_tags": ["Technology"], "final_action": "WATCH", "gross_reward_1_per_share": 15.25, "gross_reward_2_per_share": 46.44, "gross_risk_per_share": 22.7, "gross_rr": 1.1527, "gross_rr_1": 0.6718, "gross_rr_2": 2.0458, "gross_rr_decision": 1.1527, "highest_correlation_ticker": "HON", "highest_correlation_value": 0.1149, "initial_action": "WATCH", "market_cap": 588194545934.6,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204.239, "net_reward_1_per_share": 14.5912, "net_reward_2_per_share": 45.7812, "net_risk_per_share": 23.558, "net_rr": 1.0828, "net_rr_1": 0.6194, "net_rr_2": 1.9433, "net_stop_assumption": 180.681, "net_target_1_assumption": 218.8302, "net_target_2_assumption": 250.0202, "normalized_atr_score": 83.45, "normalized_liquidity_score": 75.28, "normalized_momentum_score": 100, "normalized_quality_score": 88.45,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250.25, "price": 203.81, "prior_high_20": 250.25, "prior_high_63": 250.25, "reason": "WATCH: Technical setup detected, but weighted risk/reward 1.15 is below minimum 2.00. Market regime NEUTRAL; sector STRONG; net R/R 1.08.",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0.4, "setup_type": "Breakout + Retest", "sizing_adjustment_reason": "", "spread_source": "liquidity_fallback", "stock_score": 0.4, "stop_loss": 181.11, "target_1": 219.06, "target_1_atr_distance": 1.1671, "target_2": 250.25, "target_2_atr_distance": 3.5542, "target_feasibility_status": "OK", "theoretical_entry": 187.64, "ticker": "ORCL", "timestamp": "2026-06-09T17:37:36", "warnings": ["Earnings blackout active."]}</t>
        </is>
      </c>
    </row>
    <row r="402">
      <c r="A402" t="inlineStr">
        <is>
          <t>2026-06-09T17:37:36</t>
        </is>
      </c>
      <c r="B402" t="inlineStr">
        <is>
          <t>CASY</t>
        </is>
      </c>
      <c r="C402" t="inlineStr">
        <is>
          <t>Breakout + Retest</t>
        </is>
      </c>
      <c r="D402" t="n">
        <v>0.39</v>
      </c>
      <c r="E402" t="n">
        <v>754.1900000000001</v>
      </c>
      <c r="F402" t="n">
        <v>750.29</v>
      </c>
      <c r="G402" t="n">
        <v>773.6900000000001</v>
      </c>
      <c r="H402" t="n">
        <v>738.59</v>
      </c>
      <c r="I402" t="n">
        <v>773.6900000000001</v>
      </c>
      <c r="J402" t="n">
        <v>901</v>
      </c>
      <c r="K402" t="n">
        <v>4.11</v>
      </c>
      <c r="L402" t="inlineStr">
        <is>
          <t>Price (754.19) retesting broken resistance (773.69) as support. Breakout on 2026-04-21 with 0.3× avg volume. Entry at 754.19, stop at 738.59.</t>
        </is>
      </c>
      <c r="M402" t="inlineStr">
        <is>
          <t>SKIP</t>
        </is>
      </c>
      <c r="N402" t="inlineStr">
        <is>
          <t>WATCH: Neutral market requires stronger setup score (0.39 &lt; 0.45).</t>
        </is>
      </c>
      <c r="O402" t="inlineStr">
        <is>
          <t>CASY
Breakout + Retest
0.39
score
Price
754.19
R/R
4.11x
Grade
B
Quality
65%
Buy Zone
750.29 - 773.69
Stop
738.59
Targets
773.69 / 901.00
Tradable if trigger confirms
Mixed
Relative Strength
Leadership
100%
Trend Quality
Messy
18%
Liquidity
Institutional liquidity
100%
Volume
Distribution risk
45%
Trigger
Close above 765.00 or reclaim of broken resistance.
Invalidation
Exit if price closes below 738.59 or setup support fails.
Trend quality is not clean.
Recent volume shows distribution risk.
Market regime: Mixed.
Relative strength: Leadership.
Price (754.19) retesting broken resistance (773.69) as support. Breakout on 2026-04-21 with 0.3× avg volume. Entry at 754.19, stop at 738.59.
Fib 61.8
794.51
Fib Zone
788.66 - 800.36
Swing Low
728.68
Swing High
901.00
Save setup
Click chart to open full size</t>
        </is>
      </c>
      <c r="P402" t="inlineStr">
        <is>
          <t>agent_results/charts/market_lens_agent_20260609_173202_casy.png</t>
        </is>
      </c>
      <c r="Q402" t="inlineStr">
        <is>
          <t>Smart Universe: broad liquid US universe, diversified by sector | Sector: Consumer Defensive - Neutral (44/100); XLP sector regime is neutral: -0.3% 3m return, -8.9% vs SPY | Setup: Breakout + Retest; score 0.39; R/R 4.11x; price 754.19 | Market: NEUTRAL; Sector regime: NEUTRAL; Net R/R: 3.04; Factors: Consumer Defensive, Defensive, Low Volatility | Agent action: SKIP - WATCH: Neutral market requires stronger setup score (0.39 &lt; 0.45).</t>
        </is>
      </c>
      <c r="R402" t="inlineStr">
        <is>
          <t>{"adjusted_cash_out": 5279.33, "adjusted_position_size": 7, "adjusted_risk_amount": 109.2, "ask": 0.0, "bid": 0.0, "buy_zone_high": 773.69, "buy_zone_low": 750.29, "cash_available": 93936.04, "company_name": "Casey's", "correlation_warning": false, "days_to_earnings": 0, "earnings_blackout": true, "earnings_date": "2026-06-09T00:00:00", "estimated_fees": 0.0, "estimated_slippage": 3.771, "estimated_spread": 0.6034, "executable_entry": 754.19, "execution_liquidity_bucket": "mid_liquid", "factor_exposure_after": {"Consumer Defensive": 5279.33, "Defensive": 5279.33, "Industrials": 5789.34, "Low Volatility": 5279.33}, "factor_exposure_before": {"Industrials": 5789.34}, "factor_exposure_cap": 7000.0, "factor_exposure_limit_exceeded": false, "factor_tags": ["Consumer Defensive", "Defensive", "Low Volatility"], "final_action": "SKIP", "gross_reward_1_per_share": 19.5, "gross_reward_2_per_share": 146.81, "gross_risk_per_share": 15.6, "gross_rr": 4.1063, "gross_rr_1": 1.25, "gross_rr_2": 9.4109, "gross_rr_decision": 4.1063, "highest_correlation_ticker": "HON", "highest_correlation_value": 0.1354, "initial_action": "BUY_SIMULATED", "market_cap": 27931230362.71,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756.3772, "net_reward_1_per_share": 16.0684, "net_reward_2_per_share": 143.3784, "net_risk_per_share": 19.9743, "net_rr": 3.0352, "net_rr_1": 0.8045, "net_rr_2": 7.1781, "net_stop_assumption": 736.4028, "net_target_1_assumption": 772.4456, "net_target_2_assumption": 899.7556, "normalized_atr_score": 100.0, "normalized_liquidity_score": 44.06, "normalized_momentum_score": 59.72, "normalized_quality_score": 65.09, "original_cash_out": 9804.47, "original_position_size": 13, "original_risk_amount": 202.8, "portfolio_exposure_after": 5789.34, "portfolio_exposure_before": 5789.34, "position_size": 0, "position_size_adjusted": true, "position_sizing_explanation": "Base position sizing produced a candidate trade, but the risk transparency layer blocked the new buy. Candidate size: 7 shares, cash 5279.33, risk 109.20.", "previous_resistance": 901.0, "price": 754.19, "prior_high_20": 901.0, "prior_high_63": 901.0, "reason": "WATCH: Neutral market requires stronger setup score (0.39 &lt; 0.45).", "risk_amount": 0.0, "scan_source": "Smart Universe: broad liquid US universe filtered and diversified by the Market Lens UI.", "sector": "Consumer Defensive", "sector_etf": "XLP", "sector_exposure_after": 5279.33, "sector_exposure_before": 0.0, "sector_exposure_cap": 6000.0, "sector_exposure_limit_exceeded": false, "sector_regime": "NEUTRAL", "sector_score": 43.89, "setup_score": 0.39, "setup_type": "Breakout + Retest", "sizing_adjustment_reason": "Position size reduced by Consumer Defensive sector exposure cap (13 -&gt; 7 shares).", "spread_source": "liquidity_fallback", "stock_score": 0.39, "stop_loss": 738.59, "target_1": 773.69, "target_1_atr_distance": 0.8333, "target_2": 901.0, "target_2_atr_distance": 6.2735, "target_feasibility_status": "OK", "theoretical_entry": 750.29, "ticker": "CASY", "timestamp": "2026-06-09T17:37:36", "warnings": ["Position size reduced by Consumer Defensive sector exposure cap (13 -&gt; 7 shares).", "Earnings blackout active.", "WATCH: Neutral sector requires a cleaner setup score.", "SKIP: Earnings blackout active."]}</t>
        </is>
      </c>
    </row>
    <row r="403">
      <c r="A403" t="inlineStr">
        <is>
          <t>2026-06-09T17:37:36</t>
        </is>
      </c>
      <c r="B403" t="inlineStr">
        <is>
          <t>V</t>
        </is>
      </c>
      <c r="C403" t="inlineStr">
        <is>
          <t>Fib 61.8 Confluence Buy Zone</t>
        </is>
      </c>
      <c r="D403" t="n">
        <v>0.36</v>
      </c>
      <c r="E403" t="n">
        <v>324.28</v>
      </c>
      <c r="F403" t="n">
        <v>321.24</v>
      </c>
      <c r="G403" t="n">
        <v>324.8</v>
      </c>
      <c r="H403" t="n">
        <v>319</v>
      </c>
      <c r="I403" t="n">
        <v>325.34</v>
      </c>
      <c r="J403" t="n">
        <v>338.49</v>
      </c>
      <c r="K403" t="n">
        <v>1.07</v>
      </c>
      <c r="L403" t="inlineStr">
        <is>
          <t>Price at 61.8% fib retracement (323.02) with confluence at VWAP. Planned entry at zone low 321.24; executable entry 324.28, stop below fib 78.6% at 319.00.</t>
        </is>
      </c>
      <c r="M403" t="inlineStr">
        <is>
          <t>WATCH</t>
        </is>
      </c>
      <c r="N403" t="inlineStr">
        <is>
          <t>WATCH: Technical setup detected, but weighted risk/reward 1.07 is below minimum 2.00. Market regime NEUTRAL; sector STRONG; net R/R 0.90.</t>
        </is>
      </c>
      <c r="O403" t="inlineStr">
        <is>
          <t>V
Fib 61.8 Confluence Buy Zone
0.36
score
Price
324.28
R/R
1.07x
Grade
C
Quality
60%
Buy Zone
321.24 - 324.80
Stop
319.00
Targets
325.34 / 338.49
Watch only; needs confirmation
Mixed
Relative Strength
In line
69%
Trend Quality
Constructive
58%
Liquidity
Institutional liquidity
100%
Volume
Distribution risk
30%
Trigger
Break above prior-day high at 324.28 after holding buy zone.
Invalidation
Exit if price closes below 319.00 or setup support fails.
Recent volume shows distribution risk.
Market regime: Mixed.
Relative strength: In line.
Price at 61.8% fib retracement (323.02) with confluence at VWAP. Planned entry at zone low 321.24; executable entry 324.28, stop below fib 78.6% at 319.00.
Fib 61.8
323.02
Fib Zone
321.24 - 324.80
Swing Low
315.51
Swing High
335.17
Save setup
Click chart to open full size</t>
        </is>
      </c>
      <c r="P403" t="inlineStr">
        <is>
          <t>agent_results/charts/market_lens_agent_20260609_173202_v.png</t>
        </is>
      </c>
      <c r="Q403" t="inlineStr">
        <is>
          <t>Smart Universe: broad liquid US universe, diversified by sector | Sector: Financials - Strong (72/100); XLF sector regime is strong: 5.9% 3m return, -2.7% vs SPY | Setup: Fib 61.8 Confluence Buy Zone; score 0.36; R/R 1.07x; price 324.28 | Market: NEUTRAL; Sector regime: STRONG; Net R/R: 0.90; Factors: Financials | Agent action: WATCH - WATCH: Technical setup detected, but weighted risk/reward 1.07 is below minimum 2.00. Market regime NEUTRAL; sector STRONG; net R/R 0.90.</t>
        </is>
      </c>
      <c r="R403"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 "estimated_spread": 0.0973, "executable_entry": 324.28, "execution_liquidity_bucket": "large_liquid", "factor_exposure_after": {"Industrials": 5789.34}, "factor_exposure_before": {"Industrials": 5789.34}, "factor_exposure_cap": 7000.0, "factor_exposure_limit_exceeded": false, "factor_tags": ["Financials"], "final_action": "WATCH", "gross_reward_1_per_share": 1.06, "gross_reward_2_per_share": 14.21, "gross_risk_per_share": 5.28, "gross_rr": 1.0724, "gross_rr_1": 0.2008, "gross_rr_2": 2.6913, "gross_rr_decision": 1.0724, "highest_correlation_ticker": "HON", "highest_correlation_value": 0.1028, "initial_action": "WATCH", "market_cap": 616745009130.21,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324.5556, "net_reward_1_per_share": 0.6222, "net_reward_2_per_share": 13.7722, "net_risk_per_share": 5.8313, "net_rr": 0.896, "net_rr_1": 0.1067, "net_rr_2": 2.3618, "net_stop_assumption": 318.7244, "net_target_1_assumption": 325.1779, "net_target_2_assumption": 338.3279, "normalized_atr_score": 100.0, "normalized_liquidity_score": 58.71, "normalized_momentum_score": 69.22, "normalized_quality_score": 73.76,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335.17, "price": 324.28, "prior_high_20": 335.17, "prior_high_63": 341.2725, "reason": "WATCH: Technical setup detected, but weighted risk/reward 1.07 is below minimum 2.00. Market regime NEUTRAL; sector STRONG; net R/R 0.90.",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0.36, "setup_type": "Fib 61.8 Confluence Buy Zone", "sizing_adjustment_reason": "", "spread_source": "liquidity_fallback", "stock_score": 0.36, "stop_loss": 319.0, "target_1": 325.34, "target_1_atr_distance": 0.149, "target_2": 338.49, "target_2_atr_distance": 1.9977, "target_feasibility_status": "LOW_REWARD_DISTANCE", "theoretical_entry": 321.24, "ticker": "V", "timestamp": "2026-06-09T17:37:36", "warnings": ["Target 1 is close versus daily ATR."]}</t>
        </is>
      </c>
    </row>
    <row r="404">
      <c r="A404" t="inlineStr">
        <is>
          <t>2026-06-09T17:37:36</t>
        </is>
      </c>
      <c r="B404" t="inlineStr">
        <is>
          <t>DHR</t>
        </is>
      </c>
      <c r="C404" t="inlineStr">
        <is>
          <t>Fib 61.8 Confluence Buy Zone</t>
        </is>
      </c>
      <c r="D404" t="n">
        <v>0.34</v>
      </c>
      <c r="E404" t="n">
        <v>187.76</v>
      </c>
      <c r="F404" t="n">
        <v>187.14</v>
      </c>
      <c r="G404" t="n">
        <v>189.77</v>
      </c>
      <c r="H404" t="n">
        <v>184.65</v>
      </c>
      <c r="I404" t="n">
        <v>190.75</v>
      </c>
      <c r="J404" t="n">
        <v>200.5</v>
      </c>
      <c r="K404" t="n">
        <v>2.06</v>
      </c>
      <c r="L404" t="inlineStr">
        <is>
          <t>Price at 61.8% fib retracement (188.46) with confluence at VWAP. Planned entry at zone low 187.14; executable entry 187.76, stop below fib 78.6% at 184.65.</t>
        </is>
      </c>
      <c r="M404" t="inlineStr">
        <is>
          <t>WATCH</t>
        </is>
      </c>
      <c r="N404" t="inlineStr">
        <is>
          <t>WATCH: Neutral market requires stronger setup score (0.34 &lt; 0.45).</t>
        </is>
      </c>
      <c r="O404" t="inlineStr">
        <is>
          <t>DHR
Fib 61.8 Confluence Buy Zone
0.34
score
Price
187.76
R/R
2.06x
Grade
B
Quality
77%
Buy Zone
187.14 - 189.77
Stop
184.65
Targets
190.75 / 200.50
Tradable if trigger confirms
Mixed
Relative Strength
Leadership
100%
Trend Quality
Constructive
68%
Liquidity
Institutional liquidity
100%
Volume
Neutral
65%
Trigger
Break above prior-day high at 187.76 after holding buy zone.
Invalidation
Exit if price closes below 184.65 or setup support fails.
Market regime: Mixed.
Relative strength: Leadership.
Price at 61.8% fib retracement (188.46) with confluence at VWAP. Planned entry at zone low 187.14; executable entry 187.76, stop below fib 78.6% at 184.65.
Fib 61.8
188.46
Fib Zone
187.14 - 189.77
Swing Low
181.01
Swing High
200.50
Save setup
Click chart to open full size</t>
        </is>
      </c>
      <c r="P404" t="inlineStr">
        <is>
          <t>agent_results/charts/market_lens_agent_20260609_173202_dhr.png</t>
        </is>
      </c>
      <c r="Q404" t="inlineStr">
        <is>
          <t>Smart Universe: broad liquid US universe, diversified by sector | Sector: Healthcare - Strong (69/100); XLV sector regime is strong: 1.4% 3m return, -7.2% vs SPY | Setup: Fib 61.8 Confluence Buy Zone; score 0.34; R/R 2.06x; price 187.76 | Market: NEUTRAL; Sector regime: STRONG; Net R/R: 1.79; Factors: Defensive, Healthcare | Agent action: WATCH - WATCH: Neutral market requires stronger setup score (0.34 &lt; 0.45).</t>
        </is>
      </c>
      <c r="R404" t="inlineStr">
        <is>
          <t>{"adjusted_cash_out": 5820.56, "adjusted_position_size": 31, "adjusted_risk_amount": 96.41, "ask": 0.0, "bid": 0.0, "buy_zone_high": 189.77, "buy_zone_low": 187.14, "cash_available": 93936.04, "company_name": "Danaher Corporation", "correlation_warning": false, "days_to_earnings": 30, "earnings_blackout": false, "earnings_date": "2026-07-21T00:00:00", "estimated_fees": 0.0, "estimated_slippage": 0.2629, "estimated_spread": 0.0563, "executable_entry": 187.76, "execution_liquidity_bucket": "large_liquid", "factor_exposure_after": {"Defensive": 5820.56, "Healthcare": 5820.56, "Industrials": 5789.34}, "factor_exposure_before": {"Industrials": 5789.34}, "factor_exposure_cap": 7000.0, "factor_exposure_limit_exceeded": false, "factor_tags": ["Defensive", "Healthcare"], "final_action": "WATCH", "gross_reward_1_per_share": 2.99, "gross_reward_2_per_share": 12.74, "gross_risk_per_share": 3.11, "gross_rr": 2.0587, "gross_rr_1": 0.9614, "gross_rr_2": 4.0965, "gross_rr_decision": 2.0587, "highest_correlation_ticker": "HON", "highest_correlation_value": 0.1983, "initial_action": "BUY_SIMULATED", "market_cap": 133034332157.6,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187.9196, "net_reward_1_per_share": 2.7365, "net_reward_2_per_share": 12.4865, "net_risk_per_share": 3.4292, "net_rr": 1.7931, "net_rr_1": 0.798, "net_rr_2": 3.6412, "net_stop_assumption": 184.4904, "net_target_1_assumption": 190.6561, "net_target_2_assumption": 200.4061, "normalized_atr_score": 100.0, "normalized_liquidity_score": 58.58, "normalized_momentum_score": 59.62, "normalized_quality_score": 69.4, "original_cash_out": 9951.28, "original_position_size": 53, "original_risk_amount": 164.83, "portfolio_exposure_after": 5789.34, "portfolio_exposure_before": 5789.34, "position_size": 0, "position_size_adjusted": true, "position_sizing_explanation": "Base position sizing produced a candidate trade, but the risk transparency layer blocked the new buy. Candidate size: 31 shares, cash 5820.56, risk 96.41.", "previous_resistance": 188.75, "price": 187.76, "prior_high_20": 188.75, "prior_high_63": 200.5, "reason": "WATCH: Neutral market requires stronger setup score (0.34 &lt; 0.45).", "risk_amount": 0.0, "scan_source": "Smart Universe: broad liquid US universe filtered and diversified by the Market Lens UI.", "sector": "Healthcare", "sector_etf": "XLV", "sector_exposure_after": 5820.56, "sector_exposure_before": 0.0, "sector_exposure_cap": 6000.0, "sector_exposure_limit_exceeded": false, "sector_regime": "STRONG", "sector_score": 68.88, "setup_score": 0.34, "setup_type": "Fib 61.8 Confluence Buy Zone", "sizing_adjustment_reason": "Position size reduced by Healthcare sector exposure cap (53 -&gt; 31 shares).", "spread_source": "liquidity_fallback", "stock_score": 0.34, "stop_loss": 184.65, "target_1": 190.75, "target_1_atr_distance": 0.5685, "target_2": 200.5, "target_2_atr_distance": 2.4221, "target_feasibility_status": "LOW_REWARD_DISTANCE", "theoretical_entry": 187.14, "ticker": "DHR", "timestamp": "2026-06-09T17:37:36", "warnings": ["Target 1 is close versus daily ATR.", "Position size reduced by Healthcare sector exposure cap (53 -&gt; 31 shares).", "Gross R/R is valid, but Net R/R 1.79 failed minimum 2.20 after slippage/spread adjustment.", "Target 1 is too close versus daily ATR."]}</t>
        </is>
      </c>
    </row>
    <row r="405">
      <c r="A405" t="inlineStr">
        <is>
          <t>2026-06-09T17:37:36</t>
        </is>
      </c>
      <c r="B405" t="inlineStr">
        <is>
          <t>DLR</t>
        </is>
      </c>
      <c r="C405" t="inlineStr">
        <is>
          <t>Breakout + Retest</t>
        </is>
      </c>
      <c r="D405" t="n">
        <v>0.34</v>
      </c>
      <c r="E405" t="n">
        <v>184.19</v>
      </c>
      <c r="F405" t="n">
        <v>178.64</v>
      </c>
      <c r="G405" t="n">
        <v>182.95</v>
      </c>
      <c r="H405" t="n">
        <v>176.48</v>
      </c>
      <c r="I405" t="n">
        <v>187.95</v>
      </c>
      <c r="J405" t="n">
        <v>201.34</v>
      </c>
      <c r="K405" t="n">
        <v>1.09</v>
      </c>
      <c r="L405" t="inlineStr">
        <is>
          <t>Price (184.20) retesting broken resistance (182.95) as support. Breakout on 2026-04-08 with 2.2× avg volume. Volume confirmed breakout. Entry at 184.20, stop at 176.48.</t>
        </is>
      </c>
      <c r="M405" t="inlineStr">
        <is>
          <t>WATCH</t>
        </is>
      </c>
      <c r="N405" t="inlineStr">
        <is>
          <t>WATCH: Technical setup detected, but weighted risk/reward 1.09 is below minimum 2.00. Market regime NEUTRAL; sector STRONG; net R/R 0.87.</t>
        </is>
      </c>
      <c r="O405" t="inlineStr">
        <is>
          <t>DLR
Breakout + Retest
0.34
score
Price
184.19
R/R
1.09x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(184.20) retesting broken resistance (182.95) as support. Breakout on 2026-04-08 with 2.2× avg volume. Volume confirmed breakout. Entry at 184.20, stop at 176.48.
Fib 61.8
188.75
Fib Zone
187.67 - 189.83
Swing Low
184.95
Swing High
194.89
Save setup
Click chart to open full size</t>
        </is>
      </c>
      <c r="P405" t="inlineStr">
        <is>
          <t>agent_results/charts/market_lens_agent_20260609_173202_dlr.png</t>
        </is>
      </c>
      <c r="Q405" t="inlineStr">
        <is>
          <t>Smart Universe: broad liquid US universe, diversified by sector | Sector: Real Estate - Strong (72/100); XLRE sector regime is strong: 6.7% 3m return, -1.9% vs SPY | Setup: Breakout + Retest; score 0.34; R/R 1.09x; price 184.19 | Market: NEUTRAL; Sector regime: STRONG; Net R/R: 0.87; Factors: Real Estate | Agent action: WATCH - WATCH: Technical setup detected, but weighted risk/reward 1.09 is below minimum 2.00. Market regime NEUTRAL; sector STRONG; net R/R 0.87.</t>
        </is>
      </c>
      <c r="R405"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0.921, "estimated_spread": 0.1474, "executable_entry": 184.19, "execution_liquidity_bucket": "mid_liquid", "factor_exposure_after": {"Industrials": 5789.34}, "factor_exposure_before": {"Industrials": 5789.34}, "factor_exposure_cap": 7000.0, "factor_exposure_limit_exceeded": false, "factor_tags": ["Real Estate"], "final_action": "WATCH", "gross_reward_1_per_share": 3.76, "gross_reward_2_per_share": 17.15, "gross_risk_per_share": 7.71, "gross_rr": 1.0955, "gross_rr_1": 0.4877, "gross_rr_2": 2.2244, "gross_rr_decision": 1.0955, "highest_correlation_ticker": "HON", "highest_correlation_value": 0.4598, "initial_action": "WATCH", "market_cap": 64802794655.59,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184.7242, "net_reward_1_per_share": 2.9219, "net_reward_2_per_share": 16.3119, "net_risk_per_share": 8.7783, "net_rr": 0.8667, "net_rr_1": 0.3329, "net_rr_2": 1.8582, "net_stop_assumption": 175.9458, "net_target_1_assumption": 187.6461, "net_target_2_assumption": 201.0361, "normalized_atr_score": 100.0, "normalized_liquidity_score": 41.26, "normalized_momentum_score": 49.35, "normalized_quality_score": 59.59,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197.54, "price": 184.19, "prior_high_20": 197.54, "prior_high_63": 208.14, "reason": "WATCH: Technical setup detected, but weighted risk/reward 1.09 is below minimum 2.00. Market regime NEUTRAL; sector STRONG; net R/R 0.87.",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0.34, "setup_type": "Breakout + Retest", "sizing_adjustment_reason": "", "spread_source": "liquidity_fallback", "stock_score": 0.34, "stop_loss": 176.48, "target_1": 187.95, "target_1_atr_distance": 0.8716, "target_2": 201.34, "target_2_atr_distance": 3.9754, "target_feasibility_status": "OK", "theoretical_entry": 178.64, "ticker": "DLR", "timestamp": "2026-06-09T17:37:36", "warnings": []}</t>
        </is>
      </c>
    </row>
    <row r="406">
      <c r="A406" t="inlineStr">
        <is>
          <t>2026-06-09T17:37:36</t>
        </is>
      </c>
      <c r="B406" t="inlineStr">
        <is>
          <t>NOW</t>
        </is>
      </c>
      <c r="C406" t="inlineStr">
        <is>
          <t>Breakout + Retest</t>
        </is>
      </c>
      <c r="D406" t="n">
        <v>0.32</v>
      </c>
      <c r="E406" t="n">
        <v>105.78</v>
      </c>
      <c r="F406" t="n">
        <v>103.03</v>
      </c>
      <c r="G406" t="n">
        <v>110.83</v>
      </c>
      <c r="H406" t="n">
        <v>99.13</v>
      </c>
      <c r="I406" t="n">
        <v>112.15</v>
      </c>
      <c r="J406" t="n">
        <v>133.24</v>
      </c>
      <c r="K406" t="n">
        <v>2.07</v>
      </c>
      <c r="L406" t="inlineStr">
        <is>
          <t>Price (105.79) retesting broken resistance (110.83) as support. Breakout on 2026-05-29 with 2.4× avg volume. Volume confirmed breakout. Entry at 105.79, stop at 99.13.</t>
        </is>
      </c>
      <c r="M406" t="inlineStr">
        <is>
          <t>WATCH</t>
        </is>
      </c>
      <c r="N406" t="inlineStr">
        <is>
          <t>WATCH: Neutral market requires stronger setup score (0.32 &lt; 0.45).</t>
        </is>
      </c>
      <c r="O406" t="inlineStr">
        <is>
          <t>NOW
Breakout + Retest
0.32
score
Price
105.78
R/R
2.07x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(105.79) retesting broken resistance (110.83) as support. Breakout on 2026-05-29 with 2.4× avg volume. Volume confirmed breakout. Entry at 105.79, stop at 99.13.
Fib 61.8
95.14
Fib Zone
93.19 - 97.09
Swing Low
85.44
Swing High
110.83
Save setup
Click chart to open full size</t>
        </is>
      </c>
      <c r="P406" t="inlineStr">
        <is>
          <t>agent_results/charts/market_lens_agent_20260609_173202_now.png</t>
        </is>
      </c>
      <c r="Q406" t="inlineStr">
        <is>
          <t>Smart Universe: broad liquid US universe, diversified by sector | Sector: Technology - Strong (73/100); XLK sector regime is strong: 27.1% 3m return, 18.5% vs SPY | Setup: Breakout + Retest; score 0.32; R/R 2.07x; price 105.78 | Market: NEUTRAL; Sector regime: STRONG; Net R/R: 1.89; Factors: High Beta Growth, Technology | Agent action: WATCH - WATCH: Neutral market requires stronger setup score (0.32 &lt; 0.45).</t>
        </is>
      </c>
      <c r="R406" t="inlineStr">
        <is>
          <t>{"adjusted_cash_out": 5923.68, "adjusted_position_size": 56, "adjusted_risk_amount": 372.4, "ask": 0.0, "bid": 0.0, "buy_zone_high": 110.83, "buy_zone_low": 103.03, "cash_available": 93936.04, "company_name": "ServiceNow, Inc.", "correlation_warning": false, "days_to_earnings": 31, "earnings_blackout": false, "earnings_date": "2026-07-22T00:00:00", "estimated_fees": 0.0, "estimated_slippage": 0.4136, "estimated_spread": 0.0317, "executable_entry": 105.78, "execution_liquidity_bucket": "large_liquid", "factor_exposure_after": {"High Beta Growth": 5923.68, "Industrials": 5789.34, "Technology": 5923.68}, "factor_exposure_before": {"Industrials": 5789.34}, "factor_exposure_cap": 7000.0, "factor_exposure_limit_exceeded": false, "factor_tags": ["High Beta Growth", "Technology"], "final_action": "WATCH", "gross_reward_1_per_share": 6.37, "gross_reward_2_per_share": 27.46, "gross_risk_per_share": 6.65, "gross_rr": 2.0679, "gross_rr_1": 0.9579, "gross_rr_2": 4.1293, "gross_rr_decision": 2.0679, "highest_correlation_ticker": "HON", "highest_correlation_value": 0.0554, "initial_action": "BUY_SIMULATED", "market_cap": 109256772037.84,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106.0027, "net_reward_1_per_share": 6.0281, "net_reward_2_per_share": 27.1181, "net_risk_per_share": 7.0953, "net_rr": 1.8899, "net_rr_1": 0.8496, "net_rr_2": 3.822, "net_stop_assumption": 98.9073, "net_target_1_assumption": 112.0307, "net_target_2_assumption": 133.1207, "normalized_atr_score": 83.06, "normalized_liquidity_score": 100, "normalized_momentum_score": 48.39, "normalized_quality_score": 72.54, "original_cash_out": 9943.32, "original_position_size": 94, "original_risk_amount": 625.1, "portfolio_exposure_after": 5789.34, "portfolio_exposure_before": 5789.34, "position_size": 0, "position_size_adjusted": true, "position_sizing_explanation": "Base position sizing produced a candidate trade, but the risk transparency layer blocked the new buy. Candidate size: 56 shares, cash 5923.68, risk 372.40.", "previous_resistance": 139.2, "price": 105.78, "prior_high_20": 139.2, "prior_high_63": 139.2, "reason": "WATCH: Neutral market requires stronger setup score (0.32 &lt; 0.45).", "risk_amount": 0.0, "scan_source": "Smart Universe: broad liquid US universe filtered and diversified by the Market Lens UI.", "sector": "Technology", "sector_etf": "XLK", "sector_exposure_after": 5923.68, "sector_exposure_before": 0.0, "sector_exposure_cap": 6000.0, "sector_exposure_limit_exceeded": false, "sector_regime": "STRONG", "sector_score": 73.11, "setup_score": 0.32, "setup_type": "Breakout + Retest", "sizing_adjustment_reason": "Position size reduced by Technology sector exposure cap (94 -&gt; 56 shares).", "spread_source": "liquidity_fallback", "stock_score": 0.32, "stop_loss": 99.13, "target_1": 112.15, "target_1_atr_distance": 0.8167, "target_2": 133.24, "target_2_atr_distance": 3.5205, "target_feasibility_status": "OK", "theoretical_entry": 103.03, "ticker": "NOW", "timestamp": "2026-06-09T17:37:36", "warnings": ["Position size reduced by Technology sector exposure cap (94 -&gt; 56 shares).", "Gross R/R is valid, but Net R/R 1.89 failed minimum 2.20 after slippage/spread adjustment."]}</t>
        </is>
      </c>
    </row>
    <row r="407">
      <c r="A407" t="inlineStr">
        <is>
          <t>2026-06-09T17:37:36</t>
        </is>
      </c>
      <c r="B407" t="inlineStr">
        <is>
          <t>PFE</t>
        </is>
      </c>
      <c r="C407" t="inlineStr">
        <is>
          <t>Fib 61.8 Confluence Buy Zone</t>
        </is>
      </c>
      <c r="D407" t="n">
        <v>0.29</v>
      </c>
      <c r="E407" t="n">
        <v>25.79</v>
      </c>
      <c r="F407" t="n">
        <v>25.73</v>
      </c>
      <c r="G407" t="n">
        <v>25.98</v>
      </c>
      <c r="H407" t="n">
        <v>25.37</v>
      </c>
      <c r="I407" t="n">
        <v>26.17</v>
      </c>
      <c r="J407" t="n">
        <v>27.57</v>
      </c>
      <c r="K407" t="n">
        <v>2.08</v>
      </c>
      <c r="L407" t="inlineStr">
        <is>
          <t>Price at 61.8% fib retracement (25.86) with confluence at VWAP. Planned entry at zone low 25.73; executable entry 25.78, stop below fib 78.6% at 25.37. Structural confluence: swing low at 25.19 aligns with VAL (25.31).</t>
        </is>
      </c>
      <c r="M407" t="inlineStr">
        <is>
          <t>WATCH</t>
        </is>
      </c>
      <c r="N407" t="inlineStr">
        <is>
          <t>WATCH: Neutral market requires stronger setup score (0.29 &lt; 0.45).</t>
        </is>
      </c>
      <c r="O407" t="inlineStr">
        <is>
          <t>PFE
Fib 61.8 Confluence Buy Zone
0.29
score
Price
25.79
R/R
2.08x
Grade
C
Quality
55%
Buy Zone
25.73 - 25.98
Stop
25.37
Targets
26.17 / 27.57
Watch only; needs confirmation
Mixed
Relative Strength
In line
50%
Trend Quality
Messy
18%
Liquidity
Institutional liquidity
100%
Volume
Neutral
65%
Trigger
Break above prior-day high at 26.22 after holding buy zone.
Invalidation
Exit if price closes below 25.37 or setup support fails.
Trend quality is not clean.
Market regime: Mixed.
Relative strength: In line.
Price at 61.8% fib retracement (25.86) with confluence at VWAP. Planned entry at zone low 25.73; executable entry 25.78, stop below fib 78.6% at 25.37. Structural confluence: swing low at 25.19 aligns with VAL (25.31).
Fib 61.8
25.86
Fib Zone
25.73 - 25.98
Swing Low
24.85
Swing High
27.49
Save setup
Click chart to open full size</t>
        </is>
      </c>
      <c r="P407" t="inlineStr">
        <is>
          <t>agent_results/charts/market_lens_agent_20260609_173202_pfe.png</t>
        </is>
      </c>
      <c r="Q407" t="inlineStr">
        <is>
          <t>Smart Universe: broad liquid US universe, diversified by sector | Sector: Healthcare - Strong (69/100); XLV sector regime is strong: 1.4% 3m return, -7.2% vs SPY | Setup: Fib 61.8 Confluence Buy Zone; score 0.29; R/R 2.08x; price 25.79 | Market: NEUTRAL; Sector regime: STRONG; Net R/R: 1.80; Factors: Defensive, Healthcare | Agent action: WATCH - WATCH: Neutral market requires stronger setup score (0.29 &lt; 0.45).</t>
        </is>
      </c>
      <c r="R407"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5789.34}, "factor_exposure_before": {"Industrials": 5789.34},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0.3144, "initial_action": "BUY_SIMULATED", "market_cap": 146988670336.51,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61.09, "normalized_momentum_score": 37.17, "normalized_quality_score": 60.05, "original_cash_out": 9980.73, "original_position_size": 387, "original_risk_amount": 162.54, "portfolio_exposure_after": 5789.34, "portfolio_exposure_before": 5789.34,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(0.29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68.88, "setup_score": 0.29, "setup_type": "Fib 61.8 Confluence Buy Zone", "sizing_adjustment_reason": "Position size reduced by Healthcare sector exposure cap (387 -&gt; 232 shares).", "spread_source": "liquidity_fallback", "stock_score": 0.29, "stop_loss": 25.37, "target_1": 26.17, "target_1_atr_distance": 0.7792, "target_2": 27.57, "target_2_atr_distance": 3.6498, "target_feasibility_status": "OK", "theoretical_entry": 25.73, "ticker": "PFE", "timestamp": "2026-06-09T17:37:36", "warnings": ["Position size reduced by Healthcare sector exposure cap (387 -&gt; 232 shares).", "Gross R/R is valid, but Net R/R 1.80 failed minimum 2.20 after slippage/spread adjustment."]}</t>
        </is>
      </c>
    </row>
    <row r="408">
      <c r="A408" t="inlineStr">
        <is>
          <t>2026-06-09T17:37:36</t>
        </is>
      </c>
      <c r="B408" t="inlineStr">
        <is>
          <t>GILD</t>
        </is>
      </c>
      <c r="C408" t="inlineStr">
        <is>
          <t>Swing Low + Volume Support Buy Zone</t>
        </is>
      </c>
      <c r="D408" t="n">
        <v>0.29</v>
      </c>
      <c r="E408" t="n">
        <v>125.58</v>
      </c>
      <c r="F408" t="n">
        <v>127.31</v>
      </c>
      <c r="G408" t="n">
        <v>130.06</v>
      </c>
      <c r="H408" t="n">
        <v>123.18</v>
      </c>
      <c r="I408" t="n">
        <v>133.5</v>
      </c>
      <c r="J408" t="n">
        <v>140.73</v>
      </c>
      <c r="K408" t="n">
        <v>1.49</v>
      </c>
      <c r="L408" t="inlineStr">
        <is>
          <t>Price is pulling into a recent swing-low support (128.34) that overlaps with a high-volume area (POC at 129.12), creating structural + volume confluence. Liquidity sweep below swing low detected — wick and reclaim. Stop below 123.18.</t>
        </is>
      </c>
      <c r="M408" t="inlineStr">
        <is>
          <t>WATCH</t>
        </is>
      </c>
      <c r="N408" t="inlineStr">
        <is>
          <t>WATCH: Technical setup detected, but weighted risk/reward 1.49 is below minimum 2.00. Market regime NEUTRAL; sector STRONG; net R/R 1.97.</t>
        </is>
      </c>
      <c r="O408" t="inlineStr">
        <is>
          <t>GILD
Swing Low + Volume Support Buy Zone
0.29
score
Price
125.58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08" t="inlineStr">
        <is>
          <t>agent_results/charts/market_lens_agent_20260609_173202_gild.png</t>
        </is>
      </c>
      <c r="Q408" t="inlineStr">
        <is>
          <t>Smart Universe: broad liquid US universe, diversified by sector | Sector: Healthcare - Strong (69/100); XLV sector regime is strong: 1.4% 3m return, -7.2% vs SPY | Setup: Swing Low + Volume Support Buy Zone; score 0.29; R/R 1.49x; price 125.58 | Market: NEUTRAL; Sector regime: STRONG; Net R/R: 1.97; Factors: Defensive, Healthcare | Agent action: WATCH - WATCH: Technical setup detected, but weighted risk/reward 1.49 is below minimum 2.00. Market regime NEUTRAL; sector STRONG; net R/R 1.97.</t>
        </is>
      </c>
      <c r="R4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5789.34}, "factor_exposure_before": {"Industrials": 5789.34},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0.3968, "initial_action": "WATCH", "market_cap": 156102584425.89,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65.66, "normalized_momentum_score": 0, "normalized_quality_score": 44.7,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137.5, "price": 125.58,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0.29, "setup_type": "Swing Low + Volume Support Buy Zone", "sizing_adjustment_reason": "", "spread_source": "liquidity_fallback", "stock_score": 0.29, "stop_loss": 123.18, "target_1": 133.5, "target_1_atr_distance": 2.3004, "target_2": 140.73, "target_2_atr_distance": 4.4004, "target_feasibility_status": "OK", "theoretical_entry": 127.31, "ticker": "GILD", "timestamp": "2026-06-09T17:37:36", "warnings": []}</t>
        </is>
      </c>
    </row>
    <row r="409">
      <c r="A409" t="inlineStr">
        <is>
          <t>2026-06-09T17:37:36</t>
        </is>
      </c>
      <c r="B409" t="inlineStr">
        <is>
          <t>UPS</t>
        </is>
      </c>
      <c r="C409" t="inlineStr">
        <is>
          <t>No Trade</t>
        </is>
      </c>
      <c r="D409" t="n">
        <v>0</v>
      </c>
      <c r="E409" t="n">
        <v>107.04</v>
      </c>
      <c r="H409" t="n">
        <v>0</v>
      </c>
      <c r="K409" t="n">
        <v>0</v>
      </c>
      <c r="L409" t="inlineStr">
        <is>
          <t>No clean technical setup detected. Price in middle of value area or poor risk/reward.</t>
        </is>
      </c>
      <c r="M409" t="inlineStr">
        <is>
          <t>SKIP</t>
        </is>
      </c>
      <c r="N409" t="inlineStr">
        <is>
          <t>SKIP: No Trade result. Market regime NEUTRAL; sector NEUTRAL; net R/R 0.00.</t>
        </is>
      </c>
      <c r="O409" t="inlineStr">
        <is>
          <t>UPS
No Trade
0.00
score
Price
107.04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98.43
Fib Zone
97.77 - 99.09
Swing Low
92.50
Swing High
108.02
Click chart to open full size</t>
        </is>
      </c>
      <c r="P409" t="inlineStr">
        <is>
          <t>agent_results/charts/market_lens_agent_20260609_173202_ups.png</t>
        </is>
      </c>
      <c r="Q409" t="inlineStr">
        <is>
          <t>Smart Universe: broad liquid US universe, diversified by sector | Sector: Industrials - Neutral (68/100); XLI sector regime is neutral: 3.0% 3m return, -5.6% vs SPY | Setup: No Trade; score 0.00; R/R 0.00x; price 107.04 | Market: NEUTRAL; Sector regime: NEUTRAL; Net R/R: 0.00; Factors: Industrials | Agent action: SKIP - SKIP: No Trade result. Market regime NEUTRAL; sector NEUTRAL; net R/R 0.00.</t>
        </is>
      </c>
      <c r="R409" t="inlineStr">
        <is>
          <t>{"adjusted_cash_out": 0.0, "adjusted_position_size": 0, "adjusted_risk_amount": 0.0, "ask": 0.0, "bid": 0.0, "buy_zone_high": null, "buy_zone_low": null, "cash_available": 93936.04, "company_name": "United Parcel Service, Inc.", "correlation_warning": false, "days_to_earnings": 35, "earnings_blackout": false, "earnings_date": "2026-07-28T00:00:00", "estimated_fees": 0.0, "estimated_slippage": 0.1499, "estimated_spread": 0.0321, "executable_entry": 107.04,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107.04, "gross_rr": 0.0, "gross_rr_1": 0.0, "gross_rr_2": 0.0, "gross_rr_decision": 0.0, "highest_correlation_ticker": "HON", "highest_correlation_value": 0.2787, "initial_action": "SKIP", "market_cap": 91226921299.66,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107.131, "net_reward_1_per_share": 0.0, "net_reward_2_per_share": 0.0, "net_risk_per_share": 107.222, "net_rr": 0.0, "net_rr_1": 0.0, "net_rr_2": 0.0, "net_stop_assumption": -0.091, "net_target_1_assumption": -0.0535, "net_target_2_assumption": -0.0535, "normalized_atr_score": 100.0, "normalized_liquidity_score": 50.93, "normalized_momentum_score": 91.07, "normalized_quality_score": 81.26,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107.04,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107.04, "ticker": "UPS", "timestamp": "2026-06-09T17:37:36", "warnings": ["Target ATR feasibility unavailable."]}</t>
        </is>
      </c>
    </row>
    <row r="410">
      <c r="A410" t="inlineStr">
        <is>
          <t>2026-06-09T17:37:36</t>
        </is>
      </c>
      <c r="B410" t="inlineStr">
        <is>
          <t>ETN</t>
        </is>
      </c>
      <c r="C410" t="inlineStr">
        <is>
          <t>No Trade</t>
        </is>
      </c>
      <c r="D410" t="n">
        <v>0</v>
      </c>
      <c r="E410" t="n">
        <v>394.19</v>
      </c>
      <c r="H410" t="n">
        <v>0</v>
      </c>
      <c r="K410" t="n">
        <v>0</v>
      </c>
      <c r="L410" t="inlineStr">
        <is>
          <t>No clean technical setup detected. Price in middle of value area or poor risk/reward.</t>
        </is>
      </c>
      <c r="M410" t="inlineStr">
        <is>
          <t>SKIP</t>
        </is>
      </c>
      <c r="N410" t="inlineStr">
        <is>
          <t>SKIP: No Trade result. Market regime NEUTRAL; sector NEUTRAL; net R/R 0.00.</t>
        </is>
      </c>
      <c r="O410" t="inlineStr">
        <is>
          <t>ETN
No Trade
0.00
score
Price
394.19
R/R
0.00x
Grade
No Trade
Quality
0%
Buy Zone
-
Stop
0.00
Targets
-
Skip
Mixed
Relative Strength
Leadership
100%
Trend Quality
Messy
18%
Liquidity
Institutional liquidity
100%
Volume
Distribution risk
45%
No actionable setup detected.
No clean technical setup detected. Price in middle of value area or poor risk/reward.
Fib 61.8
376.65
Fib Zone
372.79 - 380.51
Swing Low
341.06
Swing High
434.23
Click chart to open full size</t>
        </is>
      </c>
      <c r="P410" t="inlineStr">
        <is>
          <t>agent_results/charts/market_lens_agent_20260609_173202_etn.png</t>
        </is>
      </c>
      <c r="Q410" t="inlineStr">
        <is>
          <t>Smart Universe: broad liquid US universe, diversified by sector | Sector: Industrials - Neutral (68/100); XLI sector regime is neutral: 3.0% 3m return, -5.6% vs SPY | Setup: No Trade; score 0.00; R/R 0.00x; price 394.19 | Market: NEUTRAL; Sector regime: NEUTRAL; Net R/R: 0.00; Factors: Industrials | Agent action: SKIP - SKIP: No Trade result. Market regime NEUTRAL; sector NEUTRAL; net R/R 0.00.</t>
        </is>
      </c>
      <c r="R410" t="inlineStr">
        <is>
          <t>{"adjusted_cash_out": 0.0, "adjusted_position_size": 0, "adjusted_risk_amount": 0.0, "ask": 0.0, "bid": 0.0, "buy_zone_high": null, "buy_zone_low": null, "cash_available": 93936.04, "company_name": "Eaton Corporation plc", "correlation_warning": false, "days_to_earnings": 40, "earnings_blackout": false, "earnings_date": "2026-08-04T00:00:00", "estimated_fees": 0.0, "estimated_slippage": 0.5519, "estimated_spread": 0.1183, "executable_entry": 394.19,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394.19, "gross_rr": 0.0, "gross_rr_1": 0.0, "gross_rr_2": 0.0, "gross_rr_decision": 0.0, "highest_correlation_ticker": "HON", "highest_correlation_value": 0.3331, "initial_action": "SKIP", "market_cap": 153660991567.99,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394.5251, "net_reward_1_per_share": 0.0, "net_reward_2_per_share": 0.0, "net_risk_per_share": 394.8601, "net_rr": 0.0, "net_rr_1": 0.0, "net_rr_2": 0.0, "net_stop_assumption": -0.3351, "net_target_1_assumption": -0.1971, "net_target_2_assumption": -0.1971, "normalized_atr_score": 100.0, "normalized_liquidity_score": 65.64, "normalized_momentum_score": 78.02, "normalized_quality_score": 79.8,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394.19,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394.19, "ticker": "ETN", "timestamp": "2026-06-09T17:37:36", "warnings": ["Target ATR feasibility unavailable."]}</t>
        </is>
      </c>
    </row>
    <row r="411">
      <c r="A411" t="inlineStr">
        <is>
          <t>2026-06-09T17:37:36</t>
        </is>
      </c>
      <c r="B411" t="inlineStr">
        <is>
          <t>GD</t>
        </is>
      </c>
      <c r="C411" t="inlineStr">
        <is>
          <t>No Trade</t>
        </is>
      </c>
      <c r="D411" t="n">
        <v>0</v>
      </c>
      <c r="E411" t="n">
        <v>344.14</v>
      </c>
      <c r="H411" t="n">
        <v>0</v>
      </c>
      <c r="K411" t="n">
        <v>0</v>
      </c>
      <c r="L411" t="inlineStr">
        <is>
          <t>No clean technical setup detected. Price in middle of value area or poor risk/reward.</t>
        </is>
      </c>
      <c r="M411" t="inlineStr">
        <is>
          <t>SKIP</t>
        </is>
      </c>
      <c r="N411" t="inlineStr">
        <is>
          <t>SKIP: No Trade result. Market regime NEUTRAL; sector NEUTRAL; net R/R 0.00.</t>
        </is>
      </c>
      <c r="O411" t="inlineStr">
        <is>
          <t>GD
No Trade
0.00
score
Price
344.14
R/R
0.00x
Grade
No Trade
Quality
0%
Buy Zone
-
Stop
0.00
Targets
-
Skip
Mixed
Relative Strength
In line
69%
Trend Quality
Constructive
76%
Liquidity
Institutional liquidity
100%
Volume
Neutral
65%
No actionable setup detected.
No clean technical setup detected. Price in middle of value area or poor risk/reward.
Fib 61.8
340.19
Fib Zone
338.57 - 341.82
Swing Low
333.29
Swing High
351.36
Click chart to open full size</t>
        </is>
      </c>
      <c r="P411" t="inlineStr">
        <is>
          <t>agent_results/charts/market_lens_agent_20260609_173202_gd.png</t>
        </is>
      </c>
      <c r="Q411" t="inlineStr">
        <is>
          <t>Smart Universe: broad liquid US universe, diversified by sector | Sector: Industrials - Neutral (68/100); XLI sector regime is neutral: 3.0% 3m return, -5.6% vs SPY | Setup: No Trade; score 0.00; R/R 0.00x; price 344.14 | Market: NEUTRAL; Sector regime: NEUTRAL; Net R/R: 0.00; Factors: Industrials | Agent action: SKIP - SKIP: No Trade result. Market regime NEUTRAL; sector NEUTRAL; net R/R 0.00.</t>
        </is>
      </c>
      <c r="R411" t="inlineStr">
        <is>
          <t>{"adjusted_cash_out": 0.0, "adjusted_position_size": 0, "adjusted_risk_amount": 0.0, "ask": 0.0, "bid": 0.0, "buy_zone_high": null, "buy_zone_low": null, "cash_available": 93936.04, "company_name": "General Dynamics Corporation", "correlation_warning": false, "days_to_earnings": 31, "earnings_blackout": false, "earnings_date": "2026-07-22T00:00:00", "estimated_fees": 0.0, "estimated_slippage": 1.0324, "estimated_spread": 0.2753, "executable_entry": 344.14, "execution_liquidity_bucket": "mid_liquid", "factor_exposure_after": {"Industrials": 5789.34}, "factor_exposure_before": {"Industrials": 5789.34}, "factor_exposure_cap": 7000.0, "factor_exposure_limit_exceeded": false, "factor_tags": ["Industrials"], "final_action": "SKIP", "gross_reward_1_per_share": 0.0, "gross_reward_2_per_share": 0.0, "gross_risk_per_share": 344.14, "gross_rr": 0.0, "gross_rr_1": 0.0, "gross_rr_2": 0.0, "gross_rr_decision": 0.0, "highest_correlation_ticker": "HON", "highest_correlation_value": 0.1877, "initial_action": "SKIP", "market_cap": 93063141572.77,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344.7939, "net_reward_1_per_share": 0.0, "net_reward_2_per_share": 0.0, "net_risk_per_share": 345.4477, "net_rr": 0.0, "net_rr_1": 0.0, "net_rr_2": 0.0, "net_stop_assumption": -0.6539, "net_target_1_assumption": -0.3958, "net_target_2_assumption": -0.3958, "normalized_atr_score": 100.0, "normalized_liquidity_score": 37.4, "normalized_momentum_score": 42.7, "normalized_quality_score": 55.44,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344.14, "ticker": "GD", "timestamp": "2026-06-09T17:37:36", "warnings": ["Target ATR feasibility unavailable."]}</t>
        </is>
      </c>
    </row>
    <row r="412">
      <c r="A412" t="inlineStr">
        <is>
          <t>2026-06-09T17:37:36</t>
        </is>
      </c>
      <c r="B412" t="inlineStr">
        <is>
          <t>ANET</t>
        </is>
      </c>
      <c r="C412" t="inlineStr">
        <is>
          <t>No Trade</t>
        </is>
      </c>
      <c r="D412" t="n">
        <v>0</v>
      </c>
      <c r="E412" t="n">
        <v>148.22</v>
      </c>
      <c r="H412" t="n">
        <v>0</v>
      </c>
      <c r="K412" t="n">
        <v>0</v>
      </c>
      <c r="L412" t="inlineStr">
        <is>
          <t>No clean technical setup detected. Price in middle of value area or poor risk/reward.</t>
        </is>
      </c>
      <c r="M412" t="inlineStr">
        <is>
          <t>SKIP</t>
        </is>
      </c>
      <c r="N412" t="inlineStr">
        <is>
          <t>SKIP: No Trade result. Market regime NEUTRAL; sector STRONG; net R/R 0.00.</t>
        </is>
      </c>
      <c r="O412" t="inlineStr">
        <is>
          <t>ANET
No Trade
0.00
score
Price
148.22
R/R
0.00x
Grade
No Trade
Quality
0%
Buy Zone
-
Stop
0.00
Targets
-
Skip
Mixed
Relative Strength
Leadership
100%
Trend Quality
Messy
28%
Liquidity
Institutional liquidity
100%
Volume
Confirmed
80%
No actionable setup detected.
No clean technical setup detected. Price in middle of value area or poor risk/reward.
Fib 61.8
140.01
Fib Zone
137.83 - 142.19
Swing Low
115.42
Swing High
179.80
Click chart to open full size</t>
        </is>
      </c>
      <c r="P412" t="inlineStr">
        <is>
          <t>agent_results/charts/market_lens_agent_20260609_173202_anet.png</t>
        </is>
      </c>
      <c r="Q412" t="inlineStr">
        <is>
          <t>Smart Universe: broad liquid US universe, diversified by sector | Sector: Technology - Strong (73/100); XLK sector regime is strong: 27.1% 3m return, 18.5% vs SPY | Setup: No Trade; score 0.00; R/R 0.00x; price 148.22 | Market: NEUTRAL; Sector regime: STRONG; Net R/R: 0.00; Factors: Technology | Agent action: SKIP - SKIP: No Trade result. Market regime NEUTRAL; sector STRONG; net R/R 0.00.</t>
        </is>
      </c>
      <c r="R412" t="inlineStr">
        <is>
          <t>{"adjusted_cash_out": 0.0, "adjusted_position_size": 0, "adjusted_risk_amount": 0.0, "ask": 0.0, "bid": 0.0, "buy_zone_high": null, "buy_zone_low": null, "cash_available": 93936.04, "company_name": "Arista Networks, Inc.", "correlation_warning": false, "days_to_earnings": 40, "earnings_blackout": false, "earnings_date": "2026-08-04T00:00:00", "estimated_fees": 0.0, "estimated_slippage": 0.2075, "estimated_spread": 0.0445, "executable_entry": 148.22, "execution_liquidity_bucket": "large_liquid", "factor_exposure_after": {"Industrials": 5789.34}, "factor_exposure_before": {"Industrials": 5789.34}, "factor_exposure_cap": 7000.0, "factor_exposure_limit_exceeded": false, "factor_tags": ["Technology"], "final_action": "SKIP", "gross_reward_1_per_share": 0.0, "gross_reward_2_per_share": 0.0, "gross_risk_per_share": 148.22, "gross_rr": 0.0, "gross_rr_1": 0.0, "gross_rr_2": 0.0, "gross_rr_decision": 0.0, "highest_correlation_ticker": "HON", "highest_correlation_value": 0.1342, "initial_action": "SKIP", "market_cap": 187490456126.65,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148.346, "net_reward_1_per_share": 0.0, "net_reward_2_per_share": 0.0, "net_risk_per_share": 148.472, "net_rr": 0.0, "net_rr_1": 0.0, "net_rr_2": 0.0, "net_stop_assumption": -0.126, "net_target_1_assumption": -0.0741, "net_target_2_assumption": -0.0741, "normalized_atr_score": 96.78, "normalized_liquidity_score": 78.8, "normalized_momentum_score": 89.33, "normalized_quality_score": 88.03,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148.22,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148.22, "ticker": "ANET", "timestamp": "2026-06-09T17:37:36", "warnings": ["Target ATR feasibility unavailable."]}</t>
        </is>
      </c>
    </row>
    <row r="413">
      <c r="A413" t="inlineStr">
        <is>
          <t>2026-06-09T17:37:36</t>
        </is>
      </c>
      <c r="B413" t="inlineStr">
        <is>
          <t>AMGN</t>
        </is>
      </c>
      <c r="C413" t="inlineStr">
        <is>
          <t>No Trade</t>
        </is>
      </c>
      <c r="D413" t="n">
        <v>0</v>
      </c>
      <c r="E413" t="n">
        <v>345.11</v>
      </c>
      <c r="H413" t="n">
        <v>0</v>
      </c>
      <c r="K413" t="n">
        <v>0</v>
      </c>
      <c r="L413" t="inlineStr">
        <is>
          <t>No clean technical setup detected. Price in middle of value area or poor risk/reward.</t>
        </is>
      </c>
      <c r="M413" t="inlineStr">
        <is>
          <t>SKIP</t>
        </is>
      </c>
      <c r="N413" t="inlineStr">
        <is>
          <t>SKIP: No Trade result. Market regime NEUTRAL; sector STRONG; net R/R 0.00.</t>
        </is>
      </c>
      <c r="O413" t="inlineStr">
        <is>
          <t>AMGN
No Trade
0.00
score
Price
345.11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327.93
Fib Zone
325.92 - 329.94
Swing Low
318.12
Swing High
343.80
Click chart to open full size</t>
        </is>
      </c>
      <c r="P413" t="inlineStr">
        <is>
          <t>agent_results/charts/market_lens_agent_20260609_173202_amgn.png</t>
        </is>
      </c>
      <c r="Q413" t="inlineStr">
        <is>
          <t>Smart Universe: broad liquid US universe, diversified by sector | Sector: Healthcare - Strong (69/100); XLV sector regime is strong: 1.4% 3m return, -7.2% vs SPY | Setup: No Trade; score 0.00; R/R 0.00x; price 345.11 | Market: NEUTRAL; Sector regime: STRONG; Net R/R: 0.00; Factors: Defensive, Healthcare | Agent action: SKIP - SKIP: No Trade result. Market regime NEUTRAL; sector STRONG; net R/R 0.00.</t>
        </is>
      </c>
      <c r="R413" t="inlineStr">
        <is>
          <t>{"adjusted_cash_out": 0.0, "adjusted_position_size": 0, "adjusted_risk_amount": 0.0, "ask": 0.0, "bid": 0.0, "buy_zone_high": null, "buy_zone_low": null, "cash_available": 93936.04, "company_name": "Amgen Inc.", "correlation_warning": false, "days_to_earnings": 40, "earnings_blackout": false, "earnings_date": "2026-08-04T00:00:00", "estimated_fees": 0.0, "estimated_slippage": 0.4832, "estimated_spread": 0.1035, "executable_entry": 345.11,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345.11, "gross_rr": 0.0, "gross_rr_1": 0.0, "gross_rr_2": 0.0, "gross_rr_decision": 0.0, "highest_correlation_ticker": "HON", "highest_correlation_value": 0.3053, "initial_action": "SKIP", "market_cap": 186479996903.07,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345.4033, "net_reward_1_per_share": 0.0, "net_reward_2_per_share": 0.0, "net_risk_per_share": 345.6967, "net_rr": 0.0, "net_rr_1": 0.0, "net_rr_2": 0.0, "net_stop_assumption": -0.2933, "net_target_1_assumption": -0.1726, "net_target_2_assumption": -0.1726, "normalized_atr_score": 100.0, "normalized_liquidity_score": 60.57, "normalized_momentum_score": 33.99, "normalized_quality_score": 58.47,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345.11,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345.11, "ticker": "AMGN", "timestamp": "2026-06-09T17:37:36", "warnings": ["Target ATR feasibility unavailable."]}</t>
        </is>
      </c>
    </row>
    <row r="414">
      <c r="A414" t="inlineStr">
        <is>
          <t>2026-06-09T17:37:36</t>
        </is>
      </c>
      <c r="B414" t="inlineStr">
        <is>
          <t>AXP</t>
        </is>
      </c>
      <c r="C414" t="inlineStr">
        <is>
          <t>No Trade</t>
        </is>
      </c>
      <c r="D414" t="n">
        <v>0</v>
      </c>
      <c r="E414" t="n">
        <v>317.21</v>
      </c>
      <c r="H414" t="n">
        <v>0</v>
      </c>
      <c r="K414" t="n">
        <v>0</v>
      </c>
      <c r="L414" t="inlineStr">
        <is>
          <t>No clean technical setup detected. Price in middle of value area or poor risk/reward.</t>
        </is>
      </c>
      <c r="M414" t="inlineStr">
        <is>
          <t>SKIP</t>
        </is>
      </c>
      <c r="N414" t="inlineStr">
        <is>
          <t>SKIP: No Trade result. Market regime NEUTRAL; sector STRONG; net R/R 0.00.</t>
        </is>
      </c>
      <c r="O414" t="inlineStr">
        <is>
          <t>AXP
No Trade
0.00
score
Price
317.21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309.23
Fib Zone
307.44 - 311.02
Swing Low
303.04
Swing High
319.24
Click chart to open full size</t>
        </is>
      </c>
      <c r="P414" t="inlineStr">
        <is>
          <t>agent_results/charts/market_lens_agent_20260609_173202_axp.png</t>
        </is>
      </c>
      <c r="Q414" t="inlineStr">
        <is>
          <t>Smart Universe: broad liquid US universe, diversified by sector | Sector: Financials - Strong (72/100); XLF sector regime is strong: 5.9% 3m return, -2.7% vs SPY | Setup: No Trade; score 0.00; R/R 0.00x; price 317.21 | Market: NEUTRAL; Sector regime: STRONG; Net R/R: 0.00; Factors: Financials | Agent action: SKIP - SKIP: No Trade result. Market regime NEUTRAL; sector STRONG; net R/R 0.00.</t>
        </is>
      </c>
      <c r="R414" t="inlineStr">
        <is>
          <t>{"adjusted_cash_out": 0.0, "adjusted_position_size": 0, "adjusted_risk_amount": 0.0, "ask": 0.0, "bid": 0.0, "buy_zone_high": null, "buy_zone_low": null, "cash_available": 93936.04, "company_name": "American Express Company", "correlation_warning": false, "days_to_earnings": 33, "earnings_blackout": false, "earnings_date": "2026-07-24T00:00:00", "estimated_fees": 0.0, "estimated_slippage": 0.4441, "estimated_spread": 0.0952, "executable_entry": 317.21,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317.21, "gross_rr": 0.0, "gross_rr_1": 0.0, "gross_rr_2": 0.0, "gross_rr_decision": 0.0, "highest_correlation_ticker": "HON", "highest_correlation_value": 0.2281, "initial_action": "SKIP", "market_cap": 216795588230.65,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317.4796, "net_reward_1_per_share": 0.0, "net_reward_2_per_share": 0.0, "net_risk_per_share": 317.7493, "net_rr": 0.0, "net_rr_1": 0.0, "net_rr_2": 0.0, "net_stop_assumption": -0.2696, "net_target_1_assumption": -0.1586, "net_target_2_assumption": -0.1586, "normalized_atr_score": 100.0, "normalized_liquidity_score": 33.15, "normalized_momentum_score": 67.77, "normalized_quality_score": 65.44,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317.21,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317.21, "ticker": "AXP", "timestamp": "2026-06-09T17:37:36", "warnings": ["Target ATR feasibility unavailable."]}</t>
        </is>
      </c>
    </row>
    <row r="415">
      <c r="A415" t="inlineStr">
        <is>
          <t>2026-06-09T17:37:36</t>
        </is>
      </c>
      <c r="B415" t="inlineStr">
        <is>
          <t>AVGO</t>
        </is>
      </c>
      <c r="C415" t="inlineStr">
        <is>
          <t>No Trade</t>
        </is>
      </c>
      <c r="D415" t="n">
        <v>0</v>
      </c>
      <c r="E415" t="n">
        <v>381.8</v>
      </c>
      <c r="H415" t="n">
        <v>0</v>
      </c>
      <c r="K415" t="n">
        <v>0</v>
      </c>
      <c r="L415" t="inlineStr">
        <is>
          <t>No clean technical setup detected. Price in middle of value area or poor risk/reward.</t>
        </is>
      </c>
      <c r="M415" t="inlineStr">
        <is>
          <t>SKIP</t>
        </is>
      </c>
      <c r="N415" t="inlineStr">
        <is>
          <t>SKIP: No Trade result. Market regime NEUTRAL; sector STRONG; net R/R 0.00.</t>
        </is>
      </c>
      <c r="O415" t="inlineStr">
        <is>
          <t>AVGO
No Trade
0.00
score
Price
381.80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343.19
Fib Zone
337.36 - 349.02
Swing Low
289.96
Swing High
429.31
Click chart to open full size</t>
        </is>
      </c>
      <c r="P415" t="inlineStr">
        <is>
          <t>agent_results/charts/market_lens_agent_20260609_173202_avgo.png</t>
        </is>
      </c>
      <c r="Q415" t="inlineStr">
        <is>
          <t>Smart Universe: broad liquid US universe, diversified by sector | Sector: Technology - Strong (73/100); XLK sector regime is strong: 27.1% 3m return, 18.5% vs SPY | Setup: No Trade; score 0.00; R/R 0.00x; price 381.80 | Market: NEUTRAL; Sector regime: STRONG; Net R/R: 0.00; Factors: AI / Semiconductors, Mega Cap Tech, Rates-sensitive Growth, Technology | Agent action: SKIP - SKIP: No Trade result. Market regime NEUTRAL; sector STRONG; net R/R 0.00.</t>
        </is>
      </c>
      <c r="R415" t="inlineStr">
        <is>
          <t>{"adjusted_cash_out": 0.0, "adjusted_position_size": 0, "adjusted_risk_amount": 0.0, "ask": 0.0, "bid": 0.0, "buy_zone_high": null, "buy_zone_low": null, "cash_available": 93936.04, "company_name": "Broadcom Inc.", "correlation_warning": false, "days_to_earnings": 62, "earnings_blackout": false, "earnings_date": "2026-09-03T00:00:00", "estimated_fees": 0.0, "estimated_slippage": 0.6147, "estimated_spread": 0.1145, "executable_entry": 381.8, "execution_liquidity_bucket": "large_liquid", "factor_exposure_after": {"Industrials": 5789.34}, "factor_exposure_before": {"Industrials": 5789.34}, "factor_exposure_cap": 7000.0, "factor_exposure_limit_exceeded": false, "factor_tags": ["AI / Semiconductors", "Mega Cap Tech", "Rates-sensitive Growth", "Technology"], "final_action": "SKIP", "gross_reward_1_per_share": 0.0, "gross_reward_2_per_share": 0.0, "gross_risk_per_share": 381.8, "gross_rr": 0.0, "gross_rr_1": 0.0, "gross_rr_2": 0.0, "gross_rr_decision": 0.0, "highest_correlation_ticker": "HON", "highest_correlation_value": 0.1785, "initial_action": "SKIP", "market_cap": 1815792641482.83,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382.1646, "net_reward_1_per_share": 0.0, "net_reward_2_per_share": 0.0, "net_risk_per_share": 382.5292, "net_rr": 0.0, "net_rr_1": 0.0, "net_rr_2": 0.0, "net_stop_assumption": -0.3646, "net_target_1_assumption": -0.2109, "net_target_2_assumption": -0.2109, "normalized_atr_score": 86.67, "normalized_liquidity_score": 100, "normalized_momentum_score": 78.28, "normalized_quality_score": 86.89,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381.8,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381.8, "ticker": "AVGO", "timestamp": "2026-06-09T17:37:36", "warnings": ["Target ATR feasibility unavailable."]}</t>
        </is>
      </c>
    </row>
    <row r="416">
      <c r="A416" t="inlineStr">
        <is>
          <t>2026-06-09T17:37:36</t>
        </is>
      </c>
      <c r="B416" t="inlineStr">
        <is>
          <t>MDT</t>
        </is>
      </c>
      <c r="C416" t="inlineStr">
        <is>
          <t>No Trade</t>
        </is>
      </c>
      <c r="D416" t="n">
        <v>0</v>
      </c>
      <c r="E416" t="n">
        <v>82.08</v>
      </c>
      <c r="H416" t="n">
        <v>0</v>
      </c>
      <c r="K416" t="n">
        <v>0</v>
      </c>
      <c r="L416" t="inlineStr">
        <is>
          <t>No clean technical setup detected. Price in middle of value area or poor risk/reward.</t>
        </is>
      </c>
      <c r="M416" t="inlineStr">
        <is>
          <t>SKIP</t>
        </is>
      </c>
      <c r="N416" t="inlineStr">
        <is>
          <t>SKIP: No Trade result. Market regime NEUTRAL; sector STRONG; net R/R 0.00.</t>
        </is>
      </c>
      <c r="O416" t="inlineStr">
        <is>
          <t>MDT
No Trade
0.00
score
Price
82.08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76.25
Fib Zone
75.76 - 76.74
Swing Low
74.40
Swing High
79.25
Click chart to open full size</t>
        </is>
      </c>
      <c r="P416" t="inlineStr">
        <is>
          <t>agent_results/charts/market_lens_agent_20260609_173202_mdt.png</t>
        </is>
      </c>
      <c r="Q416" t="inlineStr">
        <is>
          <t>Smart Universe: broad liquid US universe, diversified by sector | Sector: Healthcare - Strong (69/100); XLV sector regime is strong: 1.4% 3m return, -7.2% vs SPY | Setup: No Trade; score 0.00; R/R 0.00x; price 82.08 | Market: NEUTRAL; Sector regime: STRONG; Net R/R: 0.00; Factors: Defensive, Healthcare | Agent action: SKIP - SKIP: No Trade result. Market regime NEUTRAL; sector STRONG; net R/R 0.00.</t>
        </is>
      </c>
      <c r="R416" t="inlineStr">
        <is>
          <t>{"adjusted_cash_out": 0.0, "adjusted_position_size": 0, "adjusted_risk_amount": 0.0, "ask": 0.0, "bid": 0.0, "buy_zone_high": null, "buy_zone_low": null, "cash_available": 93936.04, "company_name": "Medtronic plc", "correlation_warning": false, "days_to_earnings": 50, "earnings_blackout": false, "earnings_date": "2026-08-18T00:00:00", "estimated_fees": 0.0, "estimated_slippage": 0.1149, "estimated_spread": 0.0246, "executable_entry": 82.08,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82.08, "gross_rr": 0.0, "gross_rr_1": 0.0, "gross_rr_2": 0.0, "gross_rr_decision": 0.0, "highest_correlation_ticker": "HON", "highest_correlation_value": 0.032, "initial_action": "SKIP", "market_cap": 105439052668.5,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82.1498, "net_reward_1_per_share": 0.0, "net_reward_2_per_share": 0.0, "net_risk_per_share": 82.2195, "net_rr": 0.0, "net_rr_1": 0.0, "net_rr_2": 0.0, "net_stop_assumption": -0.0698, "net_target_1_assumption": -0.041, "net_target_2_assumption": -0.041, "normalized_atr_score": 100.0, "normalized_liquidity_score": 64.04, "normalized_momentum_score": 44.07, "normalized_quality_score": 64.04,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82.08,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82.08, "ticker": "MDT", "timestamp": "2026-06-09T17:37:36", "warnings": ["Target ATR feasibility unavailable."]}</t>
        </is>
      </c>
    </row>
    <row r="417">
      <c r="A417" t="inlineStr">
        <is>
          <t>2026-06-09T17:37:36</t>
        </is>
      </c>
      <c r="B417" t="inlineStr">
        <is>
          <t>BLK</t>
        </is>
      </c>
      <c r="C417" t="inlineStr">
        <is>
          <t>No Trade</t>
        </is>
      </c>
      <c r="D417" t="n">
        <v>0</v>
      </c>
      <c r="E417" t="n">
        <v>995.78</v>
      </c>
      <c r="H417" t="n">
        <v>0</v>
      </c>
      <c r="K417" t="n">
        <v>0</v>
      </c>
      <c r="L417" t="inlineStr">
        <is>
          <t>No clean technical setup detected. Price in middle of value area or poor risk/reward.</t>
        </is>
      </c>
      <c r="M417" t="inlineStr">
        <is>
          <t>SKIP</t>
        </is>
      </c>
      <c r="N417" t="inlineStr">
        <is>
          <t>SKIP: No Trade result. Market regime NEUTRAL; sector STRONG; net R/R 0.00.</t>
        </is>
      </c>
      <c r="O417" t="inlineStr">
        <is>
          <t>BLK
No Trade
0.00
score
Price
995.78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1045.24
Fib Zone
1039.05 - 1051.43
Swing Low
1024.42
Swing High
1078.92
Click chart to open full size</t>
        </is>
      </c>
      <c r="P417" t="inlineStr">
        <is>
          <t>agent_results/charts/market_lens_agent_20260609_173202_blk.png</t>
        </is>
      </c>
      <c r="Q417" t="inlineStr">
        <is>
          <t>Smart Universe: broad liquid US universe, diversified by sector | Sector: Financials - Strong (72/100); XLF sector regime is strong: 5.9% 3m return, -2.7% vs SPY | Setup: No Trade; score 0.00; R/R 0.00x; price 995.78 | Market: NEUTRAL; Sector regime: STRONG; Net R/R: 0.00; Factors: Financials | Agent action: SKIP - SKIP: No Trade result. Market regime NEUTRAL; sector STRONG; net R/R 0.00.</t>
        </is>
      </c>
      <c r="R417" t="inlineStr">
        <is>
          <t>{"adjusted_cash_out": 0.0, "adjusted_position_size": 0, "adjusted_risk_amount": 0.0, "ask": 0.0, "bid": 0.0, "buy_zone_high": null, "buy_zone_low": null, "cash_available": 93936.04, "company_name": "BlackRock, Inc.", "correlation_warning": false, "days_to_earnings": 26, "earnings_blackout": false, "earnings_date": "2026-07-15T00:00:00", "estimated_fees": 0.0, "estimated_slippage": 1.3941, "estimated_spread": 0.2987, "executable_entry": 995.78,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995.78, "gross_rr": 0.0, "gross_rr_1": 0.0, "gross_rr_2": 0.0, "gross_rr_decision": 0.0, "highest_correlation_ticker": "HON", "highest_correlation_value": 0.3697, "initial_action": "SKIP", "market_cap": 154917315073.34,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996.6264, "net_reward_1_per_share": 0.0, "net_reward_2_per_share": 0.0, "net_risk_per_share": 997.4728, "net_rr": 0.0, "net_rr_1": 0.0, "net_rr_2": 0.0, "net_stop_assumption": -0.8464, "net_target_1_assumption": -0.4979, "net_target_2_assumption": -0.4979, "normalized_atr_score": 100.0, "normalized_liquidity_score": 56.57, "normalized_momentum_score": 56.13, "normalized_quality_score": 67.23,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995.78,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995.78, "ticker": "BLK", "timestamp": "2026-06-09T17:37:36", "warnings": ["Target ATR feasibility unavailable."]}</t>
        </is>
      </c>
    </row>
    <row r="418">
      <c r="A418" t="inlineStr">
        <is>
          <t>2026-06-09T17:37:36</t>
        </is>
      </c>
      <c r="B418" t="inlineStr">
        <is>
          <t>MSFT</t>
        </is>
      </c>
      <c r="C418" t="inlineStr">
        <is>
          <t>No Trade</t>
        </is>
      </c>
      <c r="D418" t="n">
        <v>0</v>
      </c>
      <c r="E418" t="n">
        <v>402.24</v>
      </c>
      <c r="H418" t="n">
        <v>0</v>
      </c>
      <c r="K418" t="n">
        <v>0</v>
      </c>
      <c r="L418" t="inlineStr">
        <is>
          <t>No clean technical setup detected. Price in middle of value area or poor risk/reward.</t>
        </is>
      </c>
      <c r="M418" t="inlineStr">
        <is>
          <t>SKIP</t>
        </is>
      </c>
      <c r="N418" t="inlineStr">
        <is>
          <t>SKIP: No Trade result. Market regime NEUTRAL; sector STRONG; net R/R 0.00.</t>
        </is>
      </c>
      <c r="O418" t="inlineStr">
        <is>
          <t>MSFT
No Trade
0.00
score
Price
402.24
R/R
0.00x
Grade
No Trade
Quality
0%
Buy Zone
-
Stop
0.00
Targets
-
Skip
Mixed
Relative Strength
Leadership
85%
Trend Quality
Messy
28%
Liquidity
Institutional liquidity
100%
Volume
Confirmed
80%
No actionable setup detected.
No clean technical setup detected. Price in middle of value area or poor risk/reward.
Fib 61.8
431.25
Fib Zone
428.09 - 434.41
Swing Low
409.58
Swing High
466.32
Click chart to open full size</t>
        </is>
      </c>
      <c r="P418" t="inlineStr">
        <is>
          <t>agent_results/charts/market_lens_agent_20260609_173202_msft.png</t>
        </is>
      </c>
      <c r="Q418" t="inlineStr">
        <is>
          <t>Smart Universe: broad liquid US universe, diversified by sector | Sector: Technology - Strong (73/100); XLK sector regime is strong: 27.1% 3m return, 18.5% vs SPY | Setup: No Trade; score 0.00; R/R 0.00x; price 402.24 | Market: NEUTRAL; Sector regime: STRONG; Net R/R: 0.00; Factors: Mega Cap Tech, Rates-sensitive Growth, Technology | Agent action: SKIP - SKIP: No Trade result. Market regime NEUTRAL; sector STRONG; net R/R 0.00.</t>
        </is>
      </c>
      <c r="R418" t="inlineStr">
        <is>
          <t>{"adjusted_cash_out": 0.0, "adjusted_position_size": 0, "adjusted_risk_amount": 0.0, "ask": 0.0, "bid": 0.0, "buy_zone_high": null, "buy_zone_low": null, "cash_available": 93936.04, "company_name": "Microsoft Corporation", "correlation_warning": false, "days_to_earnings": 36, "earnings_blackout": false, "earnings_date": "2026-07-29T00:00:00", "estimated_fees": 0.0, "estimated_slippage": 0.5631, "estimated_spread": 0.1207, "executable_entry": 402.24, "execution_liquidity_bucket": "large_liquid", "factor_exposure_after": {"Industrials": 5789.34}, "factor_exposure_before": {"Industrials": 5789.34}, "factor_exposure_cap": 7000.0, "factor_exposure_limit_exceeded": false, "factor_tags": ["Mega Cap Tech", "Rates-sensitive Growth", "Technology"], "final_action": "SKIP", "gross_reward_1_per_share": 0.0, "gross_reward_2_per_share": 0.0, "gross_risk_per_share": 402.24, "gross_rr": 0.0, "gross_rr_1": 0.0, "gross_rr_2": 0.0, "gross_rr_decision": 0.0, "highest_correlation_ticker": "HON", "highest_correlation_value": 0.1374, "initial_action": "SKIP", "market_cap": 2991802077036.0,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402.5819, "net_reward_1_per_share": 0.0, "net_reward_2_per_share": 0.0, "net_risk_per_share": 402.9238, "net_rr": 0.0, "net_rr_1": 0.0, "net_rr_2": 0.0, "net_stop_assumption": -0.3419, "net_target_1_assumption": -0.2011, "net_target_2_assumption": -0.2011, "normalized_atr_score": 100.0, "normalized_liquidity_score": 100, "normalized_momentum_score": 45.38, "normalized_quality_score": 75.42,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402.24,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402.24, "ticker": "MSFT", "timestamp": "2026-06-09T17:37:36", "warnings": ["Target ATR feasibility unavailable."]}</t>
        </is>
      </c>
    </row>
    <row r="419">
      <c r="A419" t="inlineStr">
        <is>
          <t>2026-06-09T17:37:36</t>
        </is>
      </c>
      <c r="B419" t="inlineStr">
        <is>
          <t>MA</t>
        </is>
      </c>
      <c r="C419" t="inlineStr">
        <is>
          <t>No Trade</t>
        </is>
      </c>
      <c r="D419" t="n">
        <v>0</v>
      </c>
      <c r="E419" t="n">
        <v>492.55</v>
      </c>
      <c r="H419" t="n">
        <v>0</v>
      </c>
      <c r="K419" t="n">
        <v>0</v>
      </c>
      <c r="L419" t="inlineStr">
        <is>
          <t>No clean technical setup detected. Price in middle of value area or poor risk/reward.</t>
        </is>
      </c>
      <c r="M419" t="inlineStr">
        <is>
          <t>SKIP</t>
        </is>
      </c>
      <c r="N419" t="inlineStr">
        <is>
          <t>SKIP: No Trade result. Market regime NEUTRAL; sector STRONG; net R/R 0.00.</t>
        </is>
      </c>
      <c r="O419" t="inlineStr">
        <is>
          <t>MA
No Trade
0.00
score
Price
492.55
R/R
0.00x
Grade
No Trade
Quality
0%
Buy Zone
-
Stop
0.00
Targets
-
Skip
Mixed
Relative Strength
Leadership
96%
Trend Quality
Messy
18%
Liquidity
Institutional liquidity
100%
Volume
Neutral
65%
No actionable setup detected.
No clean technical setup detected. Price in middle of value area or poor risk/reward.
Fib 61.8
497.52
Fib Zone
494.64 - 500.39
Swing Low
488.01
Swing High
512.90
Click chart to open full size</t>
        </is>
      </c>
      <c r="P419" t="inlineStr">
        <is>
          <t>agent_results/charts/market_lens_agent_20260609_173202_ma.png</t>
        </is>
      </c>
      <c r="Q419" t="inlineStr">
        <is>
          <t>Smart Universe: broad liquid US universe, diversified by sector | Sector: Financials - Strong (72/100); XLF sector regime is strong: 5.9% 3m return, -2.7% vs SPY | Setup: No Trade; score 0.00; R/R 0.00x; price 492.55 | Market: NEUTRAL; Sector regime: STRONG; Net R/R: 0.00; Factors: Financials | Agent action: SKIP - SKIP: No Trade result. Market regime NEUTRAL; sector STRONG; net R/R 0.00.</t>
        </is>
      </c>
      <c r="R419" t="inlineStr">
        <is>
          <t>{"adjusted_cash_out": 0.0, "adjusted_position_size": 0, "adjusted_risk_amount": 0.0, "ask": 0.0, "bid": 0.0, "buy_zone_high": null, "buy_zone_low": null, "cash_available": 93936.04, "company_name": "Mastercard Incorporated", "correlation_warning": false, "days_to_earnings": 37, "earnings_blackout": false, "earnings_date": "2026-07-30T00:00:00", "estimated_fees": 0.0, "estimated_slippage": 0.6896, "estimated_spread": 0.1478, "executable_entry": 492.55,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492.55, "gross_rr": 0.0, "gross_rr_1": 0.0, "gross_rr_2": 0.0, "gross_rr_decision": 0.0, "highest_correlation_ticker": "HON", "highest_correlation_value": 0.0638, "initial_action": "SKIP", "market_cap": 435023671934.92,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492.9687, "net_reward_1_per_share": 0.0, "net_reward_2_per_share": 0.0, "net_risk_per_share": 493.3873, "net_rr": 0.0, "net_rr_1": 0.0, "net_rr_2": 0.0, "net_stop_assumption": -0.4187, "net_target_1_assumption": -0.2463, "net_target_2_assumption": -0.2463, "normalized_atr_score": 100.0, "normalized_liquidity_score": 48.69, "normalized_momentum_score": 40.52, "normalized_quality_score": 57.84,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492.55,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492.55, "ticker": "MA", "timestamp": "2026-06-09T17:37:36", "warnings": ["Target ATR feasibility unavailable."]}</t>
        </is>
      </c>
    </row>
    <row r="420">
      <c r="A420" t="inlineStr">
        <is>
          <t>2026-06-09T17:37:36</t>
        </is>
      </c>
      <c r="B420" t="inlineStr">
        <is>
          <t>BA</t>
        </is>
      </c>
      <c r="C420" t="inlineStr">
        <is>
          <t>No Trade</t>
        </is>
      </c>
      <c r="D420" t="n">
        <v>0</v>
      </c>
      <c r="E420" t="n">
        <v>214.12</v>
      </c>
      <c r="H420" t="n">
        <v>0</v>
      </c>
      <c r="K420" t="n">
        <v>0</v>
      </c>
      <c r="L420" t="inlineStr">
        <is>
          <t>No clean technical setup detected. Price in middle of value area or poor risk/reward.</t>
        </is>
      </c>
      <c r="M420" t="inlineStr">
        <is>
          <t>SKIP</t>
        </is>
      </c>
      <c r="N420" t="inlineStr">
        <is>
          <t>SKIP: No Trade result. Market regime NEUTRAL; sector NEUTRAL; net R/R 0.00.</t>
        </is>
      </c>
      <c r="O420" t="inlineStr">
        <is>
          <t>BA
No Trade
0.00
score
Price
214.12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220.99
Fib Zone
219.22 - 222.76
Swing Low
214.00
Swing High
232.30
Click chart to open full size</t>
        </is>
      </c>
      <c r="P420" t="inlineStr">
        <is>
          <t>agent_results/charts/market_lens_agent_20260609_173202_ba.png</t>
        </is>
      </c>
      <c r="Q420" t="inlineStr">
        <is>
          <t>Smart Universe: broad liquid US universe, diversified by sector | Sector: Industrials - Neutral (68/100); XLI sector regime is neutral: 3.0% 3m return, -5.6% vs SPY | Setup: No Trade; score 0.00; R/R 0.00x; price 214.12 | Market: NEUTRAL; Sector regime: NEUTRAL; Net R/R: 0.00; Factors: Industrials | Agent action: SKIP - SKIP: No Trade result. Market regime NEUTRAL; sector NEUTRAL; net R/R 0.00.</t>
        </is>
      </c>
      <c r="R420" t="inlineStr">
        <is>
          <t>{"adjusted_cash_out": 0.0, "adjusted_position_size": 0, "adjusted_risk_amount": 0.0, "ask": 0.0, "bid": 0.0, "buy_zone_high": null, "buy_zone_low": null, "cash_available": 93936.04, "company_name": "Boeing Company", "correlation_warning": false, "days_to_earnings": 35, "earnings_blackout": false, "earnings_date": "2026-07-28T00:00:00", "estimated_fees": 0.0, "estimated_slippage": 0.2998, "estimated_spread": 0.0642, "executable_entry": 214.12,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214.12, "gross_rr": 0.0, "gross_rr_1": 0.0, "gross_rr_2": 0.0, "gross_rr_decision": 0.0, "highest_correlation_ticker": "HON", "highest_correlation_value": 0.3724, "initial_action": "SKIP", "market_cap": 169162504006.24,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214.302, "net_reward_1_per_share": 0.0, "net_reward_2_per_share": 0.0, "net_risk_per_share": 214.484, "net_rr": 0.0, "net_rr_1": 0.0, "net_rr_2": 0.0, "net_stop_assumption": -0.182, "net_target_1_assumption": -0.1071, "net_target_2_assumption": -0.1071, "normalized_atr_score": 100.0, "normalized_liquidity_score": 80.36, "normalized_momentum_score": 34.87, "normalized_quality_score": 64.8,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214.12,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214.12, "ticker": "BA", "timestamp": "2026-06-09T17:37:36", "warnings": ["Target ATR feasibility unavailable."]}</t>
        </is>
      </c>
    </row>
    <row r="421">
      <c r="A421" t="inlineStr">
        <is>
          <t>2026-06-09T17:37:36</t>
        </is>
      </c>
      <c r="B421" t="inlineStr">
        <is>
          <t>SCHW</t>
        </is>
      </c>
      <c r="C421" t="inlineStr">
        <is>
          <t>No Trade</t>
        </is>
      </c>
      <c r="D421" t="n">
        <v>0</v>
      </c>
      <c r="E421" t="n">
        <v>87.69</v>
      </c>
      <c r="H421" t="n">
        <v>0</v>
      </c>
      <c r="K421" t="n">
        <v>0</v>
      </c>
      <c r="L421" t="inlineStr">
        <is>
          <t>No clean technical setup detected. Price in middle of value area or poor risk/reward.</t>
        </is>
      </c>
      <c r="M421" t="inlineStr">
        <is>
          <t>SKIP</t>
        </is>
      </c>
      <c r="N421" t="inlineStr">
        <is>
          <t>SKIP: No Trade result. Market regime NEUTRAL; sector STRONG; net R/R 0.00.</t>
        </is>
      </c>
      <c r="O421" t="inlineStr">
        <is>
          <t>SCHW
No Trade
0.00
score
Price
87.69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89.83
Fib Zone
89.31 - 90.36
Swing Low
87.61
Swing High
93.43
Click chart to open full size</t>
        </is>
      </c>
      <c r="P421" t="inlineStr">
        <is>
          <t>agent_results/charts/market_lens_agent_20260609_173202_schw.png</t>
        </is>
      </c>
      <c r="Q421" t="inlineStr">
        <is>
          <t>Smart Universe: broad liquid US universe, diversified by sector | Sector: Financials - Strong (72/100); XLF sector regime is strong: 5.9% 3m return, -2.7% vs SPY | Setup: No Trade; score 0.00; R/R 0.00x; price 87.69 | Market: NEUTRAL; Sector regime: STRONG; Net R/R: 0.00; Factors: Financials | Agent action: SKIP - SKIP: No Trade result. Market regime NEUTRAL; sector STRONG; net R/R 0.00.</t>
        </is>
      </c>
      <c r="R421" t="inlineStr">
        <is>
          <t>{"adjusted_cash_out": 0.0, "adjusted_position_size": 0, "adjusted_risk_amount": 0.0, "ask": 0.0, "bid": 0.0, "buy_zone_high": null, "buy_zone_low": null, "cash_available": 93936.04, "company_name": "Charles Schwab Corporation", "correlation_warning": false, "days_to_earnings": 27, "earnings_blackout": false, "earnings_date": "2026-07-16T00:00:00", "estimated_fees": 0.0, "estimated_slippage": 0.1228, "estimated_spread": 0.0263, "executable_entry": 87.69,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87.69, "gross_rr": 0.0, "gross_rr_1": 0.0, "gross_rr_2": 0.0, "gross_rr_decision": 0.0, "highest_correlation_ticker": "HON", "highest_correlation_value": 0.1098, "initial_action": "SKIP", "market_cap": 152661312681.49,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87.7645, "net_reward_1_per_share": 0.0, "net_reward_2_per_share": 0.0, "net_risk_per_share": 87.8391, "net_rr": 0.0, "net_rr_1": 0.0, "net_rr_2": 0.0, "net_stop_assumption": -0.0745, "net_target_1_assumption": -0.0438, "net_target_2_assumption": -0.0438, "normalized_atr_score": 100.0, "normalized_liquidity_score": 66.94, "normalized_momentum_score": 34.11, "normalized_quality_score": 60.43,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87.69,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87.69, "ticker": "SCHW", "timestamp": "2026-06-09T17:37:36", "warnings": ["Target ATR feasibility unavailable."]}</t>
        </is>
      </c>
    </row>
    <row r="422">
      <c r="A422" t="inlineStr">
        <is>
          <t>2026-06-09T17:37:36</t>
        </is>
      </c>
      <c r="B422" t="inlineStr">
        <is>
          <t>CPB</t>
        </is>
      </c>
      <c r="C422" t="inlineStr">
        <is>
          <t>No Trade</t>
        </is>
      </c>
      <c r="D422" t="n">
        <v>0</v>
      </c>
      <c r="E422" t="n">
        <v>21.75</v>
      </c>
      <c r="H422" t="n">
        <v>0</v>
      </c>
      <c r="K422" t="n">
        <v>0</v>
      </c>
      <c r="L422" t="inlineStr">
        <is>
          <t>No clean technical setup detected. Price in middle of value area or poor risk/reward.</t>
        </is>
      </c>
      <c r="M422" t="inlineStr">
        <is>
          <t>SKIP</t>
        </is>
      </c>
      <c r="N422" t="inlineStr">
        <is>
          <t>SKIP: No Trade result. Market regime NEUTRAL; sector NEUTRAL; net R/R 0.00.</t>
        </is>
      </c>
      <c r="O422" t="inlineStr">
        <is>
          <t>CPB
No Trade
0.00
score
Price
21.75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20.41
Fib Zone
20.22 - 20.59
Swing Low
19.76
Swing High
21.45
Click chart to open full size</t>
        </is>
      </c>
      <c r="P422" t="inlineStr">
        <is>
          <t>agent_results/charts/market_lens_agent_20260609_173202_cpb.png</t>
        </is>
      </c>
      <c r="Q422" t="inlineStr">
        <is>
          <t>Smart Universe: broad liquid US universe, diversified by sector | Sector: Consumer Defensive - Neutral (44/100); XLP sector regime is neutral: -0.3% 3m return, -8.9% vs SPY | Setup: No Trade; score 0.00; R/R 0.00x; price 21.75 | Market: NEUTRAL; Sector regime: NEUTRAL; Net R/R: 0.00; Factors: Consumer Defensive, Defensive, Low Volatility | Agent action: SKIP - SKIP: No Trade result. Market regime NEUTRAL; sector NEUTRAL; net R/R 0.00.</t>
        </is>
      </c>
      <c r="R422" t="inlineStr">
        <is>
          <t>{"adjusted_cash_out": 0.0, "adjusted_position_size": 0, "adjusted_risk_amount": 0.0, "ask": 0.0, "bid": 0.0, "buy_zone_high": null, "buy_zone_low": null, "cash_available": 93936.04, "company_name": "Campbell's Company (The)", "correlation_warning": false, "days_to_earnings": 66, "earnings_blackout": false, "earnings_date": "2026-09-09T00:00:00", "estimated_fees": 0.0, "estimated_slippage": 0.0653, "estimated_spread": 0.0174, "executable_entry": 21.75,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21.75, "gross_rr": 0.0, "gross_rr_1": 0.0, "gross_rr_2": 0.0, "gross_rr_decision": 0.0, "highest_correlation_ticker": "HON", "highest_correlation_value": 0.0977, "initial_action": "SKIP", "market_cap": 6485956208.52,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21.7913, "net_reward_1_per_share": 0.0, "net_reward_2_per_share": 0.0, "net_risk_per_share": 21.8327, "net_rr": 0.0, "net_rr_1": 0.0, "net_rr_2": 0.0, "net_stop_assumption": -0.0413, "net_target_1_assumption": -0.025, "net_target_2_assumption": -0.025, "normalized_atr_score": 100.0, "normalized_liquidity_score": 48.98, "normalized_momentum_score": 49.22, "normalized_quality_score": 61.84,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21.75,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21.75, "ticker": "CPB", "timestamp": "2026-06-09T17:37:36", "warnings": ["Target ATR feasibility unavailable."]}</t>
        </is>
      </c>
    </row>
    <row r="423">
      <c r="A423" t="inlineStr">
        <is>
          <t>2026-06-09T17:37:36</t>
        </is>
      </c>
      <c r="B423" t="inlineStr">
        <is>
          <t>VTR</t>
        </is>
      </c>
      <c r="C423" t="inlineStr">
        <is>
          <t>No Trade</t>
        </is>
      </c>
      <c r="D423" t="n">
        <v>0</v>
      </c>
      <c r="E423" t="n">
        <v>82.14</v>
      </c>
      <c r="H423" t="n">
        <v>0</v>
      </c>
      <c r="K423" t="n">
        <v>0</v>
      </c>
      <c r="L423" t="inlineStr">
        <is>
          <t>No clean technical setup detected. Price in middle of value area or poor risk/reward.</t>
        </is>
      </c>
      <c r="M423" t="inlineStr">
        <is>
          <t>SKIP</t>
        </is>
      </c>
      <c r="N423" t="inlineStr">
        <is>
          <t>SKIP: No Trade result. Market regime NEUTRAL; sector STRONG; net R/R 0.00.</t>
        </is>
      </c>
      <c r="O423" t="inlineStr">
        <is>
          <t>VTR
No Trade
0.00
score
Price
82.14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83.84
Fib Zone
83.25 - 84.42
Swing Low
79.37
Swing High
91.06
Click chart to open full size</t>
        </is>
      </c>
      <c r="P423" t="inlineStr">
        <is>
          <t>agent_results/charts/market_lens_agent_20260609_173202_vtr.png</t>
        </is>
      </c>
      <c r="Q423" t="inlineStr">
        <is>
          <t>Smart Universe: broad liquid US universe, diversified by sector | Sector: Real Estate - Strong (72/100); XLRE sector regime is strong: 6.7% 3m return, -1.9% vs SPY | Setup: No Trade; score 0.00; R/R 0.00x; price 82.14 | Market: NEUTRAL; Sector regime: STRONG; Net R/R: 0.00; Factors: Real Estate | Agent action: SKIP - SKIP: No Trade result. Market regime NEUTRAL; sector STRONG; net R/R 0.00.</t>
        </is>
      </c>
      <c r="R423" t="inlineStr">
        <is>
          <t>{"adjusted_cash_out": 0.0, "adjusted_position_size": 0, "adjusted_risk_amount": 0.0, "ask": 0.0, "bid": 0.0, "buy_zone_high": null, "buy_zone_low": null, "cash_available": 93936.04, "company_name": "Ventas", "correlation_warning": false, "days_to_earnings": -31, "earnings_blackout": false, "earnings_date": "2026-04-27T00:00:00", "estimated_fees": 0.0, "estimated_slippage": 0.2464, "estimated_spread": 0.0657, "executable_entry": 82.14,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82.14, "gross_rr": 0.0, "gross_rr_1": 0.0, "gross_rr_2": 0.0, "gross_rr_decision": 0.0, "highest_correlation_ticker": "HON", "highest_correlation_value": 0.255, "initial_action": "SKIP", "market_cap": 39807575583.93,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82.2961, "net_reward_1_per_share": 0.0, "net_reward_2_per_share": 0.0, "net_risk_per_share": 82.4521, "net_rr": 0.0, "net_rr_1": 0.0, "net_rr_2": 0.0, "net_stop_assumption": -0.1561, "net_target_1_assumption": -0.0945, "net_target_2_assumption": -0.0945, "normalized_atr_score": 100.0, "normalized_liquidity_score": 38.7, "normalized_momentum_score": 26.7, "normalized_quality_score": 48.62,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82.14,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82.14, "ticker": "VTR", "timestamp": "2026-06-09T17:37:36", "warnings": ["Target ATR feasibility unavailable."]}</t>
        </is>
      </c>
    </row>
    <row r="424">
      <c r="A424" t="inlineStr">
        <is>
          <t>2026-06-09T17:37:36</t>
        </is>
      </c>
      <c r="B424" t="inlineStr">
        <is>
          <t>AIG</t>
        </is>
      </c>
      <c r="C424" t="inlineStr">
        <is>
          <t>No Trade</t>
        </is>
      </c>
      <c r="D424" t="n">
        <v>0</v>
      </c>
      <c r="E424" t="n">
        <v>74.28</v>
      </c>
      <c r="H424" t="n">
        <v>0</v>
      </c>
      <c r="K424" t="n">
        <v>0</v>
      </c>
      <c r="L424" t="inlineStr">
        <is>
          <t>No clean technical setup detected. Price in middle of value area or poor risk/reward.</t>
        </is>
      </c>
      <c r="M424" t="inlineStr">
        <is>
          <t>SKIP</t>
        </is>
      </c>
      <c r="N424" t="inlineStr">
        <is>
          <t>SKIP: No Trade result. Market regime NEUTRAL; sector STRONG; net R/R 0.00.</t>
        </is>
      </c>
      <c r="O424" t="inlineStr">
        <is>
          <t>AIG
No Trade
0.00
score
Price
74.28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76.47
Fib Zone
76.04 - 76.89
Swing Low
74.95
Swing High
78.92
Click chart to open full size</t>
        </is>
      </c>
      <c r="P424" t="inlineStr">
        <is>
          <t>agent_results/charts/market_lens_agent_20260609_173202_aig.png</t>
        </is>
      </c>
      <c r="Q424" t="inlineStr">
        <is>
          <t>Smart Universe: broad liquid US universe, diversified by sector | Sector: Financials - Strong (72/100); XLF sector regime is strong: 5.9% 3m return, -2.7% vs SPY | Setup: No Trade; score 0.00; R/R 0.00x; price 74.28 | Market: NEUTRAL; Sector regime: STRONG; Net R/R: 0.00; Factors: Financials | Agent action: SKIP - SKIP: No Trade result. Market regime NEUTRAL; sector STRONG; net R/R 0.00.</t>
        </is>
      </c>
      <c r="R424" t="inlineStr">
        <is>
          <t>{"adjusted_cash_out": 0.0, "adjusted_position_size": 0, "adjusted_risk_amount": 0.0, "ask": 0.0, "bid": 0.0, "buy_zone_high": null, "buy_zone_low": null, "cash_available": 93936.04, "company_name": "American International Group, Inc.", "correlation_warning": false, "days_to_earnings": -28, "earnings_blackout": false, "earnings_date": "2026-04-30T00:00:00", "estimated_fees": 0.0, "estimated_slippage": 0.2228, "estimated_spread": 0.0594, "executable_entry": 74.28, "execution_liquidity_bucket": "mid_liquid", "factor_exposure_after": {"Industrials": 5789.34}, "factor_exposure_before": {"Industrials": 5789.34}, "factor_exposure_cap": 7000.0, "factor_exposure_limit_exceeded": false, "factor_tags": ["Financials"], "final_action": "SKIP", "gross_reward_1_per_share": 0.0, "gross_reward_2_per_share": 0.0, "gross_risk_per_share": 74.28, "gross_rr": 0.0, "gross_rr_1": 0.0, "gross_rr_2": 0.0, "gross_rr_decision": 0.0, "highest_correlation_ticker": "HON", "highest_correlation_value": 0.1713, "initial_action": "SKIP", "market_cap": 39381067873.81,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74.4211, "net_reward_1_per_share": 0.0, "net_reward_2_per_share": 0.0, "net_risk_per_share": 74.5623, "net_rr": 0.0, "net_rr_1": 0.0, "net_rr_2": 0.0, "net_stop_assumption": -0.1411, "net_target_1_assumption": -0.0854, "net_target_2_assumption": -0.0854, "normalized_atr_score": 100.0, "normalized_liquidity_score": 33.99, "normalized_momentum_score": 32.88, "normalized_quality_score": 49.99,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74.28,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74.28, "ticker": "AIG", "timestamp": "2026-06-09T17:37:36", "warnings": ["Target ATR feasibility unavailable."]}</t>
        </is>
      </c>
    </row>
    <row r="425">
      <c r="A425" t="inlineStr">
        <is>
          <t>2026-06-09T17:37:36</t>
        </is>
      </c>
      <c r="B425" t="inlineStr">
        <is>
          <t>SYK</t>
        </is>
      </c>
      <c r="C425" t="inlineStr">
        <is>
          <t>No Trade</t>
        </is>
      </c>
      <c r="D425" t="n">
        <v>0</v>
      </c>
      <c r="E425" t="n">
        <v>311.13</v>
      </c>
      <c r="H425" t="n">
        <v>0</v>
      </c>
      <c r="K425" t="n">
        <v>0</v>
      </c>
      <c r="L425" t="inlineStr">
        <is>
          <t>No clean technical setup detected. Price in middle of value area or poor risk/reward.</t>
        </is>
      </c>
      <c r="M425" t="inlineStr">
        <is>
          <t>SKIP</t>
        </is>
      </c>
      <c r="N425" t="inlineStr">
        <is>
          <t>SKIP: No Trade result. Market regime NEUTRAL; sector STRONG; net R/R 0.00.</t>
        </is>
      </c>
      <c r="O425" t="inlineStr">
        <is>
          <t>SYK
No Trade
0.00
score
Price
311.13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296.99
Fib Zone
294.84 - 299.15
Swing Low
281.00
Swing High
322.87
Click chart to open full size</t>
        </is>
      </c>
      <c r="P425" t="inlineStr">
        <is>
          <t>agent_results/charts/market_lens_agent_20260609_173202_syk.png</t>
        </is>
      </c>
      <c r="Q425" t="inlineStr">
        <is>
          <t>Smart Universe: broad liquid US universe, diversified by sector | Sector: Healthcare - Strong (69/100); XLV sector regime is strong: 1.4% 3m return, -7.2% vs SPY | Setup: No Trade; score 0.00; R/R 0.00x; price 311.13 | Market: NEUTRAL; Sector regime: STRONG; Net R/R: 0.00; Factors: Defensive, Healthcare | Agent action: SKIP - SKIP: No Trade result. Market regime NEUTRAL; sector STRONG; net R/R 0.00.</t>
        </is>
      </c>
      <c r="R425" t="inlineStr">
        <is>
          <t>{"adjusted_cash_out": 0.0, "adjusted_position_size": 0, "adjusted_risk_amount": 0.0, "ask": 0.0, "bid": 0.0, "buy_zone_high": null, "buy_zone_low": null, "cash_available": 93936.04, "company_name": "Stryker Corporation", "correlation_warning": false, "days_to_earnings": 37, "earnings_blackout": false, "earnings_date": "2026-07-30T00:00:00", "estimated_fees": 0.0, "estimated_slippage": 0.4356, "estimated_spread": 0.0933, "executable_entry": 311.13,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311.13, "gross_rr": 0.0, "gross_rr_1": 0.0, "gross_rr_2": 0.0, "gross_rr_decision": 0.0, "highest_correlation_ticker": "HON", "highest_correlation_value": 0.1735, "initial_action": "SKIP", "market_cap": 119508880202.12,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311.3945, "net_reward_1_per_share": 0.0, "net_reward_2_per_share": 0.0, "net_risk_per_share": 311.6589, "net_rr": 0.0, "net_rr_1": 0.0, "net_rr_2": 0.0, "net_stop_assumption": -0.2645, "net_target_1_assumption": -0.1556, "net_target_2_assumption": -0.1556, "normalized_atr_score": 100.0, "normalized_liquidity_score": 63.79, "normalized_momentum_score": 35.79, "normalized_quality_score": 60.24,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311.13,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311.13, "ticker": "SYK", "timestamp": "2026-06-09T17:37:36", "warnings": ["Target ATR feasibility unavailable."]}</t>
        </is>
      </c>
    </row>
    <row r="426">
      <c r="A426" t="inlineStr">
        <is>
          <t>2026-06-09T17:37:36</t>
        </is>
      </c>
      <c r="B426" t="inlineStr">
        <is>
          <t>GMED</t>
        </is>
      </c>
      <c r="C426" t="inlineStr">
        <is>
          <t>No Trade</t>
        </is>
      </c>
      <c r="D426" t="n">
        <v>0</v>
      </c>
      <c r="E426" t="n">
        <v>81.70999999999999</v>
      </c>
      <c r="H426" t="n">
        <v>0</v>
      </c>
      <c r="K426" t="n">
        <v>0</v>
      </c>
      <c r="L426" t="inlineStr">
        <is>
          <t>No clean technical setup detected. Price in middle of value area or poor risk/reward.</t>
        </is>
      </c>
      <c r="M426" t="inlineStr">
        <is>
          <t>SKIP</t>
        </is>
      </c>
      <c r="N426" t="inlineStr">
        <is>
          <t>SKIP: No Trade result. Market regime NEUTRAL; sector STRONG; net R/R 0.00.</t>
        </is>
      </c>
      <c r="O426" t="inlineStr">
        <is>
          <t>GMED
No Trade
0.00
score
Price
81.71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78.90
Fib Zone
78.24 - 79.56
Swing Low
74.50
Swing High
86.02
Click chart to open full size</t>
        </is>
      </c>
      <c r="P426" t="inlineStr">
        <is>
          <t>agent_results/charts/market_lens_agent_20260609_173202_gmed.png</t>
        </is>
      </c>
      <c r="Q426" t="inlineStr">
        <is>
          <t>Smart Universe: broad liquid US universe, diversified by sector | Sector: Healthcare - Strong (69/100); XLV sector regime is strong: 1.4% 3m return, -7.2% vs SPY | Setup: No Trade; score 0.00; R/R 0.00x; price 81.71 | Market: NEUTRAL; Sector regime: STRONG; Net R/R: 0.00; Factors: Defensive, Healthcare | Agent action: SKIP - SKIP: No Trade result. Market regime NEUTRAL; sector STRONG; net R/R 0.00.</t>
        </is>
      </c>
      <c r="R426" t="inlineStr">
        <is>
          <t>{"adjusted_cash_out": 0.0, "adjusted_position_size": 0, "adjusted_risk_amount": 0.0, "ask": 0.0, "bid": 0.0, "buy_zone_high": null, "buy_zone_low": null, "cash_available": 93936.04, "company_name": "Globus Medical Inc.", "correlation_warning": false, "days_to_earnings": 42, "earnings_blackout": false, "earnings_date": "2026-08-06T00:00:00", "estimated_fees": 0.0, "estimated_slippage": 0.2451, "estimated_spread": 0.0654, "executable_entry": 81.71, "execution_liquidity_bucket": "mid_liquid",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81.71, "gross_rr": 0.0, "gross_rr_1": 0.0, "gross_rr_2": 0.0, "gross_rr_decision": 0.0, "highest_correlation_ticker": "HON", "highest_correlation_value": 0.2161, "initial_action": "SKIP", "market_cap": 11114769604.05,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81.8652, "net_reward_1_per_share": 0.0, "net_reward_2_per_share": 0.0, "net_risk_per_share": 82.0205, "net_rr": 0.0, "net_rr_1": 0.0, "net_rr_2": 0.0, "net_stop_assumption": -0.1552, "net_target_1_assumption": -0.094, "net_target_2_assumption": -0.094, "normalized_atr_score": 100.0, "normalized_liquidity_score": 21.95, "normalized_momentum_score": 41.43, "normalized_quality_score": 50.23,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81.71,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81.71, "ticker": "GMED", "timestamp": "2026-06-09T17:37:36", "warnings": ["Target ATR feasibility unavailable."]}</t>
        </is>
      </c>
    </row>
    <row r="427">
      <c r="A427" t="inlineStr">
        <is>
          <t>2026-06-09T17:37:36</t>
        </is>
      </c>
      <c r="B427" t="inlineStr">
        <is>
          <t>OHI</t>
        </is>
      </c>
      <c r="C427" t="inlineStr">
        <is>
          <t>No Trade</t>
        </is>
      </c>
      <c r="D427" t="n">
        <v>0</v>
      </c>
      <c r="E427" t="n">
        <v>45.12</v>
      </c>
      <c r="H427" t="n">
        <v>0</v>
      </c>
      <c r="K427" t="n">
        <v>0</v>
      </c>
      <c r="L427" t="inlineStr">
        <is>
          <t>No clean technical setup detected. Price in middle of value area or poor risk/reward.</t>
        </is>
      </c>
      <c r="M427" t="inlineStr">
        <is>
          <t>SKIP</t>
        </is>
      </c>
      <c r="N427" t="inlineStr">
        <is>
          <t>SKIP: No Trade result. Market regime NEUTRAL; sector STRONG; net R/R 0.00.</t>
        </is>
      </c>
      <c r="O427" t="inlineStr">
        <is>
          <t>OHI
No Trade
0.00
score
Price
45.12
R/R
0.00x
Grade
No Trade
Quality
0%
Buy Zone
-
Stop
0.00
Targets
-
Skip
Mixed
Relative Strength
Leadership
100%
Trend Quality
Messy
18%
Liquidity
Institutional liquidity
100%
Volume
Distribution risk
30%
No actionable setup detected.
No clean technical setup detected. Price in middle of value area or poor risk/reward.
Fib 61.8
46.86
Fib Zone
46.59 - 47.14
Swing Low
45.34
Swing High
49.33
Click chart to open full size</t>
        </is>
      </c>
      <c r="P427" t="inlineStr">
        <is>
          <t>agent_results/charts/market_lens_agent_20260609_173202_ohi.png</t>
        </is>
      </c>
      <c r="Q427" t="inlineStr">
        <is>
          <t>Smart Universe: broad liquid US universe, diversified by sector | Sector: Real Estate - Strong (72/100); XLRE sector regime is strong: 6.7% 3m return, -1.9% vs SPY | Setup: No Trade; score 0.00; R/R 0.00x; price 45.12 | Market: NEUTRAL; Sector regime: STRONG; Net R/R: 0.00; Factors: Real Estate | Agent action: SKIP - SKIP: No Trade result. Market regime NEUTRAL; sector STRONG; net R/R 0.00.</t>
        </is>
      </c>
      <c r="R427" t="inlineStr">
        <is>
          <t>{"adjusted_cash_out": 0.0, "adjusted_position_size": 0, "adjusted_risk_amount": 0.0, "ask": 0.0, "bid": 0.0, "buy_zone_high": null, "buy_zone_low": null, "cash_available": 93936.04, "company_name": "Omega Healthcare Investors Inc.", "correlation_warning": false, "days_to_earnings": -30, "earnings_blackout": false, "earnings_date": "2026-04-28T00:00:00", "estimated_fees": 0.0, "estimated_slippage": 0.1354, "estimated_spread": 0.0361, "executable_entry": 45.12, "execution_liquidity_bucket": "mid_liquid", "factor_exposure_after": {"Industrials": 5789.34}, "factor_exposure_before": {"Industrials": 5789.34}, "factor_exposure_cap": 7000.0, "factor_exposure_limit_exceeded": false, "factor_tags": ["Real Estate"], "final_action": "SKIP", "gross_reward_1_per_share": 0.0, "gross_reward_2_per_share": 0.0, "gross_risk_per_share": 45.12, "gross_rr": 0.0, "gross_rr_1": 0.0, "gross_rr_2": 0.0, "gross_rr_decision": 0.0, "highest_correlation_ticker": "HON", "highest_correlation_value": 0.1462, "initial_action": "SKIP", "market_cap": 13430869745.59,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45.2057, "net_reward_1_per_share": 0.0, "net_reward_2_per_share": 0.0, "net_risk_per_share": 45.2915, "net_rr": 0.0, "net_rr_1": 0.0, "net_rr_2": 0.0, "net_stop_assumption": -0.0857, "net_target_1_assumption": -0.0519, "net_target_2_assumption": -0.0519, "normalized_atr_score": 100.0, "normalized_liquidity_score": 18.4, "normalized_momentum_score": 29.22, "normalized_quality_score": 43.67,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45.12,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0.0, "setup_type": "No Trade", "sizing_adjustment_reason": "", "spread_source": "liquidity_fallback", "stock_score": 0.0, "stop_loss": 0.0, "target_1": null, "target_1_atr_distance": 0.0, "target_2": null, "target_2_atr_distance": 0.0, "target_feasibility_status": "UNKNOWN", "theoretical_entry": 45.12, "ticker": "OHI", "timestamp": "2026-06-09T17:37:36", "warnings": ["Target ATR feasibility unavailable."]}</t>
        </is>
      </c>
    </row>
    <row r="428">
      <c r="A428" t="inlineStr">
        <is>
          <t>2026-06-09T17:37:36</t>
        </is>
      </c>
      <c r="B428" t="inlineStr">
        <is>
          <t>ABT</t>
        </is>
      </c>
      <c r="C428" t="inlineStr">
        <is>
          <t>No Trade</t>
        </is>
      </c>
      <c r="D428" t="n">
        <v>0</v>
      </c>
      <c r="E428" t="n">
        <v>91.40000000000001</v>
      </c>
      <c r="H428" t="n">
        <v>0</v>
      </c>
      <c r="K428" t="n">
        <v>0</v>
      </c>
      <c r="L428" t="inlineStr">
        <is>
          <t>No clean technical setup detected. Price in middle of value area or poor risk/reward.</t>
        </is>
      </c>
      <c r="M428" t="inlineStr">
        <is>
          <t>SKIP</t>
        </is>
      </c>
      <c r="N428" t="inlineStr">
        <is>
          <t>SKIP: No Trade result. Market regime NEUTRAL; sector STRONG; net R/R 0.00.</t>
        </is>
      </c>
      <c r="O428" t="inlineStr">
        <is>
          <t>ABT
No Trade
0.00
score
Price
91.40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84.79
Fib Zone
84.27 - 85.30
Swing Low
81.97
Swing High
89.34
Click chart to open full size</t>
        </is>
      </c>
      <c r="P428" t="inlineStr">
        <is>
          <t>agent_results/charts/market_lens_agent_20260609_173202_abt.png</t>
        </is>
      </c>
      <c r="Q428" t="inlineStr">
        <is>
          <t>Smart Universe: broad liquid US universe, diversified by sector | Sector: Healthcare - Strong (69/100); XLV sector regime is strong: 1.4% 3m return, -7.2% vs SPY | Setup: No Trade; score 0.00; R/R 0.00x; price 91.40 | Market: NEUTRAL; Sector regime: STRONG; Net R/R: 0.00; Factors: Defensive, Healthcare | Agent action: SKIP - SKIP: No Trade result. Market regime NEUTRAL; sector STRONG; net R/R 0.00.</t>
        </is>
      </c>
      <c r="R428" t="inlineStr">
        <is>
          <t>{"adjusted_cash_out": 0.0, "adjusted_position_size": 0, "adjusted_risk_amount": 0.0, "ask": 0.0, "bid": 0.0, "buy_zone_high": null, "buy_zone_low": null, "cash_available": 93936.04, "company_name": "Abbott Laboratories", "correlation_warning": false, "days_to_earnings": 27, "earnings_blackout": false, "earnings_date": "2026-07-16T00:00:00", "estimated_fees": 0.0, "estimated_slippage": 0.128, "estimated_spread": 0.0274, "executable_entry": 91.4,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91.4, "gross_rr": 0.0, "gross_rr_1": 0.0, "gross_rr_2": 0.0, "gross_rr_decision": 0.0, "highest_correlation_ticker": "HON", "highest_correlation_value": 0.1895, "initial_action": "SKIP", "market_cap": 159402029725.19,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91.4777, "net_reward_1_per_share": 0.0, "net_reward_2_per_share": 0.0, "net_risk_per_share": 91.5554, "net_rr": 0.0, "net_rr_1": 0.0, "net_rr_2": 0.0, "net_stop_assumption": -0.0777, "net_target_1_assumption": -0.0457, "net_target_2_assumption": -0.0457, "normalized_atr_score": 100.0, "normalized_liquidity_score": 66.8, "normalized_momentum_score": 14.64, "normalized_quality_score": 51.63,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91.4,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91.4, "ticker": "ABT", "timestamp": "2026-06-09T17:37:36", "warnings": ["Target ATR feasibility unavailable."]}</t>
        </is>
      </c>
    </row>
    <row r="429">
      <c r="A429" t="inlineStr">
        <is>
          <t>2026-06-09T17:37:36</t>
        </is>
      </c>
      <c r="B429" t="inlineStr">
        <is>
          <t>TDY</t>
        </is>
      </c>
      <c r="C429" t="inlineStr">
        <is>
          <t>No Trade</t>
        </is>
      </c>
      <c r="D429" t="n">
        <v>0</v>
      </c>
      <c r="E429" t="n">
        <v>608.27</v>
      </c>
      <c r="H429" t="n">
        <v>0</v>
      </c>
      <c r="K429" t="n">
        <v>0</v>
      </c>
      <c r="L429" t="inlineStr">
        <is>
          <t>No clean technical setup detected. Price in middle of value area or poor risk/reward.</t>
        </is>
      </c>
      <c r="M429" t="inlineStr">
        <is>
          <t>SKIP</t>
        </is>
      </c>
      <c r="N429" t="inlineStr">
        <is>
          <t>SKIP: No Trade result. Market regime NEUTRAL; sector STRONG; net R/R 0.00.</t>
        </is>
      </c>
      <c r="O429" t="inlineStr">
        <is>
          <t>TDY
No Trade
0.00
score
Price
608.27
R/R
0.00x
Grade
No Trade
Quality
0%
Buy Zone
-
Stop
0.00
Targets
-
Skip
Mixed
Relative Strength
Leadership
100%
Trend Quality
Messy
0%
Liquidity
Institutional liquidity
100%
Volume
Confirmed
80%
No actionable setup detected.
No clean technical setup detected. Price in middle of value area or poor risk/reward.
Fib 61.8
613.80
Fib Zone
609.77 - 617.84
Swing Low
599.57
Swing High
636.83
Click chart to open full size</t>
        </is>
      </c>
      <c r="P429" t="inlineStr">
        <is>
          <t>agent_results/charts/market_lens_agent_20260609_173202_tdy.png</t>
        </is>
      </c>
      <c r="Q429" t="inlineStr">
        <is>
          <t>Smart Universe: broad liquid US universe, diversified by sector | Sector: Technology - Strong (73/100); XLK sector regime is strong: 27.1% 3m return, 18.5% vs SPY | Setup: No Trade; score 0.00; R/R 0.00x; price 608.27 | Market: NEUTRAL; Sector regime: STRONG; Net R/R: 0.00; Factors: Technology | Agent action: SKIP - SKIP: No Trade result. Market regime NEUTRAL; sector STRONG; net R/R 0.00.</t>
        </is>
      </c>
      <c r="R429" t="inlineStr">
        <is>
          <t>{"adjusted_cash_out": 0.0, "adjusted_position_size": 0, "adjusted_risk_amount": 0.0, "ask": 0.0, "bid": 0.0, "buy_zone_high": null, "buy_zone_low": null, "cash_available": 93936.04, "company_name": "Teledyne Technologies", "correlation_warning": false, "days_to_earnings": 31, "earnings_blackout": false, "earnings_date": "2026-07-22T00:00:00", "estimated_fees": 0.0, "estimated_slippage": 1.8248, "estimated_spread": 0.4866, "executable_entry": 608.27, "execution_liquidity_bucket": "mid_liquid", "factor_exposure_after": {"Industrials": 5789.34}, "factor_exposure_before": {"Industrials": 5789.34}, "factor_exposure_cap": 7000.0, "factor_exposure_limit_exceeded": false, "factor_tags": ["Technology"], "final_action": "SKIP", "gross_reward_1_per_share": 0.0, "gross_reward_2_per_share": 0.0, "gross_risk_per_share": 608.27, "gross_rr": 0.0, "gross_rr_1": 0.0, "gross_rr_2": 0.0, "gross_rr_decision": 0.0, "highest_correlation_ticker": "HON", "highest_correlation_value": 0.4177, "initial_action": "SKIP", "market_cap": 28270736188.86,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609.4257, "net_reward_1_per_share": 0.0, "net_reward_2_per_share": 0.0, "net_risk_per_share": 610.5814, "net_rr": 0.0, "net_rr_1": 0.0, "net_rr_2": 0.0, "net_stop_assumption": -1.1557, "net_target_1_assumption": -0.6995, "net_target_2_assumption": -0.6995, "normalized_atr_score": 100.0, "normalized_liquidity_score": 26.82, "normalized_momentum_score": 22.3, "normalized_quality_score": 43.08,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608.27,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608.27, "ticker": "TDY", "timestamp": "2026-06-09T17:37:36", "warnings": ["Target ATR feasibility unavailable."]}</t>
        </is>
      </c>
    </row>
    <row r="430">
      <c r="A430" t="inlineStr">
        <is>
          <t>2026-06-09T17:37:36</t>
        </is>
      </c>
      <c r="B430" t="inlineStr">
        <is>
          <t>RTX</t>
        </is>
      </c>
      <c r="C430" t="inlineStr">
        <is>
          <t>No Trade</t>
        </is>
      </c>
      <c r="D430" t="n">
        <v>0</v>
      </c>
      <c r="E430" t="n">
        <v>181.1</v>
      </c>
      <c r="H430" t="n">
        <v>0</v>
      </c>
      <c r="K430" t="n">
        <v>0</v>
      </c>
      <c r="L430" t="inlineStr">
        <is>
          <t>No clean technical setup detected. Price in middle of value area or poor risk/reward.</t>
        </is>
      </c>
      <c r="M430" t="inlineStr">
        <is>
          <t>SKIP</t>
        </is>
      </c>
      <c r="N430" t="inlineStr">
        <is>
          <t>SKIP: No Trade result. Market regime NEUTRAL; sector NEUTRAL; net R/R 0.00.</t>
        </is>
      </c>
      <c r="O430" t="inlineStr">
        <is>
          <t>RTX
No Trade
0.00
score
Price
181.10
R/R
0.00x
Grade
No Trade
Quality
0%
Buy Zone
-
Stop
0.00
Targets
-
Skip
Mixed
Relative Strength
Leadership
100%
Trend Quality
Messy
28%
Liquidity
Institutional liquidity
100%
Volume
Neutral
65%
No actionable setup detected.
No clean technical setup detected. Price in middle of value area or poor risk/reward.
Fib 61.8
174.46
Fib Zone
173.40 - 175.52
Swing Low
170.07
Swing High
181.55
Click chart to open full size</t>
        </is>
      </c>
      <c r="P430" t="inlineStr">
        <is>
          <t>agent_results/charts/market_lens_agent_20260609_173202_rtx.png</t>
        </is>
      </c>
      <c r="Q430" t="inlineStr">
        <is>
          <t>Smart Universe: broad liquid US universe, diversified by sector | Sector: Industrials - Neutral (68/100); XLI sector regime is neutral: 3.0% 3m return, -5.6% vs SPY | Setup: No Trade; score 0.00; R/R 0.00x; price 181.10 | Market: NEUTRAL; Sector regime: NEUTRAL; Net R/R: 0.00; Factors: Industrials | Agent action: SKIP - SKIP: No Trade result. Market regime NEUTRAL; sector NEUTRAL; net R/R 0.00.</t>
        </is>
      </c>
      <c r="R430" t="inlineStr">
        <is>
          <t>{"adjusted_cash_out": 0.0, "adjusted_position_size": 0, "adjusted_risk_amount": 0.0, "ask": 0.0, "bid": 0.0, "buy_zone_high": null, "buy_zone_low": null, "cash_available": 93936.04, "company_name": "RTX Corporation", "correlation_warning": false, "days_to_earnings": 30, "earnings_blackout": false, "earnings_date": "2026-07-21T00:00:00", "estimated_fees": 0.0, "estimated_slippage": 0.2535, "estimated_spread": 0.0543, "executable_entry": 181.1,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181.1, "gross_rr": 0.0, "gross_rr_1": 0.0, "gross_rr_2": 0.0, "gross_rr_decision": 0.0, "highest_correlation_ticker": "HON", "highest_correlation_value": 0.4616, "initial_action": "SKIP", "market_cap": 244261446746.24,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181.2539, "net_reward_1_per_share": 0.0, "net_reward_2_per_share": 0.0, "net_risk_per_share": 181.4079, "net_rr": 0.0, "net_rr_1": 0.0, "net_rr_2": 0.0, "net_stop_assumption": -0.1539, "net_target_1_assumption": -0.0905, "net_target_2_assumption": -0.0905, "normalized_atr_score": 100.0, "normalized_liquidity_score": 35.12, "normalized_momentum_score": 9.52, "normalized_quality_score": 39.82,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181.1,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181.1, "ticker": "RTX", "timestamp": "2026-06-09T17:37:36", "warnings": ["Target ATR feasibility unavailable."]}</t>
        </is>
      </c>
    </row>
    <row r="431">
      <c r="A431" t="inlineStr">
        <is>
          <t>2026-06-09T17:37:36</t>
        </is>
      </c>
      <c r="B431" t="inlineStr">
        <is>
          <t>LMT</t>
        </is>
      </c>
      <c r="C431" t="inlineStr">
        <is>
          <t>No Trade</t>
        </is>
      </c>
      <c r="D431" t="n">
        <v>0</v>
      </c>
      <c r="E431" t="n">
        <v>525.67</v>
      </c>
      <c r="H431" t="n">
        <v>0</v>
      </c>
      <c r="K431" t="n">
        <v>0</v>
      </c>
      <c r="L431" t="inlineStr">
        <is>
          <t>No clean technical setup detected. Price in middle of value area or poor risk/reward.</t>
        </is>
      </c>
      <c r="M431" t="inlineStr">
        <is>
          <t>SKIP</t>
        </is>
      </c>
      <c r="N431" t="inlineStr">
        <is>
          <t>SKIP: No Trade result. Market regime NEUTRAL; sector NEUTRAL; net R/R 0.00.</t>
        </is>
      </c>
      <c r="O431" t="inlineStr">
        <is>
          <t>LMT
No Trade
0.00
score
Price
525.67
R/R
0.00x
Grade
No Trade
Quality
0%
Buy Zone
-
Stop
0.00
Targets
-
Skip
Mixed
Relative Strength
Leadership
100%
Trend Quality
Messy
28%
Liquidity
Institutional liquidity
100%
Volume
Distribution risk
30%
No actionable setup detected.
No clean technical setup detected. Price in middle of value area or poor risk/reward.
Fib 61.8
512.58
Fib Zone
509.84 - 515.32
Swing Low
497.06
Swing High
537.69
Click chart to open full size</t>
        </is>
      </c>
      <c r="P431" t="inlineStr">
        <is>
          <t>agent_results/charts/market_lens_agent_20260609_173202_lmt.png</t>
        </is>
      </c>
      <c r="Q431" t="inlineStr">
        <is>
          <t>Smart Universe: broad liquid US universe, diversified by sector | Sector: Industrials - Neutral (68/100); XLI sector regime is neutral: 3.0% 3m return, -5.6% vs SPY | Setup: No Trade; score 0.00; R/R 0.00x; price 525.67 | Market: NEUTRAL; Sector regime: NEUTRAL; Net R/R: 0.00; Factors: Industrials | Agent action: SKIP - SKIP: No Trade result. Market regime NEUTRAL; sector NEUTRAL; net R/R 0.00.</t>
        </is>
      </c>
      <c r="R431" t="inlineStr">
        <is>
          <t>{"adjusted_cash_out": 0.0, "adjusted_position_size": 0, "adjusted_risk_amount": 0.0, "ask": 0.0, "bid": 0.0, "buy_zone_high": null, "buy_zone_low": null, "cash_available": 93936.04, "company_name": "Lockheed Martin Corporation", "correlation_warning": false, "days_to_earnings": 30, "earnings_blackout": false, "earnings_date": "2026-07-21T00:00:00", "estimated_fees": 0.0, "estimated_slippage": 0.7359, "estimated_spread": 0.1577, "executable_entry": 525.67,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525.67, "gross_rr": 0.0, "gross_rr_1": 0.0, "gross_rr_2": 0.0, "gross_rr_decision": 0.0, "highest_correlation_ticker": "HON", "highest_correlation_value": 0.2617, "initial_action": "SKIP", "market_cap": 121087393960.74,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526.1168, "net_reward_1_per_share": 0.0, "net_reward_2_per_share": 0.0, "net_risk_per_share": 526.5636, "net_rr": 0.0, "net_rr_1": 0.0, "net_rr_2": 0.0, "net_stop_assumption": -0.4468, "net_target_1_assumption": -0.2628, "net_target_2_assumption": -0.2628, "normalized_atr_score": 100.0, "normalized_liquidity_score": 52.02, "normalized_momentum_score": 0, "normalized_quality_score": 40.61,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525.67,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525.67, "ticker": "LMT", "timestamp": "2026-06-09T17:37:36", "warnings": ["Target ATR feasibility unavailable."]}</t>
        </is>
      </c>
    </row>
    <row r="432">
      <c r="A432" t="inlineStr">
        <is>
          <t>2026-06-09T17:37:36</t>
        </is>
      </c>
      <c r="B432" t="inlineStr">
        <is>
          <t>ISRG</t>
        </is>
      </c>
      <c r="C432" t="inlineStr">
        <is>
          <t>No Trade</t>
        </is>
      </c>
      <c r="D432" t="n">
        <v>0</v>
      </c>
      <c r="E432" t="n">
        <v>423.79</v>
      </c>
      <c r="H432" t="n">
        <v>0</v>
      </c>
      <c r="K432" t="n">
        <v>0</v>
      </c>
      <c r="L432" t="inlineStr">
        <is>
          <t>No clean technical setup detected. Price in middle of value area or poor risk/reward.</t>
        </is>
      </c>
      <c r="M432" t="inlineStr">
        <is>
          <t>SKIP</t>
        </is>
      </c>
      <c r="N432" t="inlineStr">
        <is>
          <t>SKIP: No Trade result. Market regime NEUTRAL; sector STRONG; net R/R 0.00.</t>
        </is>
      </c>
      <c r="O432" t="inlineStr">
        <is>
          <t>ISRG
No Trade
0.00
score
Price
423.79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429.98
Fib Zone
426.80 - 433.15
Swing Low
417.74
Swing High
449.77
Click chart to open full size</t>
        </is>
      </c>
      <c r="P432" t="inlineStr">
        <is>
          <t>agent_results/charts/market_lens_agent_20260609_173202_isrg.png</t>
        </is>
      </c>
      <c r="Q432" t="inlineStr">
        <is>
          <t>Smart Universe: broad liquid US universe, diversified by sector | Sector: Healthcare - Strong (69/100); XLV sector regime is strong: 1.4% 3m return, -7.2% vs SPY | Setup: No Trade; score 0.00; R/R 0.00x; price 423.79 | Market: NEUTRAL; Sector regime: STRONG; Net R/R: 0.00; Factors: Defensive, Healthcare | Agent action: SKIP - SKIP: No Trade result. Market regime NEUTRAL; sector STRONG; net R/R 0.00.</t>
        </is>
      </c>
      <c r="R432" t="inlineStr">
        <is>
          <t>{"adjusted_cash_out": 0.0, "adjusted_position_size": 0, "adjusted_risk_amount": 0.0, "ask": 0.0, "bid": 0.0, "buy_zone_high": null, "buy_zone_low": null, "cash_available": 93936.04, "company_name": "Intuitive Surgical, Inc.", "correlation_warning": false, "days_to_earnings": 30, "earnings_blackout": false, "earnings_date": "2026-07-21T00:00:00", "estimated_fees": 0.0, "estimated_slippage": 0.5933, "estimated_spread": 0.1271, "executable_entry": 423.79, "execution_liquidity_bucket": "large_liquid", "factor_exposure_after": {"Industrials": 5789.34}, "factor_exposure_before": {"Industrials": 5789.34}, "factor_exposure_cap": 7000.0, "factor_exposure_limit_exceeded": false, "factor_tags": ["Defensive", "Healthcare"], "final_action": "SKIP", "gross_reward_1_per_share": 0.0, "gross_reward_2_per_share": 0.0, "gross_risk_per_share": 423.79, "gross_rr": 0.0, "gross_rr_1": 0.0, "gross_rr_2": 0.0, "gross_rr_decision": 0.0, "highest_correlation_ticker": "HON", "highest_correlation_value": 0.078, "initial_action": "SKIP", "market_cap": 150497958944.14,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424.1502, "net_reward_1_per_share": 0.0, "net_reward_2_per_share": 0.0, "net_risk_per_share": 424.5104, "net_rr": 0.0, "net_rr_1": 0.0, "net_rr_2": 0.0, "net_stop_assumption": -0.3602, "net_target_1_assumption": -0.2119, "net_target_2_assumption": -0.2119, "normalized_atr_score": 100.0, "normalized_liquidity_score": 67.03, "normalized_momentum_score": 7.57, "normalized_quality_score": 48.52,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423.79,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68.88, "setup_score": 0.0, "setup_type": "No Trade", "sizing_adjustment_reason": "", "spread_source": "liquidity_fallback", "stock_score": 0.0, "stop_loss": 0.0, "target_1": null, "target_1_atr_distance": 0.0, "target_2": null, "target_2_atr_distance": 0.0, "target_feasibility_status": "UNKNOWN", "theoretical_entry": 423.79, "ticker": "ISRG", "timestamp": "2026-06-09T17:37:36", "warnings": ["Target ATR feasibility unavailable."]}</t>
        </is>
      </c>
    </row>
    <row r="433">
      <c r="A433" t="inlineStr">
        <is>
          <t>2026-06-09T17:37:36</t>
        </is>
      </c>
      <c r="B433" t="inlineStr">
        <is>
          <t>ICE</t>
        </is>
      </c>
      <c r="C433" t="inlineStr">
        <is>
          <t>No Trade</t>
        </is>
      </c>
      <c r="D433" t="n">
        <v>0</v>
      </c>
      <c r="E433" t="n">
        <v>141.14</v>
      </c>
      <c r="H433" t="n">
        <v>0</v>
      </c>
      <c r="K433" t="n">
        <v>0</v>
      </c>
      <c r="L433" t="inlineStr">
        <is>
          <t>No clean technical setup detected. Price in middle of value area or poor risk/reward.</t>
        </is>
      </c>
      <c r="M433" t="inlineStr">
        <is>
          <t>SKIP</t>
        </is>
      </c>
      <c r="N433" t="inlineStr">
        <is>
          <t>SKIP: No Trade result. Market regime NEUTRAL; sector STRONG; net R/R 0.00.</t>
        </is>
      </c>
      <c r="O433" t="inlineStr">
        <is>
          <t>ICE
No Trade
0.00
score
Price
141.14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158.42
Fib Zone
157.41 - 159.43
Swing Low
152.38
Swing High
168.20
Click chart to open full size</t>
        </is>
      </c>
      <c r="P433" t="inlineStr">
        <is>
          <t>agent_results/charts/market_lens_agent_20260609_173202_ice.png</t>
        </is>
      </c>
      <c r="Q433" t="inlineStr">
        <is>
          <t>Smart Universe: broad liquid US universe, diversified by sector | Sector: Financials - Strong (72/100); XLF sector regime is strong: 5.9% 3m return, -2.7% vs SPY | Setup: No Trade; score 0.00; R/R 0.00x; price 141.14 | Market: NEUTRAL; Sector regime: STRONG; Net R/R: 0.00; Factors: Financials | Agent action: SKIP - SKIP: No Trade result. Market regime NEUTRAL; sector STRONG; net R/R 0.00.</t>
        </is>
      </c>
      <c r="R433" t="inlineStr">
        <is>
          <t>{"adjusted_cash_out": 0.0, "adjusted_position_size": 0, "adjusted_risk_amount": 0.0, "ask": 0.0, "bid": 0.0, "buy_zone_high": null, "buy_zone_low": null, "cash_available": 93936.04, "company_name": "Intercontinental Exchange, Inc.", "correlation_warning": false, "days_to_earnings": 37, "earnings_blackout": false, "earnings_date": "2026-07-30T00:00:00", "estimated_fees": 0.0, "estimated_slippage": 0.1976, "estimated_spread": 0.0423, "executable_entry": 141.14, "execution_liquidity_bucket": "large_liquid", "factor_exposure_after": {"Industrials": 5789.34}, "factor_exposure_before": {"Industrials": 5789.34}, "factor_exposure_cap": 7000.0, "factor_exposure_limit_exceeded": false, "factor_tags": ["Financials"], "final_action": "SKIP", "gross_reward_1_per_share": 0.0, "gross_reward_2_per_share": 0.0, "gross_risk_per_share": 141.14, "gross_rr": 0.0, "gross_rr_1": 0.0, "gross_rr_2": 0.0, "gross_rr_decision": 0.0, "highest_correlation_ticker": "HON", "highest_correlation_value": 0.0609, "initial_action": "SKIP", "market_cap": 79771191164.05,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141.26, "net_reward_1_per_share": 0.0, "net_reward_2_per_share": 0.0, "net_risk_per_share": 141.3799, "net_rr": 0.0, "net_rr_1": 0.0, "net_rr_2": 0.0, "net_stop_assumption": -0.12, "net_target_1_assumption": -0.0706, "net_target_2_assumption": -0.0706, "normalized_atr_score": 100.0, "normalized_liquidity_score": 53.02, "normalized_momentum_score": 1.41, "normalized_quality_score": 41.54,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141.14,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0.0, "setup_type": "No Trade", "sizing_adjustment_reason": "", "spread_source": "liquidity_fallback", "stock_score": 0.0, "stop_loss": 0.0, "target_1": null, "target_1_atr_distance": 0.0, "target_2": null, "target_2_atr_distance": 0.0, "target_feasibility_status": "UNKNOWN", "theoretical_entry": 141.14, "ticker": "ICE", "timestamp": "2026-06-09T17:37:36", "warnings": ["Target ATR feasibility unavailable."]}</t>
        </is>
      </c>
    </row>
    <row r="434">
      <c r="A434" t="inlineStr">
        <is>
          <t>2026-06-09T17:37:36</t>
        </is>
      </c>
      <c r="B434" t="inlineStr">
        <is>
          <t>ACI</t>
        </is>
      </c>
      <c r="C434" t="inlineStr">
        <is>
          <t>No Trade</t>
        </is>
      </c>
      <c r="D434" t="n">
        <v>0</v>
      </c>
      <c r="E434" t="n">
        <v>15.93</v>
      </c>
      <c r="H434" t="n">
        <v>0</v>
      </c>
      <c r="K434" t="n">
        <v>0</v>
      </c>
      <c r="L434" t="inlineStr">
        <is>
          <t>No clean technical setup detected. Price in middle of value area or poor risk/reward.</t>
        </is>
      </c>
      <c r="M434" t="inlineStr">
        <is>
          <t>SKIP</t>
        </is>
      </c>
      <c r="N434" t="inlineStr">
        <is>
          <t>SKIP: No Trade result. Market regime NEUTRAL; sector NEUTRAL; net R/R 0.00.</t>
        </is>
      </c>
      <c r="O434" t="inlineStr">
        <is>
          <t>ACI
No Trade
0.00
score
Price
15.93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16.36
Fib Zone
16.25 - 16.48
Swing Low
15.55
Swing High
17.68
Click chart to open full size</t>
        </is>
      </c>
      <c r="P434" t="inlineStr">
        <is>
          <t>agent_results/charts/market_lens_agent_20260609_173202_aci.png</t>
        </is>
      </c>
      <c r="Q434" t="inlineStr">
        <is>
          <t>Smart Universe: broad liquid US universe, diversified by sector | Sector: Consumer Defensive - Neutral (44/100); XLP sector regime is neutral: -0.3% 3m return, -8.9% vs SPY | Setup: No Trade; score 0.00; R/R 0.00x; price 15.93 | Market: NEUTRAL; Sector regime: NEUTRAL; Net R/R: 0.00; Factors: Consumer Defensive, Defensive, Low Volatility | Agent action: SKIP - SKIP: No Trade result. Market regime NEUTRAL; sector NEUTRAL; net R/R 0.00.</t>
        </is>
      </c>
      <c r="R434" t="inlineStr">
        <is>
          <t>{"adjusted_cash_out": 0.0, "adjusted_position_size": 0, "adjusted_risk_amount": 0.0, "ask": 0.0, "bid": 0.0, "buy_zone_high": null, "buy_zone_low": null, "cash_available": 93936.04, "company_name": "Albertsons Companies Inc.", "correlation_warning": false, "days_to_earnings": -40, "earnings_blackout": false, "earnings_date": "2026-04-14T00:00:00", "estimated_fees": 0.0, "estimated_slippage": 0.0478, "estimated_spread": 0.0127, "executable_entry": 15.93, "execution_liquidity_bucket": "mid_liquid", "factor_exposure_after": {"Industrials": 5789.34}, "factor_exposure_before": {"Industrials": 5789.34}, "factor_exposure_cap": 7000.0, "factor_exposure_limit_exceeded": false, "factor_tags": ["Consumer Defensive", "Defensive", "Low Volatility"], "final_action": "SKIP", "gross_reward_1_per_share": 0.0, "gross_reward_2_per_share": 0.0, "gross_risk_per_share": 15.93, "gross_rr": 0.0, "gross_rr_1": 0.0, "gross_rr_2": 0.0, "gross_rr_decision": 0.0, "highest_correlation_ticker": "HON", "highest_correlation_value": -0.1933, "initial_action": "SKIP", "market_cap": 7838377434.35, "market_cap_bucket": "Mid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15.9603, "net_reward_1_per_share": 0.0, "net_reward_2_per_share": 0.0, "net_risk_per_share": 15.9905, "net_rr": 0.0, "net_rr_1": 0.0, "net_rr_2": 0.0, "net_stop_assumption": -0.0303, "net_target_1_assumption": -0.0183, "net_target_2_assumption": -0.0183, "normalized_atr_score": 100.0, "normalized_liquidity_score": 35.86, "normalized_momentum_score": 42.26, "normalized_quality_score": 54.77,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15.93,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43.89, "setup_score": 0.0, "setup_type": "No Trade", "sizing_adjustment_reason": "", "spread_source": "liquidity_fallback", "stock_score": 0.0, "stop_loss": 0.0, "target_1": null, "target_1_atr_distance": 0.0, "target_2": null, "target_2_atr_distance": 0.0, "target_feasibility_status": "UNKNOWN", "theoretical_entry": 15.93, "ticker": "ACI", "timestamp": "2026-06-09T17:37:36", "warnings": ["Target ATR feasibility unavailable."]}</t>
        </is>
      </c>
    </row>
    <row r="435">
      <c r="A435" t="inlineStr">
        <is>
          <t>2026-06-09T17:37:36</t>
        </is>
      </c>
      <c r="B435" t="inlineStr">
        <is>
          <t>TXN</t>
        </is>
      </c>
      <c r="C435" t="inlineStr">
        <is>
          <t>No Trade</t>
        </is>
      </c>
      <c r="D435" t="n">
        <v>0</v>
      </c>
      <c r="E435" t="n">
        <v>282.1</v>
      </c>
      <c r="H435" t="n">
        <v>0</v>
      </c>
      <c r="K435" t="n">
        <v>0</v>
      </c>
      <c r="L435" t="inlineStr">
        <is>
          <t>No clean technical setup detected. Price in middle of value area or poor risk/reward.</t>
        </is>
      </c>
      <c r="M435" t="inlineStr">
        <is>
          <t>SKIP</t>
        </is>
      </c>
      <c r="N435" t="inlineStr">
        <is>
          <t>SKIP: No Trade result. Market regime NEUTRAL; sector STRONG; net R/R 0.00.</t>
        </is>
      </c>
      <c r="O435" t="inlineStr">
        <is>
          <t>TXN
No Trade
0.00
score
Price
282.10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219.86 - 226.37
Swing Low
184.01
Swing High
286.37
Click chart to open full size</t>
        </is>
      </c>
      <c r="P435" t="inlineStr">
        <is>
          <t>agent_results/charts/market_lens_agent_20260609_173202_txn.png</t>
        </is>
      </c>
      <c r="Q435" t="inlineStr">
        <is>
          <t>Smart Universe: broad liquid US universe, diversified by sector | Sector: Technology - Strong (73/100); XLK sector regime is strong: 27.1% 3m return, 18.5% vs SPY | Setup: No Trade; score 0.00; R/R 0.00x; price 282.10 | Market: NEUTRAL; Sector regime: STRONG; Net R/R: 0.00; Factors: AI / Semiconductors, Technology | Agent action: SKIP - SKIP: No Trade result. Market regime NEUTRAL; sector STRONG; net R/R 0.00.</t>
        </is>
      </c>
      <c r="R435" t="inlineStr">
        <is>
          <t>{"adjusted_cash_out": 0.0, "adjusted_position_size": 0, "adjusted_risk_amount": 0.0, "ask": 0.0, "bid": 0.0, "buy_zone_high": null, "buy_zone_low": null, "cash_available": 93936.04, "company_name": "Texas Instruments Incorporated", "correlation_warning": false, "days_to_earnings": 31, "earnings_blackout": false, "earnings_date": "2026-07-22T00:00:00", "estimated_fees": 0.0, "estimated_slippage": 0.3949, "estimated_spread": 0.0846, "executable_entry": 282.1, "execution_liquidity_bucket": "large_liquid", "factor_exposure_after": {"Industrials": 5789.34}, "factor_exposure_before": {"Industrials": 5789.34}, "factor_exposure_cap": 7000.0, "factor_exposure_limit_exceeded": false, "factor_tags": ["AI / Semiconductors", "Technology"], "final_action": "SKIP", "gross_reward_1_per_share": 0.0, "gross_reward_2_per_share": 0.0, "gross_risk_per_share": 282.1, "gross_rr": 0.0, "gross_rr_1": 0.0, "gross_rr_2": 0.0, "gross_rr_decision": 0.0, "highest_correlation_ticker": "HON", "highest_correlation_value": 0.1072, "initial_action": "SKIP", "market_cap": 257774673235.22,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282.3398, "net_reward_1_per_share": 0.0, "net_reward_2_per_share": 0.0, "net_risk_per_share": 282.5796, "net_rr": 0.0, "net_rr_1": 0.0, "net_rr_2": 0.0, "net_stop_assumption": -0.2398, "net_target_1_assumption": -0.1411, "net_target_2_assumption": -0.1411, "normalized_atr_score": 100.0, "normalized_liquidity_score": 57.19, "normalized_momentum_score": 100, "normalized_quality_score": 87.16,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282.1,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282.1, "ticker": "TXN", "timestamp": "2026-06-09T17:37:36", "warnings": ["Target ATR feasibility unavailable."]}</t>
        </is>
      </c>
    </row>
    <row r="436">
      <c r="A436" t="inlineStr">
        <is>
          <t>2026-06-09T17:37:36</t>
        </is>
      </c>
      <c r="B436" t="inlineStr">
        <is>
          <t>AMD</t>
        </is>
      </c>
      <c r="C436" t="inlineStr">
        <is>
          <t>No Trade</t>
        </is>
      </c>
      <c r="D436" t="n">
        <v>0</v>
      </c>
      <c r="E436" t="n">
        <v>457.9</v>
      </c>
      <c r="H436" t="n">
        <v>0</v>
      </c>
      <c r="K436" t="n">
        <v>0</v>
      </c>
      <c r="L436" t="inlineStr">
        <is>
          <t>No clean technical setup detected. Price in middle of value area or poor risk/reward.</t>
        </is>
      </c>
      <c r="M436" t="inlineStr">
        <is>
          <t>SKIP</t>
        </is>
      </c>
      <c r="N436" t="inlineStr">
        <is>
          <t>SKIP: No Trade result. Market regime NEUTRAL; sector STRONG; net R/R 0.00.</t>
        </is>
      </c>
      <c r="O436" t="inlineStr">
        <is>
          <t>AMD
No Trade
0.00
score
Price
457.90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298.44
Fib Zone
290.42 - 306.45
Swing Low
192.87
Swing High
469.22
Click chart to open full size</t>
        </is>
      </c>
      <c r="P436" t="inlineStr">
        <is>
          <t>agent_results/charts/market_lens_agent_20260609_173202_amd.png</t>
        </is>
      </c>
      <c r="Q436" t="inlineStr">
        <is>
          <t>Smart Universe: broad liquid US universe, diversified by sector | Sector: Technology - Strong (73/100); XLK sector regime is strong: 27.1% 3m return, 18.5% vs SPY | Setup: No Trade; score 0.00; R/R 0.00x; price 457.90 | Market: NEUTRAL; Sector regime: STRONG; Net R/R: 0.00; Factors: AI / Semiconductors, High Beta Growth, Technology | Agent action: SKIP - SKIP: No Trade result. Market regime NEUTRAL; sector STRONG; net R/R 0.00.</t>
        </is>
      </c>
      <c r="R436" t="inlineStr">
        <is>
          <t>{"adjusted_cash_out": 0.0, "adjusted_position_size": 0, "adjusted_risk_amount": 0.0, "ask": 0.0, "bid": 0.0, "buy_zone_high": null, "buy_zone_low": null, "cash_available": 93936.04, "company_name": "Advanced Micro Devices, Inc.", "correlation_warning": false, "days_to_earnings": 40, "earnings_blackout": false, "earnings_date": "2026-08-04T00:00:00", "estimated_fees": 0.0, "estimated_slippage": 0.7372, "estimated_spread": 0.1374, "executable_entry": 457.9, "execution_liquidity_bucket": "large_liquid", "factor_exposure_after": {"Industrials": 5789.34}, "factor_exposure_before": {"Industrials": 5789.34}, "factor_exposure_cap": 7000.0, "factor_exposure_limit_exceeded": false, "factor_tags": ["AI / Semiconductors", "High Beta Growth", "Technology"], "final_action": "SKIP", "gross_reward_1_per_share": 0.0, "gross_reward_2_per_share": 0.0, "gross_risk_per_share": 457.9, "gross_rr": 0.0, "gross_rr_1": 0.0, "gross_rr_2": 0.0, "gross_rr_decision": 0.0, "highest_correlation_ticker": "HON", "highest_correlation_value": 0.1816, "initial_action": "SKIP", "market_cap": 751576468423.15, "market_cap_bucket": "Mega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2.2, "net_entry": 458.3373, "net_reward_1_per_share": 0.0, "net_reward_2_per_share": 0.0, "net_risk_per_share": 458.7746, "net_rr": 0.0, "net_rr_1": 0.0, "net_rr_2": 0.0, "net_stop_assumption": -0.4373, "net_target_1_assumption": -0.253, "net_target_2_assumption": -0.253, "normalized_atr_score": 77.53, "normalized_liquidity_score": 100, "normalized_momentum_score": 100, "normalized_quality_score": 94.38,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457.9,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73.11, "setup_score": 0.0, "setup_type": "No Trade", "sizing_adjustment_reason": "", "spread_source": "liquidity_fallback", "stock_score": 0.0, "stop_loss": 0.0, "target_1": null, "target_1_atr_distance": 0.0, "target_2": null, "target_2_atr_distance": 0.0, "target_feasibility_status": "UNKNOWN", "theoretical_entry": 457.9, "ticker": "AMD", "timestamp": "2026-06-09T17:37:36", "warnings": ["Target ATR feasibility unavailable."]}</t>
        </is>
      </c>
    </row>
    <row r="437">
      <c r="A437" t="inlineStr">
        <is>
          <t>2026-06-09T17:37:36</t>
        </is>
      </c>
      <c r="B437" t="inlineStr">
        <is>
          <t>PH</t>
        </is>
      </c>
      <c r="C437" t="inlineStr">
        <is>
          <t>No Trade</t>
        </is>
      </c>
      <c r="D437" t="n">
        <v>0</v>
      </c>
      <c r="E437" t="n">
        <v>891.8099999999999</v>
      </c>
      <c r="H437" t="n">
        <v>0</v>
      </c>
      <c r="K437" t="n">
        <v>0</v>
      </c>
      <c r="L437" t="inlineStr">
        <is>
          <t>No clean technical setup detected. Price in middle of value area or poor risk/reward.</t>
        </is>
      </c>
      <c r="M437" t="inlineStr">
        <is>
          <t>SKIP</t>
        </is>
      </c>
      <c r="N437" t="inlineStr">
        <is>
          <t>SKIP: No Trade result. Market regime NEUTRAL; sector NEUTRAL; net R/R 0.00.</t>
        </is>
      </c>
      <c r="O437" t="inlineStr">
        <is>
          <t>PH
No Trade
0.00
score
Price
891.81
R/R
0.00x
Grade
No Trade
Quality
0%
Buy Zone
-
Stop
0.00
Targets
-
Skip
Mixed
Relative Strength
Leadership
100%
Trend Quality
Messy
18%
Liquidity
Institutional liquidity
100%
Volume
Neutral
65%
No actionable setup detected.
No clean technical setup detected. Price in middle of value area or poor risk/reward.
Fib 61.8
921.68
Fib Zone
916.05 - 927.32
Swing Low
856.78
Swing High
1026.68
Click chart to open full size</t>
        </is>
      </c>
      <c r="P437" t="inlineStr">
        <is>
          <t>agent_results/charts/market_lens_agent_20260609_173202_ph.png</t>
        </is>
      </c>
      <c r="Q437" t="inlineStr">
        <is>
          <t>Smart Universe: broad liquid US universe, diversified by sector | Sector: Industrials - Neutral (68/100); XLI sector regime is neutral: 3.0% 3m return, -5.6% vs SPY | Setup: No Trade; score 0.00; R/R 0.00x; price 891.81 | Market: NEUTRAL; Sector regime: NEUTRAL; Net R/R: 0.00; Factors: Industrials | Agent action: SKIP - SKIP: No Trade result. Market regime NEUTRAL; sector NEUTRAL; net R/R 0.00.</t>
        </is>
      </c>
      <c r="R437" t="inlineStr">
        <is>
          <t>{"adjusted_cash_out": 0.0, "adjusted_position_size": 0, "adjusted_risk_amount": 0.0, "ask": 0.0, "bid": 0.0, "buy_zone_high": null, "buy_zone_low": null, "cash_available": 93936.04, "company_name": "Parker Hannifin Corporation", "correlation_warning": false, "days_to_earnings": 42, "earnings_blackout": false, "earnings_date": "2026-08-06T00:00:00", "estimated_fees": 0.0, "estimated_slippage": 1.2485, "estimated_spread": 0.2675, "executable_entry": 891.81, "execution_liquidity_bucket": "large_liquid", "factor_exposure_after": {"Industrials": 5789.34}, "factor_exposure_before": {"Industrials": 5789.34}, "factor_exposure_cap": 7000.0, "factor_exposure_limit_exceeded": false, "factor_tags": ["Industrials"], "final_action": "SKIP", "gross_reward_1_per_share": 0.0, "gross_reward_2_per_share": 0.0, "gross_risk_per_share": 891.81, "gross_rr": 0.0, "gross_rr_1": 0.0, "gross_rr_2": 0.0, "gross_rr_decision": 0.0, "highest_correlation_ticker": "HON", "highest_correlation_value": 0.346, "initial_action": "SKIP", "market_cap": 112607750937.62,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"UNKNOWN", "minimum_net_rr_required": 2.5, "net_entry": 892.568, "net_reward_1_per_share": 0.0, "net_reward_2_per_share": 0.0, "net_risk_per_share": 893.3261, "net_rr": 0.0, "net_rr_1": 0.0, "net_rr_2": 0.0, "net_stop_assumption": -0.758, "net_target_1_assumption": -0.4459, "net_target_2_assumption": -0.4459, "normalized_atr_score": 100.0, "normalized_liquidity_score": 56.16, "normalized_momentum_score": 37.99, "normalized_quality_score": 58.94, "original_cash_out": 0.0, "original_position_size": 0, "original_risk_amount": 0.0, "portfolio_exposure_after": 5789.34, "portfolio_exposure_before": 5789.34, "position_size": 0, "position_size_adjusted": false, "position_sizing_explanation": "No new position size was calculated because the base decision did not open a simulated buy.", "previous_resistance": 0.0, "price": 891.81,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5789.34, "sector_exposure_before": 5789.34, "sector_exposure_cap": 6000.0, "sector_exposure_limit_exceeded": false, "sector_regime": "NEUTRAL", "sector_score": 67.73, "setup_score": 0.0, "setup_type": "No Trade", "sizing_adjustment_reason": "", "spread_source": "liquidity_fallback", "stock_score": 0.0, "stop_loss": 0.0, "target_1": null, "target_1_atr_distance": 0.0, "target_2": null, "target_2_atr_distance": 0.0, "target_feasibility_status": "UNKNOWN", "theoretical_entry": 891.81, "ticker": "PH", "timestamp": "2026-06-09T17:37:36", "warnings": ["Target ATR feasibility unavailable."]}</t>
        </is>
      </c>
    </row>
    <row r="438">
      <c r="A438" t="inlineStr">
        <is>
          <t>2026-06-09T18:19:46</t>
        </is>
      </c>
      <c r="B438" t="inlineStr">
        <is>
          <t>HON</t>
        </is>
      </c>
      <c r="C438" t="inlineStr">
        <is>
          <t>Breakout + Retest</t>
        </is>
      </c>
      <c r="D438" t="n">
        <v>0.48</v>
      </c>
      <c r="E438" t="n">
        <v>214.5</v>
      </c>
      <c r="F438" t="n">
        <v>213.65</v>
      </c>
      <c r="G438" t="n">
        <v>219.83</v>
      </c>
      <c r="H438" t="n">
        <v>210.55</v>
      </c>
      <c r="I438" t="n">
        <v>219.83</v>
      </c>
      <c r="J438" t="n">
        <v>239.94</v>
      </c>
      <c r="K438" t="n">
        <v>3.13</v>
      </c>
      <c r="L438" t="inlineStr">
        <is>
          <t>Price (214.50) retesting broken resistance (219.83) as support. Breakout on 2026-05-21 with 1.1× avg volume. Entry at 214.50, stop at 210.55.</t>
        </is>
      </c>
      <c r="M438" t="inlineStr">
        <is>
          <t>HOLD</t>
        </is>
      </c>
      <c r="N438" t="inlineStr">
        <is>
          <t>HOLD: Existing simulated position remains open. NEUTRAL regime recorded.</t>
        </is>
      </c>
      <c r="O438" t="inlineStr">
        <is>
          <t>HON
Breakout + Retest
0.48
score
Price
214.50
R/R
3.13x
Grade
B
Quality
68%
Buy Zone
213.65 - 219.83
Stop
210.55
Targets
219.83 / 239.94
Tradable if trigger confirms
Mixed
Relative Strength
Leadership
81%
Trend Quality
Messy
28%
Liquidity
Institutional liquidity
100%
Volume
Confirmed
80%
Trigger
Close above 215.81 or reclaim of broken resistance.
Invalidation
Exit if price closes below 210.55 or setup support fails.
Trend quality is not clean.
Market regime: Mixed.
Relative strength: Leadership.
Price (214.50) retesting broken resistance (219.83) as support. Breakout on 2026-05-21 with 1.1× avg volume. Entry at 214.50, stop at 210.55.
Fib 61.8
222.36
Fib Zone
220.82 - 223.91
Swing Low
211.50
Swing High
239.94
Save setup
Click chart to open full size</t>
        </is>
      </c>
      <c r="P438" t="inlineStr">
        <is>
          <t>agent_results/charts/market_lens_agent_20260609_181706_hon.png</t>
        </is>
      </c>
      <c r="Q438" t="inlineStr">
        <is>
          <t>Smart Universe: broad liquid US universe, diversified by sector | Sector: Industrials - Neutral (68/100); XLI sector regime is neutral: 3.3% 3m return, -5.6% vs SPY | Setup: Breakout + Retest; score 0.48; R/R 3.13x; price 214.50 | Market: NEUTRAL; Sector regime: NEUTRAL; Net R/R: 2.48; Factors: Industrials | Agent action: HOLD - HOLD: Existing simulated position remains open. NEUTRAL regime recorded.</t>
        </is>
      </c>
      <c r="R438"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0.7293, "estimated_spread": 0.0643, "executable_entry": 214.5, "execution_liquidity_bucket": "large_liquid", "factor_exposure_after": {}, "factor_exposure_before": {}, "factor_exposure_cap": 7000.0, "factor_exposure_limit_exceeded": false, "factor_tags": ["Industrials"], "final_action": "HOLD", "gross_reward_1_per_share": 5.33, "gross_reward_2_per_share": 25.44, "gross_risk_per_share": 3.95, "gross_rr": 3.1313, "gross_rr_1": 1.3494, "gross_rr_2": 6.4405, "gross_rr_decision": 3.1313, "highest_correlation_ticker": "", "highest_correlation_value": null, "initial_action": "HOLD", "market_cap": 136013638125.84,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2.5, "net_entry": 214.8968, "net_reward_1_per_share": 4.7187, "net_reward_2_per_share": 24.8287, "net_risk_per_share": 4.7437, "net_rr": 2.4785, "net_rr_1": 0.9947, "net_rr_2": 5.2341, "net_stop_assumption": 210.1532, "net_target_1_assumption": 219.6155, "net_target_2_assumption": 239.7255, "normalized_atr_score": 100.0, "normalized_liquidity_score": 67.64, "normalized_momentum_score": 16.05, "normalized_quality_score": 52.51,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239.94, "price": 214.5,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"NEUTRAL", "sector_score": 67.94, "setup_score": 0.48, "setup_type": "Breakout + Retest", "sizing_adjustment_reason": "", "spread_source": "liquidity_fallback", "stock_score": 0.48, "stop_loss": 210.55, "target_1": 219.83, "target_1_atr_distance": 0.8617, "target_2": 239.94, "target_2_atr_distance": 4.1126, "target_feasibility_status": "OK", "theoretical_entry": 213.65, "ticker": "HON", "timestamp": "2026-06-09T18:19:46", "warnings": []}</t>
        </is>
      </c>
    </row>
    <row r="439">
      <c r="A439" t="inlineStr">
        <is>
          <t>2026-06-09T18:19:46</t>
        </is>
      </c>
      <c r="B439" t="inlineStr">
        <is>
          <t>ORCL</t>
        </is>
      </c>
      <c r="C439" t="inlineStr">
        <is>
          <t>Fib 61.8 Confluence Buy Zone</t>
        </is>
      </c>
      <c r="D439" t="n">
        <v>0.46</v>
      </c>
      <c r="E439" t="n">
        <v>204</v>
      </c>
      <c r="F439" t="n">
        <v>202.83</v>
      </c>
      <c r="G439" t="n">
        <v>209.36</v>
      </c>
      <c r="H439" t="n">
        <v>192.78</v>
      </c>
      <c r="I439" t="n">
        <v>207.77</v>
      </c>
      <c r="J439" t="n">
        <v>250.25</v>
      </c>
      <c r="K439" t="n">
        <v>1.66</v>
      </c>
      <c r="L439" t="inlineStr">
        <is>
          <t>Price at 61.8% fib retracement (206.09) with confluence at VWAP. Planned entry at zone low 202.83; executable entry 203.99, stop below fib 78.6% at 192.78. Structural confluence: swing low at 178.80 aligns with HVN (175.94).</t>
        </is>
      </c>
      <c r="M439" t="inlineStr">
        <is>
          <t>WATCH</t>
        </is>
      </c>
      <c r="N439" t="inlineStr">
        <is>
          <t>WATCH: Technical setup detected, but weighted risk/reward 1.66 is below minimum 2.00. Market regime NEUTRAL; sector STRONG; net R/R 1.58.</t>
        </is>
      </c>
      <c r="O439" t="inlineStr">
        <is>
          <t>ORCL
Fib 61.8 Confluence Buy Zone
0.46
score
Price
204.00
R/R
1.66x
Grade
B
Quality
76%
Buy Zone
202.83 - 209.36
Stop
192.78
Targets
207.77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203.99, stop below fib 78.6% at 192.78. Structural confluence: swing low at 178.80 aligns with HVN (175.94).
Fib 61.8
206.09
Fib Zone
202.83 - 209.36
Swing Low
178.80
Swing High
250.25
Save setup
Click chart to open full size</t>
        </is>
      </c>
      <c r="P439" t="inlineStr">
        <is>
          <t>agent_results/charts/market_lens_agent_20260609_181706_orcl.png</t>
        </is>
      </c>
      <c r="Q439" t="inlineStr">
        <is>
          <t>Smart Universe: broad liquid US universe, diversified by sector | Sector: Technology - Strong (73/100); XLK sector regime is strong: 27.5% 3m return, 18.6% vs SPY | Setup: Fib 61.8 Confluence Buy Zone; score 0.46; R/R 1.66x; price 204.00 | Market: NEUTRAL; Sector regime: STRONG; Net R/R: 1.58; Factors: Technology | Agent action: WATCH - WATCH: Technical setup detected, but weighted risk/reward 1.66 is below minimum 2.00. Market regime NEUTRAL; sector STRONG; net R/R 1.58.</t>
        </is>
      </c>
      <c r="R439"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0.3284, "estimated_spread": 0.0612, "executable_entry": 204.0, "execution_liquidity_bucket": "large_liquid", "factor_exposure_after": {"Industrials": 5791.5}, "factor_exposure_before": {"Industrials": 5791.5}, "factor_exposure_cap": 7000.0, "factor_exposure_limit_exceeded": false, "factor_tags": ["Technology"], "final_action": "WATCH", "gross_reward_1_per_share": 3.77, "gross_reward_2_per_share": 46.25, "gross_risk_per_share": 11.22, "gross_rr": 1.6611, "gross_rr_1": 0.336, "gross_rr_2": 4.1221, "gross_rr_decision": 1.6611, "highest_correlation_ticker": "HON", "highest_correlation_value": 0.1178, "initial_action": "WATCH", "market_cap": 592005298107.6,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204.1948, "net_reward_1_per_share": 3.4625, "net_reward_2_per_share": 45.9425, "net_risk_per_share": 11.6096, "net_rr": 1.5789, "net_rr_1": 0.2982, "net_rr_2": 3.9573, "net_stop_assumption": 192.5852, "net_target_1_assumption": 207.6573, "net_target_2_assumption": 250.1373, "normalized_atr_score": 83.88, "normalized_liquidity_score": 75.37, "normalized_momentum_score": 100, "normalized_quality_score": 88.58,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250.25, "price": 204.0, "prior_high_20": 250.25, "prior_high_63": 250.25, "reason": "WATCH: Technical setup detected, but weighted risk/reward 1.66 is below minimum 2.00. Market regime NEUTRAL; sector STRONG; net R/R 1.58.",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0.46, "setup_type": "Fib 61.8 Confluence Buy Zone", "sizing_adjustment_reason": "", "spread_source": "liquidity_fallback", "stock_score": 0.46, "stop_loss": 192.78, "target_1": 207.77, "target_1_atr_distance": 0.2885, "target_2": 250.25, "target_2_atr_distance": 3.5396, "target_feasibility_status": "LOW_REWARD_DISTANCE", "theoretical_entry": 202.83, "ticker": "ORCL", "timestamp": "2026-06-09T18:19:46", "warnings": ["Target 1 is close versus daily ATR.", "Earnings blackout active."]}</t>
        </is>
      </c>
    </row>
    <row r="440">
      <c r="A440" t="inlineStr">
        <is>
          <t>2026-06-09T18:19:46</t>
        </is>
      </c>
      <c r="B440" t="inlineStr">
        <is>
          <t>ADBE</t>
        </is>
      </c>
      <c r="C440" t="inlineStr">
        <is>
          <t>Breakout + Retest</t>
        </is>
      </c>
      <c r="D440" t="n">
        <v>0.41</v>
      </c>
      <c r="E440" t="n">
        <v>237.24</v>
      </c>
      <c r="F440" t="n">
        <v>237.01</v>
      </c>
      <c r="G440" t="n">
        <v>247.44</v>
      </c>
      <c r="H440" t="n">
        <v>231.8</v>
      </c>
      <c r="I440" t="n">
        <v>245.26</v>
      </c>
      <c r="J440" t="n">
        <v>275.44</v>
      </c>
      <c r="K440" t="n">
        <v>3.41</v>
      </c>
      <c r="L440" t="inlineStr">
        <is>
          <t>Price (237.24) retesting broken resistance (247.44) as support. Breakout on 2026-04-16 with 1.0× avg volume. Entry at 237.24, stop at 231.80.</t>
        </is>
      </c>
      <c r="M440" t="inlineStr">
        <is>
          <t>SKIP</t>
        </is>
      </c>
      <c r="N440" t="inlineStr">
        <is>
          <t>WATCH: Neutral market requires stronger setup score (0.41 &lt; 0.45).</t>
        </is>
      </c>
      <c r="O440" t="inlineStr">
        <is>
          <t>ADBE
Breakout + Retest
0.41
score
Price
237.24
R/R
3.41x
Grade
B
Quality
71%
Buy Zone
237.01 - 247.44
Stop
231.80
Targets
245.26 / 275.44
Tradable if trigger confirms
Mixed
Relative Strength
Leadership
92%
Trend Quality
Messy
28%
Liquidity
Institutional liquidity
100%
Volume
Confirmed
80%
Trigger
Close above 250.74 or reclaim of broken resistance.
Invalidation
Exit if price closes below 231.80 or setup support fails.
Trend quality is not clean.
Market regime: Mixed.
Relative strength: Leadership.
Price (237.24) retesting broken resistance (247.44) as support. Breakout on 2026-04-16 with 1.0× avg volume. Entry at 237.24, stop at 231.80.
Fib 61.8
251.47
Fib Zone
248.87 - 254.08
Swing Low
236.66
Swing High
275.44
Save setup
Click chart to open full size</t>
        </is>
      </c>
      <c r="P440" t="inlineStr">
        <is>
          <t>agent_results/charts/market_lens_agent_20260609_181706_adbe.png</t>
        </is>
      </c>
      <c r="Q440" t="inlineStr">
        <is>
          <t>Smart Universe: broad liquid US universe, diversified by sector | Sector: Technology - Strong (73/100); XLK sector regime is strong: 27.5% 3m return, 18.6% vs SPY | Setup: Breakout + Retest; score 0.41; R/R 3.41x; price 237.24 | Market: NEUTRAL; Sector regime: STRONG; Net R/R: 2.83; Factors: Technology | Agent action: SKIP - WATCH: Neutral market requires stronger setup score (0.41 &lt; 0.45).</t>
        </is>
      </c>
      <c r="R440" t="inlineStr">
        <is>
          <t>{"adjusted_cash_out": 5931.0, "adjusted_position_size": 25, "adjusted_risk_amount": 136.0, "ask": 0.0, "bid": 0.0, "buy_zone_high": 247.44, "buy_zone_low": 237.01, "cash_available": 93936.04, "company_name": "Adobe Inc.", "correlation_warning": false, "days_to_earnings": 2, "earnings_blackout": true, "earnings_date": "2026-06-11T00:00:00", "estimated_fees": 0.0, "estimated_slippage": 0.8066, "estimated_spread": 0.0712, "executable_entry": 237.24, "execution_liquidity_bucket": "large_liquid", "factor_exposure_after": {"Industrials": 5791.5, "Technology": 5931.0}, "factor_exposure_before": {"Industrials": 5791.5}, "factor_exposure_cap": 7000.0, "factor_exposure_limit_exceeded": false, "factor_tags": ["Technology"], "final_action": "SKIP", "gross_reward_1_per_share": 8.02, "gross_reward_2_per_share": 38.2, "gross_risk_per_share": 5.44, "gross_rr": 3.416, "gross_rr_1": 1.4743, "gross_rr_2": 7.0221, "gross_rr_decision": 3.416, "highest_correlation_ticker": "HON", "highest_correlation_value": -0.069, "initial_action": "BUY_SIMULATED", "market_cap": 96155137753.3,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237.6789, "net_reward_1_per_share": 7.3439, "net_reward_2_per_share": 37.5239, "net_risk_per_share": 6.3178, "net_rr": 2.8344, "net_rr_1": 1.1624, "net_rr_2": 5.9394, "net_stop_assumption": 231.3611, "net_target_1_assumption": 245.0228, "net_target_2_assumption": 275.2028, "normalized_atr_score": 100.0, "normalized_liquidity_score": 73.27, "normalized_momentum_score": 2.75, "normalized_quality_score": 48.22, "original_cash_out": 9964.08, "original_position_size": 42, "original_risk_amount": 228.48, "portfolio_exposure_after": 5796.9, "portfolio_exposure_before": 5796.9, "position_size": 0, "position_size_adjusted": true, "position_sizing_explanation": "Base position sizing produced a candidate trade, but the risk transparency layer blocked the new buy. Candidate size: 25 shares, cash 5931.00, risk 136.00.", "previous_resistance": 275.44, "price": 237.24, "prior_high_20": 275.44, "prior_high_63": 282.4, "reason": "WATCH: Neutral market requires stronger setup score (0.41 &lt; 0.45).", "risk_amount": 0.0, "scan_source": "Smart Universe: broad liquid US universe filtered and diversified by the Market Lens UI.", "sector": "Technology", "sector_etf": "XLK", "sector_exposure_after": 5931.0, "sector_exposure_before": 0.0, "sector_exposure_cap": 6000.0, "sector_exposure_limit_exceeded": false, "sector_regime": "STRONG", "sector_score": 73.44, "setup_score": 0.41, "setup_type": "Breakout + Retest", "sizing_adjustment_reason": "Position size reduced by Technology sector exposure cap (42 -&gt; 25 shares).", "spread_source": "liquidity_fallback", "stock_score": 0.41, "stop_loss": 231.8, "target_1": 245.26, "target_1_atr_distance": 0.7691, "target_2": 275.44, "target_2_atr_distance": 3.6634, "target_feasibility_status": "OK", "theoretical_entry": 237.01, "ticker": "ADBE", "timestamp": "2026-06-09T18:19:46", "warnings": ["Position size reduced by Technology sector exposure cap (42 -&gt; 25 shares).", "Earnings blackout active.", "SKIP: Earnings blackout active."]}</t>
        </is>
      </c>
    </row>
    <row r="441">
      <c r="A441" t="inlineStr">
        <is>
          <t>2026-06-09T18:19:46</t>
        </is>
      </c>
      <c r="B441" t="inlineStr">
        <is>
          <t>V</t>
        </is>
      </c>
      <c r="C441" t="inlineStr">
        <is>
          <t>Fib 61.8 Confluence Buy Zone</t>
        </is>
      </c>
      <c r="D441" t="n">
        <v>0.36</v>
      </c>
      <c r="E441" t="n">
        <v>324.05</v>
      </c>
      <c r="F441" t="n">
        <v>321.24</v>
      </c>
      <c r="G441" t="n">
        <v>324.8</v>
      </c>
      <c r="H441" t="n">
        <v>319</v>
      </c>
      <c r="I441" t="n">
        <v>325.34</v>
      </c>
      <c r="J441" t="n">
        <v>338.49</v>
      </c>
      <c r="K441" t="n">
        <v>1.17</v>
      </c>
      <c r="L441" t="inlineStr">
        <is>
          <t>Price at 61.8% fib retracement (323.02) with confluence at VWAP. Planned entry at zone low 321.24; executable entry 324.05, stop below fib 78.6% at 319.00.</t>
        </is>
      </c>
      <c r="M441" t="inlineStr">
        <is>
          <t>WATCH</t>
        </is>
      </c>
      <c r="N441" t="inlineStr">
        <is>
          <t>WATCH: Technical setup detected, but weighted risk/reward 1.17 is below minimum 2.00. Market regime NEUTRAL; sector STRONG; net R/R 0.97.</t>
        </is>
      </c>
      <c r="O441" t="inlineStr">
        <is>
          <t>V
Fib 61.8 Confluence Buy Zone
0.36
score
Price
324.05
R/R
1.17x
Grade
C
Quality
55%
Buy Zone
321.24 - 324.80
Stop
319.00
Targets
325.34 / 338.49
Watch only; needs confirmation
Mixed
Relative Strength
Lagging
45%
Trend Quality
Constructive
58%
Liquidity
Institutional liquidity
100%
Volume
Distribution risk
30%
Trigger
Break above prior-day high at 324.05 after holding buy zone.
Invalidation
Exit if price closes below 319.00 or setup support fails.
Ticker is lagging major indices.
Recent volume shows distribution risk.
Market regime: Mixed.
Price at 61.8% fib retracement (323.02) with confluence at VWAP. Planned entry at zone low 321.24; executable entry 324.05, stop below fib 78.6% at 319.00.
Fib 61.8
323.02
Fib Zone
321.24 - 324.80
Swing Low
315.51
Swing High
335.17
Save setup
Click chart to open full size</t>
        </is>
      </c>
      <c r="P441" t="inlineStr">
        <is>
          <t>agent_results/charts/market_lens_agent_20260609_181706_v.png</t>
        </is>
      </c>
      <c r="Q441" t="inlineStr">
        <is>
          <t>Smart Universe: broad liquid US universe, diversified by sector | Sector: Financials - Strong (72/100); XLF sector regime is strong: 5.9% 3m return, -2.9% vs SPY | Setup: Fib 61.8 Confluence Buy Zone; score 0.36; R/R 1.17x; price 324.05 | Market: NEUTRAL; Sector regime: STRONG; Net R/R: 0.97; Factors: Financials | Agent action: WATCH - WATCH: Technical setup detected, but weighted risk/reward 1.17 is below minimum 2.00. Market regime NEUTRAL; sector STRONG; net R/R 0.97.</t>
        </is>
      </c>
      <c r="R441"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0.4537, "estimated_spread": 0.0972, "executable_entry": 324.05, "execution_liquidity_bucket": "large_liquid", "factor_exposure_after": {"Industrials": 5791.5}, "factor_exposure_before": {"Industrials": 5791.5}, "factor_exposure_cap": 7000.0, "factor_exposure_limit_exceeded": false, "factor_tags": ["Financials"], "final_action": "WATCH", "gross_reward_1_per_share": 1.29, "gross_reward_2_per_share": 14.44, "gross_risk_per_share": 5.05, "gross_rr": 1.1668, "gross_rr_1": 0.2554, "gross_rr_2": 2.8594, "gross_rr_decision": 1.1668, "highest_correlation_ticker": "HON", "highest_correlation_value": 0.1013, "initial_action": "WATCH", "market_cap": 616117459212.32, "market_cap_bucket": "Mega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324.3254, "net_reward_1_per_share": 0.8525, "net_reward_2_per_share": 14.0025, "net_risk_per_share": 5.6009, "net_rr": 0.974, "net_rr_1": 0.1522, "net_rr_2": 2.5001, "net_stop_assumption": 318.7246, "net_target_1_assumption": 325.178, "net_target_2_assumption": 338.328, "normalized_atr_score": 100.0, "normalized_liquidity_score": 58.76, "normalized_momentum_score": 68.67, "normalized_quality_score": 73.53,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335.17, "price": 324.05, "prior_high_20": 335.17, "prior_high_63": 341.2725, "reason": "WATCH: Technical setup detected, but weighted risk/reward 1.17 is below minimum 2.00. Market regime NEUTRAL; sector STRONG; net R/R 0.97.",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71.67, "setup_score": 0.36, "setup_type": "Fib 61.8 Confluence Buy Zone", "sizing_adjustment_reason": "", "spread_source": "liquidity_fallback", "stock_score": 0.36, "stop_loss": 319.0, "target_1": 325.34, "target_1_atr_distance": 0.1814, "target_2": 338.49, "target_2_atr_distance": 2.0301, "target_feasibility_status": "LOW_REWARD_DISTANCE", "theoretical_entry": 321.24, "ticker": "V", "timestamp": "2026-06-09T18:19:46", "warnings": ["Target 1 is close versus daily ATR."]}</t>
        </is>
      </c>
    </row>
    <row r="442">
      <c r="A442" t="inlineStr">
        <is>
          <t>2026-06-09T18:19:46</t>
        </is>
      </c>
      <c r="B442" t="inlineStr">
        <is>
          <t>DHR</t>
        </is>
      </c>
      <c r="C442" t="inlineStr">
        <is>
          <t>Fib 61.8 Confluence Buy Zone</t>
        </is>
      </c>
      <c r="D442" t="n">
        <v>0.34</v>
      </c>
      <c r="E442" t="n">
        <v>188.59</v>
      </c>
      <c r="F442" t="n">
        <v>187.14</v>
      </c>
      <c r="G442" t="n">
        <v>189.77</v>
      </c>
      <c r="H442" t="n">
        <v>184.65</v>
      </c>
      <c r="I442" t="n">
        <v>190.75</v>
      </c>
      <c r="J442" t="n">
        <v>200.5</v>
      </c>
      <c r="K442" t="n">
        <v>1.41</v>
      </c>
      <c r="L442" t="inlineStr">
        <is>
          <t>Price at 61.8% fib retracement (188.46) with confluence at VWAP. Planned entry at zone low 187.14; executable entry 188.60, stop below fib 78.6% at 184.65.</t>
        </is>
      </c>
      <c r="M442" t="inlineStr">
        <is>
          <t>WATCH</t>
        </is>
      </c>
      <c r="N442" t="inlineStr">
        <is>
          <t>WATCH: Technical setup detected, but weighted risk/reward 1.41 is below minimum 2.00. Market regime NEUTRAL; sector STRONG; net R/R 1.25.</t>
        </is>
      </c>
      <c r="O442" t="inlineStr">
        <is>
          <t>DHR
Fib 61.8 Confluence Buy Zone
0.34
score
Price
188.59
R/R
1.41x
Grade
B
Quality
75%
Buy Zone
187.14 - 189.77
Stop
184.65
Targets
190.75 / 200.50
Tradable if trigger confirms
Mixed
Relative Strength
Leadership
100%
Trend Quality
Constructive
68%
Liquidity
Institutional liquidity
100%
Volume
Neutral
65%
Trigger
Break above prior-day high at 188.59 after holding buy zone.
Invalidation
Exit if price closes below 184.65 or setup support fails.
Market regime: Mixed.
Relative strength: Leadership.
Price at 61.8% fib retracement (188.46) with confluence at VWAP. Planned entry at zone low 187.14; executable entry 188.60, stop below fib 78.6% at 184.65.
Fib 61.8
188.46
Fib Zone
187.14 - 189.77
Swing Low
181.01
Swing High
200.50
Save setup
Click chart to open full size</t>
        </is>
      </c>
      <c r="P442" t="inlineStr">
        <is>
          <t>agent_results/charts/market_lens_agent_20260609_181706_dhr.png</t>
        </is>
      </c>
      <c r="Q442" t="inlineStr">
        <is>
          <t>Smart Universe: broad liquid US universe, diversified by sector | Sector: Healthcare - Strong (69/100); XLV sector regime is strong: 1.7% 3m return, -7.1% vs SPY | Setup: Fib 61.8 Confluence Buy Zone; score 0.34; R/R 1.41x; price 188.59 | Market: NEUTRAL; Sector regime: STRONG; Net R/R: 1.25; Factors: Defensive, Healthcare | Agent action: WATCH - WATCH: Technical setup detected, but weighted risk/reward 1.41 is below minimum 2.00. Market regime NEUTRAL; sector STRONG; net R/R 1.25.</t>
        </is>
      </c>
      <c r="R442"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 "estimated_spread": 0.0566, "executable_entry": 188.59, "execution_liquidity_bucket": "large_liquid", "factor_exposure_after": {"Industrials": 5791.5}, "factor_exposure_before": {"Industrials": 5791.5}, "factor_exposure_cap": 7000.0, "factor_exposure_limit_exceeded": false, "factor_tags": ["Defensive", "Healthcare"], "final_action": "WATCH", "gross_reward_1_per_share": 2.16, "gross_reward_2_per_share": 11.91, "gross_risk_per_share": 3.94, "gross_rr": 1.4143, "gross_rr_1": 0.5482, "gross_rr_2": 3.0228, "gross_rr_decision": 1.4143, "highest_correlation_ticker": "HON", "highest_correlation_value": 0.1989, "initial_action": "WATCH", "market_cap": 133768648503.0,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188.7503, "net_reward_1_per_share": 1.9054, "net_reward_2_per_share": 11.6554, "net_risk_per_share": 4.2606, "net_rr": 1.2482, "net_rr_1": 0.4472, "net_rr_2": 2.7356, "net_stop_assumption": 184.4897, "net_target_1_assumption": 190.6557, "net_target_2_assumption": 200.4057, "normalized_atr_score": 100.0, "normalized_liquidity_score": 58.66, "normalized_momentum_score": 62.32, "normalized_quality_score": 70.64,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188.75, "price": 188.59, "prior_high_20": 188.75, "prior_high_63": 200.5, "reason": "WATCH: Technical setup detected, but weighted risk/reward 1.41 is below minimum 2.00. Market regime NEUTRAL; sector STRONG; net R/R 1.25.",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0.34, "setup_type": "Fib 61.8 Confluence Buy Zone", "sizing_adjustment_reason": "", "spread_source": "liquidity_fallback", "stock_score": 0.34, "stop_loss": 184.65, "target_1": 190.75, "target_1_atr_distance": 0.4106, "target_2": 200.5, "target_2_atr_distance": 2.264, "target_feasibility_status": "LOW_REWARD_DISTANCE", "theoretical_entry": 187.14, "ticker": "DHR", "timestamp": "2026-06-09T18:19:46", "warnings": ["Target 1 is close versus daily ATR."]}</t>
        </is>
      </c>
    </row>
    <row r="443">
      <c r="A443" t="inlineStr">
        <is>
          <t>2026-06-09T18:19:46</t>
        </is>
      </c>
      <c r="B443" t="inlineStr">
        <is>
          <t>NOW</t>
        </is>
      </c>
      <c r="C443" t="inlineStr">
        <is>
          <t>Breakout + Retest</t>
        </is>
      </c>
      <c r="D443" t="n">
        <v>0.32</v>
      </c>
      <c r="E443" t="n">
        <v>105.95</v>
      </c>
      <c r="F443" t="n">
        <v>103.03</v>
      </c>
      <c r="G443" t="n">
        <v>110.83</v>
      </c>
      <c r="H443" t="n">
        <v>99.13</v>
      </c>
      <c r="I443" t="n">
        <v>112.15</v>
      </c>
      <c r="J443" t="n">
        <v>133.24</v>
      </c>
      <c r="K443" t="n">
        <v>1.99</v>
      </c>
      <c r="L443" t="inlineStr">
        <is>
          <t>Price (105.95) retesting broken resistance (110.83) as support. Breakout on 2026-05-29 with 2.4× avg volume. Volume confirmed breakout. Entry at 105.95, stop at 99.13.</t>
        </is>
      </c>
      <c r="M443" t="inlineStr">
        <is>
          <t>WATCH</t>
        </is>
      </c>
      <c r="N443" t="inlineStr">
        <is>
          <t>WATCH: Technical setup detected, but weighted risk/reward 1.99 is below minimum 2.00. Market regime NEUTRAL; sector STRONG; net R/R 1.82.</t>
        </is>
      </c>
      <c r="O443" t="inlineStr">
        <is>
          <t>NOW
Breakout + Retest
0.32
score
Price
105.95
R/R
1.99x
Grade
B
Quality
71%
Buy Zone
103.03 - 110.83
Stop
99.13
Targets
112.15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(105.95) retesting broken resistance (110.83) as support. Breakout on 2026-05-29 with 2.4× avg volume. Volume confirmed breakout. Entry at 105.95, stop at 99.13.
Fib 61.8
95.14
Fib Zone
93.19 - 97.09
Swing Low
85.44
Swing High
110.83
Save setup
Click chart to open full size</t>
        </is>
      </c>
      <c r="P443" t="inlineStr">
        <is>
          <t>agent_results/charts/market_lens_agent_20260609_181706_now.png</t>
        </is>
      </c>
      <c r="Q443" t="inlineStr">
        <is>
          <t>Smart Universe: broad liquid US universe, diversified by sector | Sector: Technology - Strong (73/100); XLK sector regime is strong: 27.5% 3m return, 18.6% vs SPY | Setup: Breakout + Retest; score 0.32; R/R 1.99x; price 105.95 | Market: NEUTRAL; Sector regime: STRONG; Net R/R: 1.82; Factors: High Beta Growth, Technology | Agent action: WATCH - WATCH: Technical setup detected, but weighted risk/reward 1.99 is below minimum 2.00. Market regime NEUTRAL; sector STRONG; net R/R 1.82.</t>
        </is>
      </c>
      <c r="R443"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0.4143, "estimated_spread": 0.0318, "executable_entry": 105.95, "execution_liquidity_bucket": "large_liquid", "factor_exposure_after": {"Industrials": 5791.5}, "factor_exposure_before": {"Industrials": 5791.5}, "factor_exposure_cap": 7000.0, "factor_exposure_limit_exceeded": false, "factor_tags": ["High Beta Growth", "Technology"], "final_action": "WATCH", "gross_reward_1_per_share": 6.2, "gross_reward_2_per_share": 27.29, "gross_risk_per_share": 6.82, "gross_rr": 1.9914, "gross_rr_1": 0.9091, "gross_rr_2": 4.0015, "gross_rr_decision": 1.9914, "highest_correlation_ticker": "HON", "highest_correlation_value": 0.0592, "initial_action": "WATCH", "market_cap": 110143697547.3,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106.173, "net_reward_1_per_share": 5.8575, "net_reward_2_per_share": 26.9475, "net_risk_per_share": 7.266, "net_rr": 1.822, "net_rr_1": 0.8061, "net_rr_2": 3.7087, "net_stop_assumption": 98.907, "net_target_1_assumption": 112.0305, "net_target_2_assumption": 133.1205, "normalized_atr_score": 83.61, "normalized_liquidity_score": 100, "normalized_momentum_score": 52.34, "normalized_quality_score": 74.46,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139.2, "price": 105.95, "prior_high_20": 139.2, "prior_high_63": 139.2, "reason": "WATCH: Technical setup detected, but weighted risk/reward 1.99 is below minimum 2.00. Market regime NEUTRAL; sector STRONG; net R/R 1.82.",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73.44, "setup_score": 0.32, "setup_type": "Breakout + Retest", "sizing_adjustment_reason": "", "spread_source": "liquidity_fallback", "stock_score": 0.32, "stop_loss": 99.13, "target_1": 112.15, "target_1_atr_distance": 0.7949, "target_2": 133.24, "target_2_atr_distance": 3.4987, "target_feasibility_status": "OK", "theoretical_entry": 103.03, "ticker": "NOW", "timestamp": "2026-06-09T18:19:46", "warnings": []}</t>
        </is>
      </c>
    </row>
    <row r="444">
      <c r="A444" t="inlineStr">
        <is>
          <t>2026-06-09T18:19:46</t>
        </is>
      </c>
      <c r="B444" t="inlineStr">
        <is>
          <t>DLR</t>
        </is>
      </c>
      <c r="C444" t="inlineStr">
        <is>
          <t>Swing Low + Volume Support Buy Zone</t>
        </is>
      </c>
      <c r="D444" t="n">
        <v>0.31</v>
      </c>
      <c r="E444" t="n">
        <v>185.24</v>
      </c>
      <c r="F444" t="n">
        <v>183.66</v>
      </c>
      <c r="G444" t="n">
        <v>187.11</v>
      </c>
      <c r="H444" t="n">
        <v>178.48</v>
      </c>
      <c r="I444" t="n">
        <v>191.71</v>
      </c>
      <c r="J444" t="n">
        <v>201.34</v>
      </c>
      <c r="K444" t="n">
        <v>1.46</v>
      </c>
      <c r="L444" t="inlineStr">
        <is>
          <t>Price is pulling into a recent swing-low support (184.95) that overlaps with a high-volume area (HVN at 184.59), creating structural + volume confluence. Liquidity sweep below swing low detected — wick and reclaim. Stop below 178.48.</t>
        </is>
      </c>
      <c r="M444" t="inlineStr">
        <is>
          <t>WATCH</t>
        </is>
      </c>
      <c r="N444" t="inlineStr">
        <is>
          <t>WATCH: Technical setup detected, but weighted risk/reward 1.46 is below minimum 2.00. Market regime NEUTRAL; sector STRONG; net R/R 1.24.</t>
        </is>
      </c>
      <c r="O444" t="inlineStr">
        <is>
          <t>DLR
Swing Low + Volume Support Buy Zone
0.31
score
Price
185.24
R/R
1.46x
Grade
C
Quality
55%
Buy Zone
183.66 - 187.11
Stop
178.48
Targets
191.71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44" t="inlineStr">
        <is>
          <t>agent_results/charts/market_lens_agent_20260609_181706_dlr.png</t>
        </is>
      </c>
      <c r="Q444" t="inlineStr">
        <is>
          <t>Smart Universe: broad liquid US universe, diversified by sector | Sector: Real Estate - Strong (73/100); XLRE sector regime is strong: 7.1% 3m return, -1.7% vs SPY | Setup: Swing Low + Volume Support Buy Zone; score 0.31; R/R 1.46x; price 185.24 | Market: NEUTRAL; Sector regime: STRONG; Net R/R: 1.24; Factors: Real Estate | Agent action: WATCH - WATCH: Technical setup detected, but weighted risk/reward 1.46 is below minimum 2.00. Market regime NEUTRAL; sector STRONG; net R/R 1.24.</t>
        </is>
      </c>
      <c r="R44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0.5557, "estimated_spread": 0.1482, "executable_entry": 185.24, "execution_liquidity_bucket": "mid_liquid", "factor_exposure_after": {"Industrials": 5791.5}, "factor_exposure_before": {"Industrials": 5791.5}, "factor_exposure_cap": 7000.0, "factor_exposure_limit_exceeded": false, "factor_tags": ["Real Estate"], "final_action": "WATCH", "gross_reward_1_per_share": 6.47, "gross_reward_2_per_share": 16.1, "gross_risk_per_share": 6.76, "gross_rr": 1.4557, "gross_rr_1": 0.9571, "gross_rr_2": 2.3817, "gross_rr_decision": 1.4557, "highest_correlation_ticker": "HON", "highest_correlation_value": 0.4614, "initial_action": "WATCH", "market_cap": 65173525485.66,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185.592, "net_reward_1_per_share": 5.905, "net_reward_2_per_share": 15.535, "net_risk_per_share": 7.4639, "net_rr": 1.2427, "net_rr_1": 0.7911, "net_rr_2": 2.0814, "net_stop_assumption": 178.128, "net_target_1_assumption": 191.497, "net_target_2_assumption": 201.127, "normalized_atr_score": 100.0, "normalized_liquidity_score": 41.34, "normalized_momentum_score": 52.09, "normalized_quality_score": 60.84,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197.54, "price": 185.24, "prior_high_20": 197.54, "prior_high_63": 208.14, "reason": "WATCH: Technical setup detected, but weighted risk/reward 1.46 is below minimum 2.00. Market regime NEUTRAL; sector STRONG; net R/R 1.24.",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72.62, "setup_score": 0.31, "setup_type": "Swing Low + Volume Support Buy Zone", "sizing_adjustment_reason": "", "spread_source": "liquidity_fallback", "stock_score": 0.31, "stop_loss": 178.48, "target_1": 191.71, "target_1_atr_distance": 1.4998, "target_2": 201.34, "target_2_atr_distance": 3.732, "target_feasibility_status": "OK", "theoretical_entry": 183.66, "ticker": "DLR", "timestamp": "2026-06-09T18:19:46", "warnings": []}</t>
        </is>
      </c>
    </row>
    <row r="445">
      <c r="A445" t="inlineStr">
        <is>
          <t>2026-06-09T18:19:46</t>
        </is>
      </c>
      <c r="B445" t="inlineStr">
        <is>
          <t>GILD</t>
        </is>
      </c>
      <c r="C445" t="inlineStr">
        <is>
          <t>Swing Low + Volume Support Buy Zone</t>
        </is>
      </c>
      <c r="D445" t="n">
        <v>0.29</v>
      </c>
      <c r="E445" t="n">
        <v>125.45</v>
      </c>
      <c r="F445" t="n">
        <v>127.31</v>
      </c>
      <c r="G445" t="n">
        <v>130.06</v>
      </c>
      <c r="H445" t="n">
        <v>123.18</v>
      </c>
      <c r="I445" t="n">
        <v>133.5</v>
      </c>
      <c r="J445" t="n">
        <v>140.73</v>
      </c>
      <c r="K445" t="n">
        <v>1.49</v>
      </c>
      <c r="L445" t="inlineStr">
        <is>
          <t>Price is pulling into a recent swing-low support (128.34) that overlaps with a high-volume area (POC at 129.12), creating structural + volume confluence. Liquidity sweep below swing low detected — wick and reclaim. Stop below 123.18.</t>
        </is>
      </c>
      <c r="M445" t="inlineStr">
        <is>
          <t>WATCH</t>
        </is>
      </c>
      <c r="N445" t="inlineStr">
        <is>
          <t>WATCH: Technical setup detected, but weighted risk/reward 1.49 is below minimum 2.00. Market regime NEUTRAL; sector STRONG; net R/R 1.97.</t>
        </is>
      </c>
      <c r="O445" t="inlineStr">
        <is>
          <t>GILD
Swing Low + Volume Support Buy Zone
0.29
score
Price
125.45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45" t="inlineStr">
        <is>
          <t>agent_results/charts/market_lens_agent_20260609_181706_gild.png</t>
        </is>
      </c>
      <c r="Q445" t="inlineStr">
        <is>
          <t>Smart Universe: broad liquid US universe, diversified by sector | Sector: Healthcare - Strong (69/100); XLV sector regime is strong: 1.7% 3m return, -7.1% vs SPY | Setup: Swing Low + Volume Support Buy Zone; score 0.29; R/R 1.49x; price 125.45 | Market: NEUTRAL; Sector regime: STRONG; Net R/R: 1.97; Factors: Defensive, Healthcare | Agent action: WATCH - WATCH: Technical setup detected, but weighted risk/reward 1.49 is below minimum 2.00. Market regime NEUTRAL; sector STRONG; net R/R 1.97.</t>
        </is>
      </c>
      <c r="R445"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5791.5}, "factor_exposure_before": {"Industrials": 5791.5},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0.3979, "initial_action": "WATCH", "market_cap": 156003256562.59,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65.75, "normalized_momentum_score": 0, "normalized_quality_score": 44.72,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137.5, "price": 125.45,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0.29, "setup_type": "Swing Low + Volume Support Buy Zone", "sizing_adjustment_reason": "", "spread_source": "liquidity_fallback", "stock_score": 0.29, "stop_loss": 123.18, "target_1": 133.5, "target_1_atr_distance": 2.3381, "target_2": 140.73, "target_2_atr_distance": 4.4381, "target_feasibility_status": "OK", "theoretical_entry": 127.31, "ticker": "GILD", "timestamp": "2026-06-09T18:19:46", "warnings": []}</t>
        </is>
      </c>
    </row>
    <row r="446">
      <c r="A446" t="inlineStr">
        <is>
          <t>2026-06-09T18:19:46</t>
        </is>
      </c>
      <c r="B446" t="inlineStr">
        <is>
          <t>MKC</t>
        </is>
      </c>
      <c r="C446" t="inlineStr">
        <is>
          <t>Breakout + Retest</t>
        </is>
      </c>
      <c r="D446" t="n">
        <v>0.28</v>
      </c>
      <c r="E446" t="n">
        <v>48.68</v>
      </c>
      <c r="F446" t="n">
        <v>47.02</v>
      </c>
      <c r="G446" t="n">
        <v>48.45</v>
      </c>
      <c r="H446" t="n">
        <v>46.31</v>
      </c>
      <c r="I446" t="n">
        <v>50.07</v>
      </c>
      <c r="J446" t="n">
        <v>54.03</v>
      </c>
      <c r="K446" t="n">
        <v>1.17</v>
      </c>
      <c r="L446" t="inlineStr">
        <is>
          <t>Price (48.68) retesting broken resistance (48.45) as support. Breakout on 2026-06-09 with 0.5× avg volume. Entry at 48.68, stop at 46.31.</t>
        </is>
      </c>
      <c r="M446" t="inlineStr">
        <is>
          <t>WATCH</t>
        </is>
      </c>
      <c r="N446" t="inlineStr">
        <is>
          <t>WATCH: Technical setup detected, but weighted risk/reward 1.17 is below minimum 2.00. Market regime NEUTRAL; sector NEUTRAL; net R/R 0.96.</t>
        </is>
      </c>
      <c r="O446" t="inlineStr">
        <is>
          <t>MKC
Breakout + Retest
0.28
score
Price
48.68
R/R
1.17x
Grade
C
Quality
63%
Buy Zone
47.02 - 48.45
Stop
46.31
Targets
50.07 / 54.03
Watch only; needs confirmation
Mixed
Relative Strength
Leadership
100%
Trend Quality
Messy
18%
Liquidity
Institutional liquidity
100%
Volume
Neutral
65%
Trigger
Close above 48.68 or reclaim of broken resistance.
Invalidation
Exit if price closes below 46.31 or setup support fails.
Trend quality is not clean.
Market regime: Mixed.
Relative strength: Leadership.
Price (48.68) retesting broken resistance (48.45) as support. Breakout on 2026-06-09 with 0.5× avg volume. Entry at 48.68, stop at 46.31.
Fib 61.8
46.21
Fib Zone
45.85 - 46.56
Swing Low
44.82
Swing High
48.45
Save setup
Click chart to open full size</t>
        </is>
      </c>
      <c r="P446" t="inlineStr">
        <is>
          <t>agent_results/charts/market_lens_agent_20260609_181706_mkc.png</t>
        </is>
      </c>
      <c r="Q446" t="inlineStr">
        <is>
          <t>Smart Universe: broad liquid US universe, diversified by sector | Sector: Consumer Defensive - Neutral (44/100); XLP sector regime is neutral: -0.2% 3m return, -9.1% vs SPY | Setup: Breakout + Retest; score 0.28; R/R 1.17x; price 48.68 | Market: NEUTRAL; Sector regime: NEUTRAL; Net R/R: 0.96; Factors: Consumer Defensive, Defensive, Low Volatility | Agent action: WATCH - WATCH: Technical setup detected, but weighted risk/reward 1.17 is below minimum 2.00. Market regime NEUTRAL; sector NEUTRAL; net R/R 0.96.</t>
        </is>
      </c>
      <c r="R446"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0.2434, "estimated_spread": 0.0389, "executable_entry": 48.68, "execution_liquidity_bucket": "mid_liquid", "factor_exposure_after": {"Industrials": 5791.5}, "factor_exposure_before": {"Industrials": 5791.5}, "factor_exposure_cap": 7000.0, "factor_exposure_limit_exceeded": false, "factor_tags": ["Consumer Defensive", "Defensive", "Low Volatility"], "final_action": "WATCH", "gross_reward_1_per_share": 1.39, "gross_reward_2_per_share": 5.35, "gross_risk_per_share": 2.37, "gross_rr": 1.1713, "gross_rr_1": 0.5865, "gross_rr_2": 2.2574, "gross_rr_decision": 1.1713, "highest_correlation_ticker": "HON", "highest_correlation_value": 0.16, "initial_action": "WATCH", "market_cap": 13087286814.64,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"SUPPORTED_BY_63D_RESISTANCE", "minimum_net_rr_required": 2.5, "net_entry": 48.8212, "net_reward_1_per_share": 1.1685, "net_reward_2_per_share": 5.1285, "net_risk_per_share": 2.6523, "net_rr": 0.9631, "net_rr_1": 0.4406, "net_rr_2": 1.9336, "net_stop_assumption": 46.1688, "net_target_1_assumption": 49.9897, "net_target_2_assumption": 53.9497, "normalized_atr_score": 100.0, "normalized_liquidity_score": 24.73, "normalized_momentum_score": 0, "normalized_quality_score": 32.42,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48.93, "price": 48.68, "prior_high_20": 48.93, "prior_high_63": 63.8707, "reason": "WATCH: Technical setup detected, but weighted risk/reward 1.17 is below minimum 2.00. Market regime NEUTRAL; sector NEUTRAL; net R/R 0.96.",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0.28, "setup_type": "Breakout + Retest", "sizing_adjustment_reason": "", "spread_source": "liquidity_fallback", "stock_score": 0.28, "stop_loss": 46.31, "target_1": 50.07, "target_1_atr_distance": 0.9741, "target_2": 54.03, "target_2_atr_distance": 3.7491, "target_feasibility_status": "OK", "theoretical_entry": 47.02, "ticker": "MKC", "timestamp": "2026-06-09T18:19:46", "warnings": []}</t>
        </is>
      </c>
    </row>
    <row r="447">
      <c r="A447" t="inlineStr">
        <is>
          <t>2026-06-09T18:19:46</t>
        </is>
      </c>
      <c r="B447" t="inlineStr">
        <is>
          <t>PFE</t>
        </is>
      </c>
      <c r="C447" t="inlineStr">
        <is>
          <t>Fib 61.8 Confluence Buy Zone</t>
        </is>
      </c>
      <c r="D447" t="n">
        <v>0.26</v>
      </c>
      <c r="E447" t="n">
        <v>25.8</v>
      </c>
      <c r="F447" t="n">
        <v>25.73</v>
      </c>
      <c r="G447" t="n">
        <v>25.98</v>
      </c>
      <c r="H447" t="n">
        <v>25.37</v>
      </c>
      <c r="I447" t="n">
        <v>26.17</v>
      </c>
      <c r="J447" t="n">
        <v>27.57</v>
      </c>
      <c r="K447" t="n">
        <v>1.98</v>
      </c>
      <c r="L447" t="inlineStr">
        <is>
          <t>Price at 61.8% fib retracement (25.86) with confluence at VWAP. Planned entry at zone low 25.73; executable entry 25.80, stop below fib 78.6% at 25.37. Structural confluence: swing low at 25.19 aligns with VAL (25.31).</t>
        </is>
      </c>
      <c r="M447" t="inlineStr">
        <is>
          <t>WATCH</t>
        </is>
      </c>
      <c r="N447" t="inlineStr">
        <is>
          <t>WATCH: Technical setup detected, but weighted risk/reward 1.98 is below minimum 2.00. Market regime NEUTRAL; sector STRONG; net R/R 1.74.</t>
        </is>
      </c>
      <c r="O447" t="inlineStr">
        <is>
          <t>PFE
Fib 61.8 Confluence Buy Zone
0.26
score
Price
25.80
R/R
1.98x
Grade
D
Quality
47%
Buy Zone
25.73 - 25.98
Stop
25.37
Targets
26.17 / 27.57
Low-quality setup
Mixed
Relative Strength
Lagging
17%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25.80, stop below fib 78.6% at 25.37. Structural confluence: swing low at 25.19 aligns with VAL (25.31).
Fib 61.8
25.86
Fib Zone
25.73 - 25.98
Swing Low
24.85
Swing High
27.49
Save setup
Click chart to open full size</t>
        </is>
      </c>
      <c r="P447" t="inlineStr">
        <is>
          <t>agent_results/charts/market_lens_agent_20260609_181706_pfe.png</t>
        </is>
      </c>
      <c r="Q447" t="inlineStr">
        <is>
          <t>Smart Universe: broad liquid US universe, diversified by sector | Sector: Healthcare - Strong (69/100); XLV sector regime is strong: 1.7% 3m return, -7.1% vs SPY | Setup: Fib 61.8 Confluence Buy Zone; score 0.26; R/R 1.98x; price 25.80 | Market: NEUTRAL; Sector regime: STRONG; Net R/R: 1.74; Factors: Defensive, Healthcare | Agent action: WATCH - WATCH: Technical setup detected, but weighted risk/reward 1.98 is below minimum 2.00. Market regime NEUTRAL; sector STRONG; net R/R 1.74.</t>
        </is>
      </c>
      <c r="R447" t="inlineStr">
        <is>
          <t>{"adjusted_cash_out": 0.0, "adjusted_position_size": 0, "adjusted_risk_amount": 0.0,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25.8, "execution_liquidity_bucket": "large_liquid", "factor_exposure_after": {"Industrials": 5791.5}, "factor_exposure_before": {"Industrials": 5791.5}, "factor_exposure_cap": 7000.0, "factor_exposure_limit_exceeded": false, "factor_tags": ["Defensive", "Healthcare"], "final_action": "WATCH", "gross_reward_1_per_share": 0.37, "gross_reward_2_per_share": 1.77, "gross_risk_per_share": 0.43, "gross_rr": 2.0, "gross_rr_1": 0.8605, "gross_rr_2": 4.1163, "gross_rr_decision": 2.0, "highest_correlation_ticker": "HON", "highest_correlation_value": 0.3138, "initial_action": "WATCH", "market_cap": 146903171281.81,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"SUPPORTED_BY_20D_RESISTANCE", "minimum_net_rr_required": 2.2, "net_entry": 25.8219, "net_reward_1_per_share": 0.3352, "net_reward_2_per_share": 1.7352, "net_risk_per_share": 0.4739, "net_rr": 1.7414, "net_rr_1": 0.7073, "net_rr_2": 3.6618, "net_stop_assumption": 25.3481, "net_target_1_assumption": 26.1571, "net_target_2_assumption": 27.5571, "normalized_atr_score": 100.0, "normalized_liquidity_score": 61.14, "normalized_momentum_score": 36.89, "normalized_quality_score": 59.94,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1.98 is below minimum 2.00. Market regime NEUTRAL; sector STRONG; net R/R 1.74.",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0.26, "setup_type": "Fib 61.8 Confluence Buy Zone", "sizing_adjustment_reason": "", "spread_source": "liquidity_fallback", "stock_score": 0.26, "stop_loss": 25.37, "target_1": 26.17, "target_1_atr_distance": 0.7587, "target_2": 27.57, "target_2_atr_distance": 3.6293, "target_feasibility_status": "OK", "theoretical_entry": 25.73, "ticker": "PFE", "timestamp": "2026-06-09T18:19:46", "warnings": []}</t>
        </is>
      </c>
    </row>
    <row r="448">
      <c r="A448" t="inlineStr">
        <is>
          <t>2026-06-09T18:19:46</t>
        </is>
      </c>
      <c r="B448" t="inlineStr">
        <is>
          <t>NOC</t>
        </is>
      </c>
      <c r="C448" t="inlineStr">
        <is>
          <t>No Trade</t>
        </is>
      </c>
      <c r="D448" t="n">
        <v>0</v>
      </c>
      <c r="E448" t="n">
        <v>542.37</v>
      </c>
      <c r="H448" t="n">
        <v>0</v>
      </c>
      <c r="K448" t="n">
        <v>0</v>
      </c>
      <c r="L448" t="inlineStr">
        <is>
          <t>No clean technical setup detected. Price in middle of value area or poor risk/reward.</t>
        </is>
      </c>
      <c r="M448" t="inlineStr">
        <is>
          <t>SKIP</t>
        </is>
      </c>
      <c r="N448" t="inlineStr">
        <is>
          <t>SKIP: No Trade result. Market regime NEUTRAL; sector NEUTRAL; net R/R 0.00.</t>
        </is>
      </c>
      <c r="O448" t="inlineStr">
        <is>
          <t>NOC
No Trade
0.00
score
Price
542.37
R/R
0.00x
Grade
No Trade
Quality
0%
Buy Zone
-
Stop
0.00
Targets
-
Skip
Mixed
Relative Strength
Leadership
100%
Trend Quality
Messy
0%
Liquidity
Institutional liquidity
100%
Volume
Neutral
65%
No actionable setup detected.
No clean technical setup detected. Price in middle of value area or poor risk/reward.
Fib 61.8
617.52
Fib Zone
614.31 - 620.73
Swing Low
560.23
Swing High
710.20
Click chart to open full size</t>
        </is>
      </c>
      <c r="P448" t="inlineStr">
        <is>
          <t>agent_results/charts/market_lens_agent_20260609_181706_noc.png</t>
        </is>
      </c>
      <c r="Q448" t="inlineStr">
        <is>
          <t>Smart Universe: broad liquid US universe, diversified by sector | Sector: Industrials - Neutral (68/100); XLI sector regime is neutral: 3.3% 3m return, -5.6% vs SPY | Setup: No Trade; score 0.00; R/R 0.00x; price 542.37 | Market: NEUTRAL; Sector regime: NEUTRAL; Net R/R: 0.00; Factors: Industrials | Agent action: SKIP - SKIP: No Trade result. Market regime NEUTRAL; sector NEUTRAL; net R/R 0.00.</t>
        </is>
      </c>
      <c r="R448" t="inlineStr">
        <is>
          <t>{"adjusted_cash_out": 0.0, "adjusted_position_size": 0, "adjusted_risk_amount": 0.0, "ask": 0.0, "bid": 0.0, "buy_zone_high": null, "buy_zone_low": null, "cash_available": 93936.04, "company_name": "Northrop Grumman Corporation", "correlation_warning": false, "days_to_earnings": 30, "earnings_blackout": false, "earnings_date": "2026-07-21T00:00:00", "estimated_fees": 0.0, "estimated_slippage": 0.7593, "estimated_spread": 0.1627, "executable_entry": 542.37,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542.37, "gross_rr": 0.0, "gross_rr_1": 0.0, "gross_rr_2": 0.0, "gross_rr_decision": 0.0, "highest_correlation_ticker": "HON", "highest_correlation_value": 0.2847, "initial_action": "SKIP", "market_cap": 76996343871.99,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542.831, "net_reward_1_per_share": 0.0, "net_reward_2_per_share": 0.0, "net_risk_per_share": 543.292, "net_rr": 0.0, "net_rr_1": 0.0, "net_rr_2": 0.0, "net_stop_assumption": -0.461, "net_target_1_assumption": -0.2712, "net_target_2_assumption": -0.2712, "normalized_atr_score": 100.0, "normalized_liquidity_score": 48.26, "normalized_momentum_score": 0, "normalized_quality_score": 39.48,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542.37,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542.37, "ticker": "NOC", "timestamp": "2026-06-09T18:19:46", "warnings": ["Target ATR feasibility unavailable."]}</t>
        </is>
      </c>
    </row>
    <row r="449">
      <c r="A449" t="inlineStr">
        <is>
          <t>2026-06-09T18:19:46</t>
        </is>
      </c>
      <c r="B449" t="inlineStr">
        <is>
          <t>BSX</t>
        </is>
      </c>
      <c r="C449" t="inlineStr">
        <is>
          <t>No Trade</t>
        </is>
      </c>
      <c r="D449" t="n">
        <v>0</v>
      </c>
      <c r="E449" t="n">
        <v>49.32</v>
      </c>
      <c r="H449" t="n">
        <v>0</v>
      </c>
      <c r="K449" t="n">
        <v>0</v>
      </c>
      <c r="L449" t="inlineStr">
        <is>
          <t>No clean technical setup detected. Price in middle of value area or poor risk/reward.</t>
        </is>
      </c>
      <c r="M449" t="inlineStr">
        <is>
          <t>SKIP</t>
        </is>
      </c>
      <c r="N449" t="inlineStr">
        <is>
          <t>SKIP: No Trade result. Market regime NEUTRAL; sector STRONG; net R/R 0.00.</t>
        </is>
      </c>
      <c r="O449" t="inlineStr">
        <is>
          <t>BSX
No Trade
0.00
score
Price
49.32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54.81
Fib Zone
54.35 - 55.27
Swing Low
52.52
Swing High
58.51
Click chart to open full size</t>
        </is>
      </c>
      <c r="P449" t="inlineStr">
        <is>
          <t>agent_results/charts/market_lens_agent_20260609_181706_bsx.png</t>
        </is>
      </c>
      <c r="Q449" t="inlineStr">
        <is>
          <t>Smart Universe: broad liquid US universe, diversified by sector | Sector: Healthcare - Strong (69/100); XLV sector regime is strong: 1.7% 3m return, -7.1% vs SPY | Setup: No Trade; score 0.00; R/R 0.00x; price 49.32 | Market: NEUTRAL; Sector regime: STRONG; Net R/R: 0.00; Factors: Defensive, Healthcare | Agent action: SKIP - SKIP: No Trade result. Market regime NEUTRAL; sector STRONG; net R/R 0.00.</t>
        </is>
      </c>
      <c r="R449" t="inlineStr">
        <is>
          <t>{"adjusted_cash_out": 0.0, "adjusted_position_size": 0, "adjusted_risk_amount": 0.0, "ask": 0.0, "bid": 0.0, "buy_zone_high": null, "buy_zone_low": null, "cash_available": 93936.04, "company_name": "Boston Scientific Corporation", "correlation_warning": false, "days_to_earnings": 36, "earnings_blackout": false, "earnings_date": "2026-07-29T00:00:00", "estimated_fees": 0.0, "estimated_slippage": 0.069, "estimated_spread": 0.0148, "executable_entry": 49.32, "execution_liquidity_bucket": "large_liquid", "factor_exposure_after": {"Industrials": 5791.5}, "factor_exposure_before": {"Industrials": 5791.5}, "factor_exposure_cap": 7000.0, "factor_exposure_limit_exceeded": false, "factor_tags": ["Defensive", "Healthcare"], "final_action": "SKIP", "gross_reward_1_per_share": 0.0, "gross_reward_2_per_share": 0.0, "gross_risk_per_share": 49.32, "gross_rr": 0.0, "gross_rr_1": 0.0, "gross_rr_2": 0.0, "gross_rr_decision": 0.0, "highest_correlation_ticker": "HON", "highest_correlation_value": -0.0017, "initial_action": "SKIP", "market_cap": 73410191194.39,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2.2, "net_entry": 49.3619, "net_reward_1_per_share": 0.0, "net_reward_2_per_share": 0.0, "net_risk_per_share": 49.4038, "net_rr": 0.0, "net_rr_1": 0.0, "net_rr_2": 0.0, "net_stop_assumption": -0.0419, "net_target_1_assumption": -0.0247, "net_target_2_assumption": -0.0247, "normalized_atr_score": 100.0, "normalized_liquidity_score": 69.58, "normalized_momentum_score": 0, "normalized_quality_score": 45.87,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49.32,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69.11, "setup_score": 0.0, "setup_type": "No Trade", "sizing_adjustment_reason": "", "spread_source": "liquidity_fallback", "stock_score": 0.0, "stop_loss": 0.0, "target_1": null, "target_1_atr_distance": 0.0, "target_2": null, "target_2_atr_distance": 0.0, "target_feasibility_status": "UNKNOWN", "theoretical_entry": 49.32, "ticker": "BSX", "timestamp": "2026-06-09T18:19:46", "warnings": ["Target ATR feasibility unavailable."]}</t>
        </is>
      </c>
    </row>
    <row r="450">
      <c r="A450" t="inlineStr">
        <is>
          <t>2026-06-09T18:19:46</t>
        </is>
      </c>
      <c r="B450" t="inlineStr">
        <is>
          <t>PNR</t>
        </is>
      </c>
      <c r="C450" t="inlineStr">
        <is>
          <t>No Trade</t>
        </is>
      </c>
      <c r="D450" t="n">
        <v>0</v>
      </c>
      <c r="E450" t="n">
        <v>74.14</v>
      </c>
      <c r="H450" t="n">
        <v>0</v>
      </c>
      <c r="K450" t="n">
        <v>0</v>
      </c>
      <c r="L450" t="inlineStr">
        <is>
          <t>No clean technical setup detected. Price in middle of value area or poor risk/reward.</t>
        </is>
      </c>
      <c r="M450" t="inlineStr">
        <is>
          <t>SKIP</t>
        </is>
      </c>
      <c r="N450" t="inlineStr">
        <is>
          <t>SKIP: No Trade result. Market regime NEUTRAL; sector NEUTRAL; net R/R 0.00.</t>
        </is>
      </c>
      <c r="O450" t="inlineStr">
        <is>
          <t>PNR
No Trade
0.00
score
Price
74.14
R/R
0.00x
Grade
No Trade
Quality
0%
Buy Zone
-
Stop
0.00
Targets
-
Skip
Mixed
Relative Strength
Leadership
93%
Trend Quality
Messy
18%
Liquidity
Institutional liquidity
100%
Volume
Distribution risk
30%
No actionable setup detected.
No clean technical setup detected. Price in middle of value area or poor risk/reward.
Fib 61.8
90.18
Fib Zone
89.68 - 90.67
Swing Low
87.71
Swing High
94.17
Click chart to open full size</t>
        </is>
      </c>
      <c r="P450" t="inlineStr">
        <is>
          <t>agent_results/charts/market_lens_agent_20260609_181706_pnr.png</t>
        </is>
      </c>
      <c r="Q450" t="inlineStr">
        <is>
          <t>Smart Universe: broad liquid US universe, diversified by sector | Sector: Industrials - Neutral (68/100); XLI sector regime is neutral: 3.3% 3m return, -5.6% vs SPY | Setup: No Trade; score 0.00; R/R 0.00x; price 74.14 | Market: NEUTRAL; Sector regime: NEUTRAL; Net R/R: 0.00; Factors: Industrials | Agent action: SKIP - SKIP: No Trade result. Market regime NEUTRAL; sector NEUTRAL; net R/R 0.00.</t>
        </is>
      </c>
      <c r="R450" t="inlineStr">
        <is>
          <t>{"adjusted_cash_out": 0.0, "adjusted_position_size": 0, "adjusted_risk_amount": 0.0, "ask": 0.0, "bid": 0.0, "buy_zone_high": null, "buy_zone_low": null, "cash_available": 93936.04, "company_name": "Pentair", "correlation_warning": false, "days_to_earnings": 30, "earnings_blackout": false, "earnings_date": "2026-07-21T00:00:00", "estimated_fees": 0.0, "estimated_slippage": 0.2224, "estimated_spread": 0.0593, "executable_entry": 74.14,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74.14, "gross_rr": 0.0, "gross_rr_1": 0.0, "gross_rr_2": 0.0, "gross_rr_decision": 0.0, "highest_correlation_ticker": "HON", "highest_correlation_value": 0.1846, "initial_action": "SKIP", "market_cap": 12008907357.17,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74.2809, "net_reward_1_per_share": 0.0, "net_reward_2_per_share": 0.0, "net_risk_per_share": 74.4217, "net_rr": 0.0, "net_rr_1": 0.0, "net_rr_2": 0.0, "net_stop_assumption": -0.1409, "net_target_1_assumption": -0.0853, "net_target_2_assumption": -0.0853, "normalized_atr_score": 100.0, "normalized_liquidity_score": 24.63, "normalized_momentum_score": 0, "normalized_quality_score": 32.39,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74.14,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74.14, "ticker": "PNR", "timestamp": "2026-06-09T18:19:46", "warnings": ["Target ATR feasibility unavailable."]}</t>
        </is>
      </c>
    </row>
    <row r="451">
      <c r="A451" t="inlineStr">
        <is>
          <t>2026-06-09T18:19:46</t>
        </is>
      </c>
      <c r="B451" t="inlineStr">
        <is>
          <t>TSN</t>
        </is>
      </c>
      <c r="C451" t="inlineStr">
        <is>
          <t>No Trade</t>
        </is>
      </c>
      <c r="D451" t="n">
        <v>0</v>
      </c>
      <c r="E451" t="n">
        <v>56.84</v>
      </c>
      <c r="H451" t="n">
        <v>0</v>
      </c>
      <c r="K451" t="n">
        <v>0</v>
      </c>
      <c r="L451" t="inlineStr">
        <is>
          <t>No clean technical setup detected. Price in middle of value area or poor risk/reward.</t>
        </is>
      </c>
      <c r="M451" t="inlineStr">
        <is>
          <t>SKIP</t>
        </is>
      </c>
      <c r="N451" t="inlineStr">
        <is>
          <t>SKIP: No Trade result. Market regime NEUTRAL; sector NEUTRAL; net R/R 0.00.</t>
        </is>
      </c>
      <c r="O451" t="inlineStr">
        <is>
          <t>TSN
No Trade
0.00
score
Price
56.84
R/R
0.00x
Grade
No Trade
Quality
0%
Buy Zone
-
Stop
0.00
Targets
-
Skip
Mixed
Relative Strength
Leadership
100%
Trend Quality
Messy
0%
Liquidity
Institutional liquidity
100%
Volume
Distribution risk
30%
No actionable setup detected.
No clean technical setup detected. Price in middle of value area or poor risk/reward.
Fib 61.8
64.35
Fib Zone
63.89 - 64.80
Swing Low
61.53
Swing High
68.90
Click chart to open full size</t>
        </is>
      </c>
      <c r="P451" t="inlineStr">
        <is>
          <t>agent_results/charts/market_lens_agent_20260609_181706_tsn.png</t>
        </is>
      </c>
      <c r="Q451" t="inlineStr">
        <is>
          <t>Smart Universe: broad liquid US universe, diversified by sector | Sector: Consumer Defensive - Neutral (44/100); XLP sector regime is neutral: -0.2% 3m return, -9.1% vs SPY | Setup: No Trade; score 0.00; R/R 0.00x; price 56.84 | Market: NEUTRAL; Sector regime: NEUTRAL; Net R/R: 0.00; Factors: Consumer Defensive, Defensive, Low Volatility | Agent action: SKIP - SKIP: No Trade result. Market regime NEUTRAL; sector NEUTRAL; net R/R 0.00.</t>
        </is>
      </c>
      <c r="R451" t="inlineStr">
        <is>
          <t>{"adjusted_cash_out": 0.0, "adjusted_position_size": 0, "adjusted_risk_amount": 0.0, "ask": 0.0, "bid": 0.0, "buy_zone_high": null, "buy_zone_low": null, "cash_available": 93936.04, "company_name": "Tyson Foods", "correlation_warning": false, "days_to_earnings": 39, "earnings_blackout": false, "earnings_date": "2026-08-03T00:00:00", "estimated_fees": 0.0, "estimated_slippage": 0.1705, "estimated_spread": 0.0455, "executable_entry": 56.84,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56.84, "gross_rr": 0.0, "gross_rr_1": 0.0, "gross_rr_2": 0.0, "gross_rr_decision": 0.0, "highest_correlation_ticker": "HON", "highest_correlation_value": 0.0587, "initial_action": "SKIP", "market_cap": 19978061837.39,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56.948, "net_reward_1_per_share": 0.0, "net_reward_2_per_share": 0.0, "net_risk_per_share": 57.056, "net_rr": 0.0, "net_rr_1": 0.0, "net_rr_2": 0.0, "net_stop_assumption": -0.108, "net_target_1_assumption": -0.0654, "net_target_2_assumption": -0.0654, "normalized_atr_score": 100.0, "normalized_liquidity_score": 28.03, "normalized_momentum_score": 12.57, "normalized_quality_score": 39.07,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56.84,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56.84, "ticker": "TSN", "timestamp": "2026-06-09T18:19:46", "warnings": ["Target ATR feasibility unavailable."]}</t>
        </is>
      </c>
    </row>
    <row r="452">
      <c r="A452" t="inlineStr">
        <is>
          <t>2026-06-09T18:19:46</t>
        </is>
      </c>
      <c r="B452" t="inlineStr">
        <is>
          <t>KR</t>
        </is>
      </c>
      <c r="C452" t="inlineStr">
        <is>
          <t>No Trade</t>
        </is>
      </c>
      <c r="D452" t="n">
        <v>0</v>
      </c>
      <c r="E452" t="n">
        <v>63.37</v>
      </c>
      <c r="H452" t="n">
        <v>0</v>
      </c>
      <c r="K452" t="n">
        <v>0</v>
      </c>
      <c r="L452" t="inlineStr">
        <is>
          <t>No clean technical setup detected. Price in middle of value area or poor risk/reward.</t>
        </is>
      </c>
      <c r="M452" t="inlineStr">
        <is>
          <t>SKIP</t>
        </is>
      </c>
      <c r="N452" t="inlineStr">
        <is>
          <t>SKIP: No Trade result. Market regime NEUTRAL; sector NEUTRAL; net R/R 0.00.</t>
        </is>
      </c>
      <c r="O452" t="inlineStr">
        <is>
          <t>KR
No Trade
0.00
score
Price
63.37
R/R
0.00x
Grade
No Trade
Quality
0%
Buy Zone
-
Stop
0.00
Targets
-
Skip
Mixed
Relative Strength
Leadership
88%
Trend Quality
Messy
0%
Liquidity
Institutional liquidity
100%
Volume
Neutral
65%
No actionable setup detected.
No clean technical setup detected. Price in middle of value area or poor risk/reward.
Fib 61.8
66.76
Fib Zone
66.33 - 67.20
Swing Low
63.70
Swing High
71.71
Click chart to open full size</t>
        </is>
      </c>
      <c r="P452" t="inlineStr">
        <is>
          <t>agent_results/charts/market_lens_agent_20260609_181706_kr.png</t>
        </is>
      </c>
      <c r="Q452" t="inlineStr">
        <is>
          <t>Smart Universe: broad liquid US universe, diversified by sector | Sector: Consumer Defensive - Neutral (44/100); XLP sector regime is neutral: -0.2% 3m return, -9.1% vs SPY | Setup: No Trade; score 0.00; R/R 0.00x; price 63.37 | Market: NEUTRAL; Sector regime: NEUTRAL; Net R/R: 0.00; Factors: Consumer Defensive, Defensive, Low Volatility | Agent action: SKIP - SKIP: No Trade result. Market regime NEUTRAL; sector NEUTRAL; net R/R 0.00.</t>
        </is>
      </c>
      <c r="R452" t="inlineStr">
        <is>
          <t>{"adjusted_cash_out": 0.0, "adjusted_position_size": 0, "adjusted_risk_amount": 0.0, "ask": 0.0, "bid": 0.0, "buy_zone_high": null, "buy_zone_low": null, "cash_available": 93936.04, "company_name": "Kroger", "correlation_warning": false, "days_to_earnings": 7, "earnings_blackout": false, "earnings_date": "2026-06-18T00:00:00", "estimated_fees": 0.0, "estimated_slippage": 0.1901, "estimated_spread": 0.0507, "executable_entry": 63.37,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63.37, "gross_rr": 0.0, "gross_rr_1": 0.0, "gross_rr_2": 0.0, "gross_rr_decision": 0.0, "highest_correlation_ticker": "HON", "highest_correlation_value": -0.2148, "initial_action": "SKIP", "market_cap": 39003627392.14,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63.4904, "net_reward_1_per_share": 0.0, "net_reward_2_per_share": 0.0, "net_risk_per_share": 63.6108, "net_rr": 0.0, "net_rr_1": 0.0, "net_rr_2": 0.0, "net_stop_assumption": -0.1204, "net_target_1_assumption": -0.0729, "net_target_2_assumption": -0.0729, "normalized_atr_score": 100.0, "normalized_liquidity_score": 45.2, "normalized_momentum_score": 8.91, "normalized_quality_score": 42.57,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63.37,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63.37, "ticker": "KR", "timestamp": "2026-06-09T18:19:46", "warnings": ["Target ATR feasibility unavailable."]}</t>
        </is>
      </c>
    </row>
    <row r="453">
      <c r="A453" t="inlineStr">
        <is>
          <t>2026-06-09T18:19:46</t>
        </is>
      </c>
      <c r="B453" t="inlineStr">
        <is>
          <t>TAP</t>
        </is>
      </c>
      <c r="C453" t="inlineStr">
        <is>
          <t>No Trade</t>
        </is>
      </c>
      <c r="D453" t="n">
        <v>0</v>
      </c>
      <c r="E453" t="n">
        <v>40.42</v>
      </c>
      <c r="H453" t="n">
        <v>0</v>
      </c>
      <c r="K453" t="n">
        <v>0</v>
      </c>
      <c r="L453" t="inlineStr">
        <is>
          <t>No clean technical setup detected. Price in middle of value area or poor risk/reward.</t>
        </is>
      </c>
      <c r="M453" t="inlineStr">
        <is>
          <t>SKIP</t>
        </is>
      </c>
      <c r="N453" t="inlineStr">
        <is>
          <t>SKIP: No Trade result. Market regime NEUTRAL; sector NEUTRAL; net R/R 0.00.</t>
        </is>
      </c>
      <c r="O453" t="inlineStr">
        <is>
          <t>TAP
No Trade
0.00
score
Price
40.42
R/R
0.00x
Grade
No Trade
Quality
0%
Buy Zone
-
Stop
0.00
Targets
-
Skip
Mixed
Relative Strength
In line
65%
Trend Quality
Messy
18%
Liquidity
Institutional liquidity
100%
Volume
Distribution risk
30%
No actionable setup detected.
No clean technical setup detected. Price in middle of value area or poor risk/reward.
Fib 61.8
41.14
Fib Zone
40.86 - 41.42
Swing Low
40.20
Swing High
42.67
Click chart to open full size</t>
        </is>
      </c>
      <c r="P453" t="inlineStr">
        <is>
          <t>agent_results/charts/market_lens_agent_20260609_181706_tap.png</t>
        </is>
      </c>
      <c r="Q453" t="inlineStr">
        <is>
          <t>Smart Universe: broad liquid US universe, diversified by sector | Sector: Consumer Defensive - Neutral (44/100); XLP sector regime is neutral: -0.2% 3m return, -9.1% vs SPY | Setup: No Trade; score 0.00; R/R 0.00x; price 40.42 | Market: NEUTRAL; Sector regime: NEUTRAL; Net R/R: 0.00; Factors: Consumer Defensive, Defensive, Low Volatility | Agent action: SKIP - SKIP: No Trade result. Market regime NEUTRAL; sector NEUTRAL; net R/R 0.00.</t>
        </is>
      </c>
      <c r="R453" t="inlineStr">
        <is>
          <t>{"adjusted_cash_out": 0.0, "adjusted_position_size": 0, "adjusted_risk_amount": 0.0, "ask": 0.0, "bid": 0.0, "buy_zone_high": null, "buy_zone_low": null, "cash_available": 93936.04, "company_name": "Molson Coors Beverage Company", "correlation_warning": false, "days_to_earnings": -28, "earnings_blackout": false, "earnings_date": "2026-04-30T00:00:00", "estimated_fees": 0.0, "estimated_slippage": 0.1213, "estimated_spread": 0.0323, "executable_entry": 40.42, "execution_liquidity_bucket": "mid_liquid", "factor_exposure_after": {"Industrials": 5791.5}, "factor_exposure_before": {"Industrials": 5791.5}, "factor_exposure_cap": 7000.0, "factor_exposure_limit_exceeded": false, "factor_tags": ["Consumer Defensive", "Defensive", "Low Volatility"], "final_action": "SKIP", "gross_reward_1_per_share": 0.0, "gross_reward_2_per_share": 0.0, "gross_risk_per_share": 40.42, "gross_rr": 0.0, "gross_rr_1": 0.0, "gross_rr_2": 0.0, "gross_rr_decision": 0.0, "highest_correlation_ticker": "HON", "highest_correlation_value": 0.1394, "initial_action": "SKIP", "market_cap": 7567697089.82, "market_cap_bucket": "Mid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40.4968, "net_reward_1_per_share": 0.0, "net_reward_2_per_share": 0.0, "net_risk_per_share": 40.5736, "net_rr": 0.0, "net_rr_1": 0.0, "net_rr_2": 0.0, "net_stop_assumption": -0.0768, "net_target_1_assumption": -0.0465, "net_target_2_assumption": -0.0465, "normalized_atr_score": 100.0, "normalized_liquidity_score": 40.88, "normalized_momentum_score": 22.82, "normalized_quality_score": 47.53,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40.42,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43.69, "setup_score": 0.0, "setup_type": "No Trade", "sizing_adjustment_reason": "", "spread_source": "liquidity_fallback", "stock_score": 0.0, "stop_loss": 0.0, "target_1": null, "target_1_atr_distance": 0.0, "target_2": null, "target_2_atr_distance": 0.0, "target_feasibility_status": "UNKNOWN", "theoretical_entry": 40.42, "ticker": "TAP", "timestamp": "2026-06-09T18:19:46", "warnings": ["Target ATR feasibility unavailable."]}</t>
        </is>
      </c>
    </row>
    <row r="454">
      <c r="A454" t="inlineStr">
        <is>
          <t>2026-06-09T18:19:46</t>
        </is>
      </c>
      <c r="B454" t="inlineStr">
        <is>
          <t>RGLD</t>
        </is>
      </c>
      <c r="C454" t="inlineStr">
        <is>
          <t>No Trade</t>
        </is>
      </c>
      <c r="D454" t="n">
        <v>0</v>
      </c>
      <c r="E454" t="n">
        <v>203.18</v>
      </c>
      <c r="H454" t="n">
        <v>0</v>
      </c>
      <c r="K454" t="n">
        <v>0</v>
      </c>
      <c r="L454" t="inlineStr">
        <is>
          <t>No clean technical setup detected. Price in middle of value area or poor risk/reward.</t>
        </is>
      </c>
      <c r="M454" t="inlineStr">
        <is>
          <t>SKIP</t>
        </is>
      </c>
      <c r="N454" t="inlineStr">
        <is>
          <t>SKIP: No Trade result. Market regime NEUTRAL; sector NEUTRAL; net R/R 0.00.</t>
        </is>
      </c>
      <c r="O454" t="inlineStr">
        <is>
          <t>RGLD
No Trade
0.00
score
Price
203.18
R/R
0.00x
Grade
No Trade
Quality
0%
Buy Zone
-
Stop
0.00
Targets
-
Skip
Mixed
Relative Strength
Leadership
100%
Trend Quality
Messy
0%
Liquidity
Institutional liquidity
100%
Volume
Distribution risk
45%
No actionable setup detected.
No clean technical setup detected. Price in middle of value area or poor risk/reward.
Fib 61.8
234.30
Fib Zone
232.27 - 236.32
Swing Low
225.61
Swing High
248.35
Click chart to open full size</t>
        </is>
      </c>
      <c r="P454" t="inlineStr">
        <is>
          <t>agent_results/charts/market_lens_agent_20260609_181706_rgld.png</t>
        </is>
      </c>
      <c r="Q454" t="inlineStr">
        <is>
          <t>Smart Universe: broad liquid US universe, diversified by sector | Sector: Industrials - Neutral (68/100); XLI sector regime is neutral: 3.3% 3m return, -5.6% vs SPY | Setup: No Trade; score 0.00; R/R 0.00x; price 203.18 | Market: NEUTRAL; Sector regime: NEUTRAL; Net R/R: 0.00; Factors: Industrials | Agent action: SKIP - SKIP: No Trade result. Market regime NEUTRAL; sector NEUTRAL; net R/R 0.00.</t>
        </is>
      </c>
      <c r="R454" t="inlineStr">
        <is>
          <t>{"adjusted_cash_out": 0.0, "adjusted_position_size": 0, "adjusted_risk_amount": 0.0, "ask": 0.0, "bid": 0.0, "buy_zone_high": null, "buy_zone_low": null, "cash_available": 93936.04, "company_name": "Royal Gold Inc.", "correlation_warning": false, "days_to_earnings": 41, "earnings_blackout": false, "earnings_date": "2026-08-05T00:00:00", "estimated_fees": 0.0, "estimated_slippage": 0.6095, "estimated_spread": 0.1625, "executable_entry": 203.18, "execution_liquidity_bucket": "mid_liquid", "factor_exposure_after": {"Industrials": 5791.5}, "factor_exposure_before": {"Industrials": 5791.5}, "factor_exposure_cap": 7000.0, "factor_exposure_limit_exceeded": false, "factor_tags": ["Industrials"], "final_action": "SKIP", "gross_reward_1_per_share": 0.0, "gross_reward_2_per_share": 0.0, "gross_risk_per_share": 203.18, "gross_rr": 0.0, "gross_rr_1": 0.0, "gross_rr_2": 0.0, "gross_rr_decision": 0.0, "highest_correlation_ticker": "HON", "highest_correlation_value": 0.4386, "initial_action": "SKIP", "market_cap": 17324243333.08,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203.566, "net_reward_1_per_share": 0.0, "net_reward_2_per_share": 0.0, "net_risk_per_share": 203.9521, "net_rr": 0.0, "net_rr_1": 0.0, "net_rr_2": 0.0, "net_stop_assumption": -0.386, "net_target_1_assumption": -0.2337, "net_target_2_assumption": -0.2337, "normalized_atr_score": 100.0, "normalized_liquidity_score": 21.06, "normalized_momentum_score": 0, "normalized_quality_score": 31.32,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203.18,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203.18, "ticker": "RGLD", "timestamp": "2026-06-09T18:19:46", "warnings": ["Target ATR feasibility unavailable."]}</t>
        </is>
      </c>
    </row>
    <row r="455">
      <c r="A455" t="inlineStr">
        <is>
          <t>2026-06-09T18:19:46</t>
        </is>
      </c>
      <c r="B455" t="inlineStr">
        <is>
          <t>DE</t>
        </is>
      </c>
      <c r="C455" t="inlineStr">
        <is>
          <t>No Trade</t>
        </is>
      </c>
      <c r="D455" t="n">
        <v>0</v>
      </c>
      <c r="E455" t="n">
        <v>576.49</v>
      </c>
      <c r="H455" t="n">
        <v>0</v>
      </c>
      <c r="K455" t="n">
        <v>0</v>
      </c>
      <c r="L455" t="inlineStr">
        <is>
          <t>No clean technical setup detected. Price in middle of value area or poor risk/reward.</t>
        </is>
      </c>
      <c r="M455" t="inlineStr">
        <is>
          <t>SKIP</t>
        </is>
      </c>
      <c r="N455" t="inlineStr">
        <is>
          <t>SKIP: No Trade result. Market regime NEUTRAL; sector NEUTRAL; net R/R 0.00.</t>
        </is>
      </c>
      <c r="O455" t="inlineStr">
        <is>
          <t>DE
No Trade
0.00
score
Price
576.49
R/R
0.00x
Grade
No Trade
Quality
0%
Buy Zone
-
Stop
0.00
Targets
-
Skip
Mixed
Relative Strength
Leadership
100%
Trend Quality
Constructive
58%
Liquidity
Institutional liquidity
100%
Volume
Confirmed
80%
No actionable setup detected.
No clean technical setup detected. Price in middle of value area or poor risk/reward.
Fib 61.8
571.60
Fib Zone
567.18 - 576.01
Swing Low
557.76
Swing High
593.98
Click chart to open full size</t>
        </is>
      </c>
      <c r="P455" t="inlineStr">
        <is>
          <t>agent_results/charts/market_lens_agent_20260609_181706_de.png</t>
        </is>
      </c>
      <c r="Q455" t="inlineStr">
        <is>
          <t>Smart Universe: broad liquid US universe, diversified by sector | Sector: Industrials - Neutral (68/100); XLI sector regime is neutral: 3.3% 3m return, -5.6% vs SPY | Setup: No Trade; score 0.00; R/R 0.00x; price 576.49 | Market: NEUTRAL; Sector regime: NEUTRAL; Net R/R: 0.00; Factors: Industrials | Agent action: SKIP - SKIP: No Trade result. Market regime NEUTRAL; sector NEUTRAL; net R/R 0.00.</t>
        </is>
      </c>
      <c r="R455" t="inlineStr">
        <is>
          <t>{"adjusted_cash_out": 0.0, "adjusted_position_size": 0, "adjusted_risk_amount": 0.0, "ask": 0.0, "bid": 0.0, "buy_zone_high": null, "buy_zone_low": null, "cash_available": 93936.04, "company_name": "Deere &amp; Company", "correlation_warning": false, "days_to_earnings": 52, "earnings_blackout": false, "earnings_date": "2026-08-20T00:00:00", "estimated_fees": 0.0, "estimated_slippage": 0.8071, "estimated_spread": 0.1729, "executable_entry": 576.49, "execution_liquidity_bucket": "large_liquid", "factor_exposure_after": {"Industrials": 5791.5}, "factor_exposure_before": {"Industrials": 5791.5}, "factor_exposure_cap": 7000.0, "factor_exposure_limit_exceeded": false, "factor_tags": ["Industrials"], "final_action": "SKIP", "gross_reward_1_per_share": 0.0, "gross_reward_2_per_share": 0.0, "gross_risk_per_share": 576.49, "gross_rr": 0.0, "gross_rr_1": 0.0, "gross_rr_2": 0.0, "gross_rr_decision": 0.0, "highest_correlation_ticker": "HON", "highest_correlation_value": 0.2946, "initial_action": "SKIP", "market_cap": 155788987408.3, "market_cap_bucket": "Large Cap", "market_regime": "NEUTRAL", "market_regime_indicators": {"DXY": {"ema20": 99.2866, "ema200": 98.8356, "ema50": 98.9903, "price": 99.916, "return_1m": 2.02, "return_3m": 0.69, "trend": "bullish"}, "IWM": {"ema20": 284.7035, "ema200": 267.3602, "ema50": 277.4089, "price": 284.12, "return_1m": -0.42, "return_3m": 12.57, "trend": "mixed"}, "QQQ": {"ema20": 716.0809, "ema200": 651.6077, "ema50": 685.1212, "price": 703.26, "return_1m": -1.41, "return_3m": 15.87, "trend": "mixed"}, "SPY": {"ema20": 742.3968, "ema200": 703.1875, "ema50": 724.1314, "price": 734.25, "return_1m": -0.68, "return_3m": 8.86, "trend": "mixed"}, "US10Y": {"ema20": 4.4932, "ema200": 4.3207, "ema50": 4.4217, "price": 4.536, "return_1m": 2.86, "return_3m": 7.79, "trend": "bullish"}, "VIX": {"ema20": 17.6619, "ema200": 18.8471, "ema50": 18.488, "price": 20.42, "return_1m": 13.51, "return_3m": -25.17, "trend": "mixed"}}, "market_regime_reason": "Market regime is mixed; use lower exposure and higher net R/R.", "market_regime_score": 0.52, "market_structure_status": "UNKNOWN", "minimum_net_rr_required": 2.5, "net_entry": 576.98, "net_reward_1_per_share": 0.0, "net_reward_2_per_share": 0.0, "net_risk_per_share": 577.47, "net_rr": 0.0, "net_rr_1": 0.0, "net_rr_2": 0.0, "net_stop_assumption": -0.49, "net_target_1_assumption": -0.2882, "net_target_2_assumption": -0.2882, "normalized_atr_score": 100.0, "normalized_liquidity_score": 62.27, "normalized_momentum_score": 38.64, "normalized_quality_score": 61.07, "original_cash_out": 0.0, "original_position_size": 0, "original_risk_amount": 0.0, "portfolio_exposure_after": 5796.9, "portfolio_exposure_before": 5796.9, "position_size": 0, "position_size_adjusted": false, "position_sizing_explanation": "No new position size was calculated because the base decision did not open a simulated buy.", "previous_resistance": 0.0, "price": 576.49, "prior_high_20": 0.0, "prior_high_63": 0.0, "reason": "SKIP: No Trade result. Market regime NEUTRAL; sector NEUTRAL; net R/R 0.00.", "risk_amount": 0.0, "scan_source": "Smart Universe: broad liquid US universe filtered and diversified by the Market Lens UI.", "sector": "Industrials", "sector_etf": "XLI", "sector_exposure_after": 5791.5, "sector_exposure_before": 5791.5, "sector_exposure_cap": 6000.0, "sector_exposure_limit_exceeded": false, "sector_regime": "NEUTRAL", "sector_score": 67.94, "setup_score": 0.0, "setup_type": "No Trade", "sizing_adjustment_reason": "", "spread_source": "liquidity_fallback", "stock_score": 0.0, "stop_loss": 0.0, "target_1": null, "target_1_atr_distance": 0.0, "target_2": null, "target_2_atr_distance": 0.0, "target_feasibility_status": "UNKNOWN", "theoretical_entry": 576.49, "ticker": "DE", "timestamp": "2026-06-09T18:19:46", "warnings": ["Target ATR feasibility unavailable."]}</t>
        </is>
      </c>
    </row>
    <row r="456">
      <c r="A456" t="inlineStr">
        <is>
          <t>2026-06-09T18:49:40</t>
        </is>
      </c>
      <c r="B456" t="inlineStr">
        <is>
          <t>HON</t>
        </is>
      </c>
      <c r="C456" t="inlineStr">
        <is>
          <t>Breakout + Retest</t>
        </is>
      </c>
      <c r="D456" t="n">
        <v>0.46</v>
      </c>
      <c r="E456" t="n">
        <v>214.33</v>
      </c>
      <c r="F456" t="n">
        <v>213.65</v>
      </c>
      <c r="G456" t="n">
        <v>219.83</v>
      </c>
      <c r="H456" t="n">
        <v>210.55</v>
      </c>
      <c r="I456" t="n">
        <v>218.99</v>
      </c>
      <c r="J456" t="n">
        <v>239.94</v>
      </c>
      <c r="K456" t="n">
        <v>3.18</v>
      </c>
      <c r="L456" t="inlineStr">
        <is>
          <t>Price (214.33) retesting broken resistance (219.83) as support. Breakout on 2026-05-21 with 1.1× avg volume. Entry at 214.33, stop at 210.55.</t>
        </is>
      </c>
      <c r="M456" t="inlineStr">
        <is>
          <t>HOLD</t>
        </is>
      </c>
      <c r="N456" t="inlineStr">
        <is>
          <t>HOLD: Existing simulated position remains open. NEUTRAL regime recorded.</t>
        </is>
      </c>
      <c r="O456" t="inlineStr">
        <is>
          <t>HON
Breakout + Retest
0.46
score
Price
214.33
R/R
3.18x
Grade
B
Quality
70%
Buy Zone
213.65 - 219.83
Stop
210.55
Targets
218.99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(214.33) retesting broken resistance (219.83) as support. Breakout on 2026-05-21 with 1.1× avg volume. Entry at 214.33, stop at 210.55.
Fib 61.8
222.36
Fib Zone
220.82 - 223.91
Swing Low
211.50
Swing High
239.94
Save setup
Click chart to open full size</t>
        </is>
      </c>
      <c r="P456" t="inlineStr">
        <is>
          <t>agent_results/charts/market_lens_agent_20260609_184719_hon.png</t>
        </is>
      </c>
      <c r="Q456" t="inlineStr">
        <is>
          <t>Smart Universe: broad liquid US universe, diversified by sector | Sector: Industrials - Strong (68/100); XLI sector regime is strong: 3.6% 3m return, -5.4% vs SPY | Setup: Breakout + Retest; score 0.46; R/R 3.18x; price 214.33 | Market: NEUTRAL; Sector regime: STRONG; Net R/R: 2.49; Factors: Industrials | Agent action: HOLD - HOLD: Existing simulated position remains open. NEUTRAL regime recorded.</t>
        </is>
      </c>
      <c r="R45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0.7287, "estimated_spread": 0.0643, "executable_entry": 214.33, "execution_liquidity_bucket": "large_liquid", "factor_exposure_after": {}, "factor_exposure_before": {}, "factor_exposure_cap": 7000.0, "factor_exposure_limit_exceeded": false, "factor_tags": ["Industrials"], "final_action": "HOLD", "gross_reward_1_per_share": 4.66, "gross_reward_2_per_share": 25.61, "gross_risk_per_share": 3.78, "gross_rr": 3.1726, "gross_rr_1": 1.2328, "gross_rr_2": 6.7751, "gross_rr_decision": 3.1726, "highest_correlation_ticker": "", "highest_correlation_value": null, "initial_action": "HOLD", "market_cap": 135845720436.05,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214.7265, "net_reward_1_per_share": 4.0492, "net_reward_2_per_share": 24.9992, "net_risk_per_share": 4.573, "net_rr": 2.4889, "net_rr_1": 0.8854, "net_rr_2": 5.4667, "net_stop_assumption": 210.1535, "net_target_1_assumption": 218.7757, "net_target_2_assumption": 239.7257, "normalized_atr_score": 100.0, "normalized_liquidity_score": 67.68, "normalized_momentum_score": 15.5, "normalized_quality_score": 52.28,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239.94, "price": 214.33,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 "setup_score": 0.46, "setup_type": "Breakout + Retest", "sizing_adjustment_reason": "", "spread_source": "liquidity_fallback", "stock_score": 0.46, "stop_loss": 210.55, "target_1": 218.99, "target_1_atr_distance": 0.7533, "target_2": 239.94, "target_2_atr_distance": 4.1401, "target_feasibility_status": "OK", "theoretical_entry": 213.65, "ticker": "HON", "timestamp": "2026-06-09T18:49:40", "warnings": []}</t>
        </is>
      </c>
    </row>
    <row r="457">
      <c r="A457" t="inlineStr">
        <is>
          <t>2026-06-09T18:49:40</t>
        </is>
      </c>
      <c r="B457" t="inlineStr">
        <is>
          <t>V</t>
        </is>
      </c>
      <c r="C457" t="inlineStr">
        <is>
          <t>Fib 61.8 Confluence Buy Zone</t>
        </is>
      </c>
      <c r="D457" t="n">
        <v>0.4</v>
      </c>
      <c r="E457" t="n">
        <v>324.35</v>
      </c>
      <c r="F457" t="n">
        <v>321.24</v>
      </c>
      <c r="G457" t="n">
        <v>324.8</v>
      </c>
      <c r="H457" t="n">
        <v>319</v>
      </c>
      <c r="I457" t="n">
        <v>325.34</v>
      </c>
      <c r="J457" t="n">
        <v>338.49</v>
      </c>
      <c r="K457" t="n">
        <v>1.05</v>
      </c>
      <c r="L457" t="inlineStr">
        <is>
          <t>Price at 61.8% fib retracement (323.02) with confluence at VWAP. Planned entry at zone low 321.24; executable entry 324.35, stop below fib 78.6% at 319.00.</t>
        </is>
      </c>
      <c r="M457" t="inlineStr">
        <is>
          <t>WATCH</t>
        </is>
      </c>
      <c r="N457" t="inlineStr">
        <is>
          <t>WATCH: Technical setup detected, but weighted risk/reward 1.05 is below minimum 2.00. Market regime NEUTRAL; sector STRONG; net R/R 0.87.</t>
        </is>
      </c>
      <c r="O457" t="inlineStr">
        <is>
          <t>V
Fib 61.8 Confluence Buy Zone
0.40
score
Price
324.35
R/R
1.05x
Grade
C
Quality
64%
Buy Zone
321.24 - 324.80
Stop
319.00
Targets
325.34 / 338.49
Watch only; needs confirmation
Mixed
Relative Strength
Leadership
86%
Trend Quality
Constructive
58%
Liquidity
Institutional liquidity
100%
Volume
Distribution risk
30%
Trigger
Break above prior-day high at 324.35 after holding buy zone.
Invalidation
Exit if price closes below 319.00 or setup support fails.
Recent volume shows distribution risk.
Market regime: Mixed.
Relative strength: Leadership.
Price at 61.8% fib retracement (323.02) with confluence at VWAP. Planned entry at zone low 321.24; executable entry 324.35, stop below fib 78.6% at 319.00.
Fib 61.8
323.02
Fib Zone
321.24 - 324.80
Swing Low
315.51
Swing High
335.17
Save setup
Click chart to open full size</t>
        </is>
      </c>
      <c r="P457" t="inlineStr">
        <is>
          <t>agent_results/charts/market_lens_agent_20260609_184719_v.png</t>
        </is>
      </c>
      <c r="Q457" t="inlineStr">
        <is>
          <t>Smart Universe: broad liquid US universe, diversified by sector | Sector: Financials - Strong (72/100); XLF sector regime is strong: 6.0% 3m return, -3.0% vs SPY | Setup: Fib 61.8 Confluence Buy Zone; score 0.40; R/R 1.05x; price 324.35 | Market: NEUTRAL; Sector regime: STRONG; Net R/R: 0.87; Factors: Financials | Agent action: WATCH - WATCH: Technical setup detected, but weighted risk/reward 1.05 is below minimum 2.00. Market regime NEUTRAL; sector STRONG; net R/R 0.87.</t>
        </is>
      </c>
      <c r="R457" t="inlineStr">
        <is>
          <t>{"adjusted_cash_out": 0.0, "adjusted_position_size": 0, "adjusted_risk_amount": 0.0, "ask": 0.0, "bid": 0.0, "buy_zone_high": 324.8, "buy_zone_low": 321.24, "cash_available": 93936.04, "company_name": "Visa Inc.", "correlation_warning": false, "days_to_earnings": 35, "earnings_blackout": false, "earnings_date": "2026-07-28T00:00:00", "estimated_fees": 0.0, "estimated_slippage": 0.4541, "estimated_spread": 0.0973, "executable_entry": 324.35, "execution_liquidity_bucket": "large_liquid", "factor_exposure_after": {"Industrials": 5786.91}, "factor_exposure_before": {"Industrials": 5786.91}, "factor_exposure_cap": 7000.0, "factor_exposure_limit_exceeded": false, "factor_tags": ["Financials"], "final_action": "WATCH", "gross_reward_1_per_share": 0.99, "gross_reward_2_per_share": 14.14, "gross_risk_per_share": 5.35, "gross_rr": 1.0453, "gross_rr_1": 0.185, "gross_rr_2": 2.643, "gross_rr_decision": 1.0453, "highest_correlation_ticker": "HON", "highest_correlation_value": 0.1014, "initial_action": "WATCH", "market_cap": 617096827090.28,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324.6257, "net_reward_1_per_share": 0.5521, "net_reward_2_per_share": 13.7021, "net_risk_per_share": 5.9014, "net_rr": 0.8735, "net_rr_1": 0.0936, "net_rr_2": 2.3218, "net_stop_assumption": 318.7243, "net_target_1_assumption": 325.1778, "net_target_2_assumption": 338.3278, "normalized_atr_score": 100.0, "normalized_liquidity_score": 58.8, "normalized_momentum_score": 69.52, "normalized_quality_score": 73.92,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335.17, "price": 324.35, "prior_high_20": 335.17, "prior_high_63": 341.2725, "reason": "WATCH: Technical setup detected, but weighted risk/reward 1.05 is below minimum 2.00. Market regime NEUTRAL; sector STRONG; net R/R 0.87.",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71.65, "setup_score": 0.4, "setup_type": "Fib 61.8 Confluence Buy Zone", "sizing_adjustment_reason": "", "spread_source": "liquidity_fallback", "stock_score": 0.4, "stop_loss": 319.0, "target_1": 325.34, "target_1_atr_distance": 0.1392, "target_2": 338.49, "target_2_atr_distance": 1.9879, "target_feasibility_status": "LOW_REWARD_DISTANCE", "theoretical_entry": 321.24, "ticker": "V", "timestamp": "2026-06-09T18:49:40", "warnings": ["Target 1 is close versus daily ATR."]}</t>
        </is>
      </c>
    </row>
    <row r="458">
      <c r="A458" t="inlineStr">
        <is>
          <t>2026-06-09T18:49:40</t>
        </is>
      </c>
      <c r="B458" t="inlineStr">
        <is>
          <t>ORCL</t>
        </is>
      </c>
      <c r="C458" t="inlineStr">
        <is>
          <t>Fib 61.8 Confluence Buy Zone</t>
        </is>
      </c>
      <c r="D458" t="n">
        <v>0.39</v>
      </c>
      <c r="E458" t="n">
        <v>205.38</v>
      </c>
      <c r="F458" t="n">
        <v>202.83</v>
      </c>
      <c r="G458" t="n">
        <v>209.36</v>
      </c>
      <c r="H458" t="n">
        <v>192.78</v>
      </c>
      <c r="I458" t="n">
        <v>207.58</v>
      </c>
      <c r="J458" t="n">
        <v>250.25</v>
      </c>
      <c r="K458" t="n">
        <v>1.36</v>
      </c>
      <c r="L458" t="inlineStr">
        <is>
          <t>Price at 61.8% fib retracement (206.09) with confluence at VWAP. Planned entry at zone low 202.83; executable entry 205.38, stop below fib 78.6% at 192.78. Structural confluence: swing low at 178.80 aligns with HVN (175.94).</t>
        </is>
      </c>
      <c r="M458" t="inlineStr">
        <is>
          <t>WATCH</t>
        </is>
      </c>
      <c r="N458" t="inlineStr">
        <is>
          <t>WATCH: Technical setup detected, but weighted risk/reward 1.36 is below minimum 2.00. Market regime NEUTRAL; sector STRONG; net R/R 1.29.</t>
        </is>
      </c>
      <c r="O458" t="inlineStr">
        <is>
          <t>ORCL
Fib 61.8 Confluence Buy Zone
0.39
score
Price
205.38
R/R
1.36x
Grade
C
Quality
61%
Buy Zone
202.83 - 209.36
Stop
192.78
Targets
207.58 / 250.25
Watch only; needs confirmation
Mixed
Relative Strength
Leadership
100%
Trend Quality
Clean uptrend
86%
Liquidity
Institutional liquidity
100%
Volume
Neutral
65%
Trigger
Break above prior-day high at 219.06 after holding buy zone.
Invalidation
Exit if price closes below 192.78 or setup support fails.
Earnings are close; reduce size or wait.
Market regime: Mixed.
Relative strength: Leadership.
Price at 61.8% fib retracement (206.09) with confluence at VWAP. Planned entry at zone low 202.83; executable entry 205.38, stop below fib 78.6% at 192.78. Structural confluence: swing low at 178.80 aligns with HVN (175.94).
Fib 61.8
206.09
Fib Zone
202.83 - 209.36
Swing Low
178.80
Swing High
250.25
Save setup
Click chart to open full size</t>
        </is>
      </c>
      <c r="P458" t="inlineStr">
        <is>
          <t>agent_results/charts/market_lens_agent_20260609_184719_orcl.png</t>
        </is>
      </c>
      <c r="Q458" t="inlineStr">
        <is>
          <t>Smart Universe: broad liquid US universe, diversified by sector | Sector: Technology - Strong (74/100); XLK sector regime is strong: 27.8% 3m return, 18.8% vs SPY | Setup: Fib 61.8 Confluence Buy Zone; score 0.39; R/R 1.36x; price 205.38 | Market: NEUTRAL; Sector regime: STRONG; Net R/R: 1.29; Factors: Technology | Agent action: WATCH - WATCH: Technical setup detected, but weighted risk/reward 1.36 is below minimum 2.00. Market regime NEUTRAL; sector STRONG; net R/R 1.29.</t>
        </is>
      </c>
      <c r="R458"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0.3307, "estimated_spread": 0.0616, "executable_entry": 205.38, "execution_liquidity_bucket": "large_liquid", "factor_exposure_after": {"Industrials": 5786.91}, "factor_exposure_before": {"Industrials": 5786.91}, "factor_exposure_cap": 7000.0, "factor_exposure_limit_exceeded": false, "factor_tags": ["Technology"], "final_action": "WATCH", "gross_reward_1_per_share": 2.2, "gross_reward_2_per_share": 44.87, "gross_risk_per_share": 12.6, "gross_rr": 1.3599, "gross_rr_1": 0.1746, "gross_rr_2": 3.5611, "gross_rr_decision": 1.3599, "highest_correlation_ticker": "HON", "highest_correlation_value": 0.1182, "initial_action": "WATCH", "market_cap": 591056197661.41, "market_cap_bucket": "Mega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205.5761, "net_reward_1_per_share": 1.8904, "net_reward_2_per_share": 44.5604, "net_risk_per_share": 12.9923, "net_rr": 1.295, "net_rr_1": 0.1455, "net_rr_2": 3.4298, "net_stop_assumption": 192.5839, "net_target_1_assumption": 207.4665, "net_target_2_assumption": 250.1365, "normalized_atr_score": 83.77, "normalized_liquidity_score": 75.44, "normalized_momentum_score": 100, "normalized_quality_score": 88.57,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250.25, "price": 205.38, "prior_high_20": 250.25, "prior_high_63": 250.25, "reason": "WATCH: Technical setup detected, but weighted risk/reward 1.36 is below minimum 2.00. Market regime NEUTRAL; sector STRONG; net R/R 1.29.",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0.39, "setup_type": "Fib 61.8 Confluence Buy Zone", "sizing_adjustment_reason": "", "spread_source": "liquidity_fallback", "stock_score": 0.39, "stop_loss": 192.78, "target_1": 207.58, "target_1_atr_distance": 0.1684, "target_2": 250.25, "target_2_atr_distance": 3.434, "target_feasibility_status": "LOW_REWARD_DISTANCE", "theoretical_entry": 202.83, "ticker": "ORCL", "timestamp": "2026-06-09T18:49:40", "warnings": ["Target 1 is close versus daily ATR.", "Earnings blackout active."]}</t>
        </is>
      </c>
    </row>
    <row r="459">
      <c r="A459" t="inlineStr">
        <is>
          <t>2026-06-09T18:49:40</t>
        </is>
      </c>
      <c r="B459" t="inlineStr">
        <is>
          <t>DLR</t>
        </is>
      </c>
      <c r="C459" t="inlineStr">
        <is>
          <t>Fib 61.8 Confluence Buy Zone</t>
        </is>
      </c>
      <c r="D459" t="n">
        <v>0.38</v>
      </c>
      <c r="E459" t="n">
        <v>185.58</v>
      </c>
      <c r="F459" t="n">
        <v>185.39</v>
      </c>
      <c r="G459" t="n">
        <v>187.55</v>
      </c>
      <c r="H459" t="n">
        <v>180.15</v>
      </c>
      <c r="I459" t="n">
        <v>190.61</v>
      </c>
      <c r="J459" t="n">
        <v>208.14</v>
      </c>
      <c r="K459" t="n">
        <v>2.06</v>
      </c>
      <c r="L459" t="inlineStr">
        <is>
          <t>Price at 61.8% fib retracement (186.47) with confluence at VWAP. Planned entry at zone low 185.39; executable entry 185.58, stop below fib 78.6% at 180.15. Structural confluence: swing low at 184.95 aligns with HVN (184.59).</t>
        </is>
      </c>
      <c r="M459" t="inlineStr">
        <is>
          <t>WATCH</t>
        </is>
      </c>
      <c r="N459" t="inlineStr">
        <is>
          <t>WATCH: Neutral market requires stronger setup score (0.38 &lt; 0.45).</t>
        </is>
      </c>
      <c r="O459" t="inlineStr">
        <is>
          <t>DLR
Fib 61.8 Confluence Buy Zone
0.38
score
Price
185.58
R/R
2.06x
Grade
C
Quality
57%
Buy Zone
185.39 - 187.55
Stop
180.15
Targets
190.61 / 208.14
Watch only; needs confirmation
Mixed
Relative Strength
Leadership
100%
Trend Quality
Messy
0%
Liquidity
Institutional liquidity
100%
Volume
Distribution risk
30%
Trigger
Break above prior-day high at 187.95 after holding buy zone.
Invalidation
Exit if price closes below 180.15 or setup support fails.
Trend quality is not clean.
Recent volume shows distribution risk.
Market regime: Mixed.
Relative strength: Leadership.
Price at 61.8% fib retracement (186.47) with confluence at VWAP. Planned entry at zone low 185.39; executable entry 185.58, stop below fib 78.6% at 180.15. Structural confluence: swing low at 184.95 aligns with HVN (184.59).
Fib 61.8
186.47
Fib Zone
185.39 - 187.55
Swing Low
173.08
Swing High
208.14
Save setup
Click chart to open full size</t>
        </is>
      </c>
      <c r="P459" t="inlineStr">
        <is>
          <t>agent_results/charts/market_lens_agent_20260609_184719_dlr.png</t>
        </is>
      </c>
      <c r="Q459" t="inlineStr">
        <is>
          <t>Smart Universe: broad liquid US universe, diversified by sector | Sector: Real Estate - Strong (73/100); XLRE sector regime is strong: 7.2% 3m return, -1.8% vs SPY | Setup: Fib 61.8 Confluence Buy Zone; score 0.38; R/R 2.06x; price 185.58 | Market: NEUTRAL; Sector regime: STRONG; Net R/R: 1.73; Factors: Real Estate | Agent action: WATCH - WATCH: Neutral market requires stronger setup score (0.38 &lt; 0.45).</t>
        </is>
      </c>
      <c r="R459" t="inlineStr">
        <is>
          <t>{"adjusted_cash_out": 5938.56, "adjusted_position_size": 32, "adjusted_risk_amount": 173.76, "ask": 0.0, "bid": 0.0, "buy_zone_high": 187.55, "buy_zone_low": 185.39, "cash_available": 93936.04, "company_name": "Digital Realty", "correlation_warning": false, "days_to_earnings": 32, "earnings_blackout": false, "earnings_date": "2026-07-23T00:00:00", "estimated_fees": 0.0, "estimated_slippage": 0.5567, "estimated_spread": 0.1485, "executable_entry": 185.58, "execution_liquidity_bucket": "mid_liquid", "factor_exposure_after": {"Industrials": 5786.91, "Real Estate": 5938.56}, "factor_exposure_before": {"Industrials": 5786.91}, "factor_exposure_cap": 7000.0, "factor_exposure_limit_exceeded": false, "factor_tags": ["Real Estate"], "final_action": "WATCH", "gross_reward_1_per_share": 5.03, "gross_reward_2_per_share": 22.56, "gross_risk_per_share": 5.43, "gross_rr": 2.0563, "gross_rr_1": 0.9263, "gross_rr_2": 4.1547, "gross_rr_decision": 2.0563, "highest_correlation_ticker": "HON", "highest_correlation_value": 0.4609, "initial_action": "BUY_SIMULATED", "market_cap": 65213939114.04,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185.9326, "net_reward_1_per_share": 4.464, "net_reward_2_per_share": 21.994, "net_risk_per_share": 6.1352, "net_rr": 1.7276, "net_rr_1": 0.7276, "net_rr_2": 3.5849, "net_stop_assumption": 179.7974, "net_target_1_assumption": 190.3966, "net_target_2_assumption": 207.9266, "normalized_atr_score": 100.0, "normalized_liquidity_score": 41.4, "normalized_momentum_score": 52.39, "normalized_quality_score": 61.0, "original_cash_out": 9835.74, "original_position_size": 53, "original_risk_amount": 287.79, "portfolio_exposure_after": 5796.63, "portfolio_exposure_before": 5796.63, "position_size": 0, "position_size_adjusted": true, "position_sizing_explanation": "Base position sizing produced a candidate trade, but the risk transparency layer blocked the new buy. Candidate size: 32 shares, cash 5938.56, risk 173.76.", "previous_resistance": 197.54, "price": 185.58, "prior_high_20": 197.54, "prior_high_63": 208.14, "reason": "WATCH: Neutral market requires stronger setup score (0.38 &lt; 0.45).", "risk_amount": 0.0, "scan_source": "Smart Universe: broad liquid US universe filtered and diversified by the Market Lens UI.", "sector": "Real Estate", "sector_etf": "XLRE", "sector_exposure_after": 5938.56, "sector_exposure_before": 0.0, "sector_exposure_cap": 6000.0, "sector_exposure_limit_exceeded": false, "sector_regime": "STRONG", "sector_score": 72.64, "setup_score": 0.38, "setup_type": "Fib 61.8 Confluence Buy Zone", "sizing_adjustment_reason": "Position size reduced by Real Estate sector exposure cap (53 -&gt; 32 shares).", "spread_source": "liquidity_fallback", "stock_score": 0.38, "stop_loss": 180.15, "target_1": 190.61, "target_1_atr_distance": 1.166, "target_2": 208.14, "target_2_atr_distance": 5.2295, "target_feasibility_status": "OK", "theoretical_entry": 185.39, "ticker": "DLR", "timestamp": "2026-06-09T18:49:40", "warnings": ["Position size reduced by Real Estate sector exposure cap (53 -&gt; 32 shares).", "Gross R/R is valid, but Net R/R 1.73 failed minimum 2.20 after slippage/spread adjustment."]}</t>
        </is>
      </c>
    </row>
    <row r="460">
      <c r="A460" t="inlineStr">
        <is>
          <t>2026-06-09T18:49:40</t>
        </is>
      </c>
      <c r="B460" t="inlineStr">
        <is>
          <t>DHR</t>
        </is>
      </c>
      <c r="C460" t="inlineStr">
        <is>
          <t>Fib 61.8 Confluence Buy Zone</t>
        </is>
      </c>
      <c r="D460" t="n">
        <v>0.33</v>
      </c>
      <c r="E460" t="n">
        <v>189.14</v>
      </c>
      <c r="F460" t="n">
        <v>187.14</v>
      </c>
      <c r="G460" t="n">
        <v>189.77</v>
      </c>
      <c r="H460" t="n">
        <v>184.65</v>
      </c>
      <c r="I460" t="n">
        <v>190.75</v>
      </c>
      <c r="J460" t="n">
        <v>200.5</v>
      </c>
      <c r="K460" t="n">
        <v>1.12</v>
      </c>
      <c r="L460" t="inlineStr">
        <is>
          <t>Price at 61.8% fib retracement (188.46) with confluence at VWAP. Planned entry at zone low 187.14; executable entry 189.14, stop below fib 78.6% at 184.65.</t>
        </is>
      </c>
      <c r="M460" t="inlineStr">
        <is>
          <t>WATCH</t>
        </is>
      </c>
      <c r="N460" t="inlineStr">
        <is>
          <t>WATCH: Technical setup detected, but weighted risk/reward 1.12 is below minimum 2.00. Market regime NEUTRAL; sector STRONG; net R/R 0.99.</t>
        </is>
      </c>
      <c r="O460" t="inlineStr">
        <is>
          <t>DHR
Fib 61.8 Confluence Buy Zone
0.33
score
Price
189.14
R/R
1.12x
Grade
B
Quality
74%
Buy Zone
187.14 - 189.77
Stop
184.65
Targets
190.75 / 200.50
Tradable if trigger confirms
Mixed
Relative Strength
Leadership
100%
Trend Quality
Constructive
68%
Liquidity
Institutional liquidity
100%
Volume
Neutral
65%
Trigger
Break above prior-day high at 189.14 after holding buy zone.
Invalidation
Exit if price closes below 184.65 or setup support fails.
Market regime: Mixed.
Relative strength: Leadership.
Price at 61.8% fib retracement (188.46) with confluence at VWAP. Planned entry at zone low 187.14; executable entry 189.14, stop below fib 78.6% at 184.65.
Fib 61.8
188.46
Fib Zone
187.14 - 189.77
Swing Low
181.01
Swing High
200.50
Save setup
Click chart to open full size</t>
        </is>
      </c>
      <c r="P460" t="inlineStr">
        <is>
          <t>agent_results/charts/market_lens_agent_20260609_184719_dhr.png</t>
        </is>
      </c>
      <c r="Q460" t="inlineStr">
        <is>
          <t>Smart Universe: broad liquid US universe, diversified by sector | Sector: Healthcare - Strong (69/100); XLV sector regime is strong: 1.8% 3m return, -7.3% vs SPY | Setup: Fib 61.8 Confluence Buy Zone; score 0.33; R/R 1.12x; price 189.14 | Market: NEUTRAL; Sector regime: STRONG; Net R/R: 0.99; Factors: Defensive, Healthcare | Agent action: WATCH - WATCH: Technical setup detected, but weighted risk/reward 1.12 is below minimum 2.00. Market regime NEUTRAL; sector STRONG; net R/R 0.99.</t>
        </is>
      </c>
      <c r="R460"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0.2648, "estimated_spread": 0.0567, "executable_entry": 189.14, "execution_liquidity_bucket": "large_liquid", "factor_exposure_after": {"Industrials": 5786.91}, "factor_exposure_before": {"Industrials": 5786.91}, "factor_exposure_cap": 7000.0, "factor_exposure_limit_exceeded": false, "factor_tags": ["Defensive", "Healthcare"], "final_action": "WATCH", "gross_reward_1_per_share": 1.61, "gross_reward_2_per_share": 11.36, "gross_risk_per_share": 4.49, "gross_rr": 1.1186, "gross_rr_1": 0.3586, "gross_rr_2": 2.5301, "gross_rr_decision": 1.1186, "highest_correlation_ticker": "HON", "highest_correlation_value": 0.1977, "initial_action": "WATCH", "market_cap": 133857119831.38,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189.3008, "net_reward_1_per_share": 1.3547, "net_reward_2_per_share": 11.1047, "net_risk_per_share": 4.8115, "net_rr": 0.9908, "net_rr_1": 0.2815, "net_rr_2": 2.3079, "net_stop_assumption": 184.4892, "net_target_1_assumption": 190.6554, "net_target_2_assumption": 200.4054, "normalized_atr_score": 100.0, "normalized_liquidity_score": 58.71, "normalized_momentum_score": 62.64, "normalized_quality_score": 70.8,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200.5, "price": 189.14, "prior_high_20": 188.75, "prior_high_63": 200.5, "reason": "WATCH: Technical setup detected, but weighted risk/reward 1.12 is below minimum 2.00. Market regime NEUTRAL; sector STRONG; net R/R 0.99.",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0.33, "setup_type": "Fib 61.8 Confluence Buy Zone", "sizing_adjustment_reason": "", "spread_source": "liquidity_fallback", "stock_score": 0.33, "stop_loss": 184.65, "target_1": 190.75, "target_1_atr_distance": 0.3053, "target_2": 200.5, "target_2_atr_distance": 2.1539, "target_feasibility_status": "LOW_REWARD_DISTANCE", "theoretical_entry": 187.14, "ticker": "DHR", "timestamp": "2026-06-09T18:49:40", "warnings": ["Target 1 is close versus daily ATR."]}</t>
        </is>
      </c>
    </row>
    <row r="461">
      <c r="A461" t="inlineStr">
        <is>
          <t>2026-06-09T18:49:40</t>
        </is>
      </c>
      <c r="B461" t="inlineStr">
        <is>
          <t>NOW</t>
        </is>
      </c>
      <c r="C461" t="inlineStr">
        <is>
          <t>Breakout + Retest</t>
        </is>
      </c>
      <c r="D461" t="n">
        <v>0.32</v>
      </c>
      <c r="E461" t="n">
        <v>106.57</v>
      </c>
      <c r="F461" t="n">
        <v>103.03</v>
      </c>
      <c r="G461" t="n">
        <v>110.83</v>
      </c>
      <c r="H461" t="n">
        <v>99.13</v>
      </c>
      <c r="I461" t="n">
        <v>113.25</v>
      </c>
      <c r="J461" t="n">
        <v>133.24</v>
      </c>
      <c r="K461" t="n">
        <v>1.84</v>
      </c>
      <c r="L461" t="inlineStr">
        <is>
          <t>Price (106.57) retesting broken resistance (110.83) as support. Breakout on 2026-05-29 with 2.4× avg volume. Volume confirmed breakout. Entry at 106.57, stop at 99.13.</t>
        </is>
      </c>
      <c r="M461" t="inlineStr">
        <is>
          <t>WATCH</t>
        </is>
      </c>
      <c r="N461" t="inlineStr">
        <is>
          <t>WATCH: Technical setup detected, but weighted risk/reward 1.84 is below minimum 2.00. Market regime NEUTRAL; sector STRONG; net R/R 1.69.</t>
        </is>
      </c>
      <c r="O461" t="inlineStr">
        <is>
          <t>NOW
Breakout + Retest
0.32
score
Price
106.57
R/R
1.84x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(106.57) retesting broken resistance (110.83) as support. Breakout on 2026-05-29 with 2.4× avg volume. Volume confirmed breakout. Entry at 106.57, stop at 99.13.
Fib 61.8
95.14
Fib Zone
93.19 - 97.09
Swing Low
85.44
Swing High
110.83
Save setup
Click chart to open full size</t>
        </is>
      </c>
      <c r="P461" t="inlineStr">
        <is>
          <t>agent_results/charts/market_lens_agent_20260609_184719_now.png</t>
        </is>
      </c>
      <c r="Q461" t="inlineStr">
        <is>
          <t>Smart Universe: broad liquid US universe, diversified by sector | Sector: Technology - Strong (74/100); XLK sector regime is strong: 27.8% 3m return, 18.8% vs SPY | Setup: Breakout + Retest; score 0.32; R/R 1.84x; price 106.57 | Market: NEUTRAL; Sector regime: STRONG; Net R/R: 1.69; Factors: High Beta Growth, Technology | Agent action: WATCH - WATCH: Technical setup detected, but weighted risk/reward 1.84 is below minimum 2.00. Market regime NEUTRAL; sector STRONG; net R/R 1.69.</t>
        </is>
      </c>
      <c r="R46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0.4167, "estimated_spread": 0.032, "executable_entry": 106.57, "execution_liquidity_bucket": "large_liquid", "factor_exposure_after": {"Industrials": 5786.91}, "factor_exposure_before": {"Industrials": 5786.91}, "factor_exposure_cap": 7000.0, "factor_exposure_limit_exceeded": false, "factor_tags": ["High Beta Growth", "Technology"], "final_action": "WATCH", "gross_reward_1_per_share": 6.68, "gross_reward_2_per_share": 26.67, "gross_risk_per_share": 7.44, "gross_rr": 1.8382, "gross_rr_1": 0.8978, "gross_rr_2": 3.5847, "gross_rr_decision": 1.8382, "highest_correlation_ticker": "HON", "highest_correlation_value": 0.0604, "initial_action": "WATCH", "market_cap": 110035406745.27,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106.7943, "net_reward_1_per_share": 6.3355, "net_reward_2_per_share": 26.3255, "net_risk_per_share": 7.8887, "net_rr": 1.69, "net_rr_1": 0.8031, "net_rr_2": 3.3371, "net_stop_assumption": 98.9057, "net_target_1_assumption": 113.1298, "net_target_2_assumption": 133.1198, "normalized_atr_score": 83.54, "normalized_liquidity_score": 100, "normalized_momentum_score": 51.86, "normalized_quality_score": 74.22,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139.2, "price": 106.57, "prior_high_20": 139.2, "prior_high_63": 139.2, "reason": "WATCH: Technical setup detected, but weighted risk/reward 1.84 is below minimum 2.00. Market regime NEUTRAL; sector STRONG; net R/R 1.69.",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73.72, "setup_score": 0.32, "setup_type": "Breakout + Retest", "sizing_adjustment_reason": "", "spread_source": "liquidity_fallback", "stock_score": 0.32, "stop_loss": 99.13, "target_1": 113.25, "target_1_atr_distance": 0.8564, "target_2": 133.24, "target_2_atr_distance": 3.4192, "target_feasibility_status": "OK", "theoretical_entry": 103.03, "ticker": "NOW", "timestamp": "2026-06-09T18:49:40", "warnings": []}</t>
        </is>
      </c>
    </row>
    <row r="462">
      <c r="A462" t="inlineStr">
        <is>
          <t>2026-06-09T18:49:40</t>
        </is>
      </c>
      <c r="B462" t="inlineStr">
        <is>
          <t>GILD</t>
        </is>
      </c>
      <c r="C462" t="inlineStr">
        <is>
          <t>Swing Low + Volume Support Buy Zone</t>
        </is>
      </c>
      <c r="D462" t="n">
        <v>0.29</v>
      </c>
      <c r="E462" t="n">
        <v>125.54</v>
      </c>
      <c r="F462" t="n">
        <v>127.31</v>
      </c>
      <c r="G462" t="n">
        <v>130.06</v>
      </c>
      <c r="H462" t="n">
        <v>123.18</v>
      </c>
      <c r="I462" t="n">
        <v>133.5</v>
      </c>
      <c r="J462" t="n">
        <v>140.73</v>
      </c>
      <c r="K462" t="n">
        <v>1.49</v>
      </c>
      <c r="L462" t="inlineStr">
        <is>
          <t>Price is pulling into a recent swing-low support (128.34) that overlaps with a high-volume area (POC at 129.12), creating structural + volume confluence. Liquidity sweep below swing low detected — wick and reclaim. Stop below 123.18.</t>
        </is>
      </c>
      <c r="M462" t="inlineStr">
        <is>
          <t>WATCH</t>
        </is>
      </c>
      <c r="N462" t="inlineStr">
        <is>
          <t>WATCH: Technical setup detected, but weighted risk/reward 1.49 is below minimum 2.00. Market regime NEUTRAL; sector STRONG; net R/R 1.97.</t>
        </is>
      </c>
      <c r="O462" t="inlineStr">
        <is>
          <t>GILD
Swing Low + Volume Support Buy Zone
0.29
score
Price
125.54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62" t="inlineStr">
        <is>
          <t>agent_results/charts/market_lens_agent_20260609_184719_gild.png</t>
        </is>
      </c>
      <c r="Q462" t="inlineStr">
        <is>
          <t>Smart Universe: broad liquid US universe, diversified by sector | Sector: Healthcare - Strong (69/100); XLV sector regime is strong: 1.8% 3m return, -7.3% vs SPY | Setup: Swing Low + Volume Support Buy Zone; score 0.29; R/R 1.49x; price 125.54 | Market: NEUTRAL; Sector regime: STRONG; Net R/R: 1.97; Factors: Defensive, Healthcare | Agent action: WATCH - WATCH: Technical setup detected, but weighted risk/reward 1.49 is below minimum 2.00. Market regime NEUTRAL; sector STRONG; net R/R 1.97.</t>
        </is>
      </c>
      <c r="R46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5786.91}, "factor_exposure_before": {"Industrials": 5786.91},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0.3965, "initial_action": "WATCH", "market_cap": 155543872299.13,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65.79, "normalized_momentum_score": 0, "normalized_quality_score": 44.74,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137.5, "price": 125.54,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69.02, "setup_score": 0.29, "setup_type": "Swing Low + Volume Support Buy Zone", "sizing_adjustment_reason": "", "spread_source": "liquidity_fallback", "stock_score": 0.29, "stop_loss": 123.18, "target_1": 133.5, "target_1_atr_distance": 2.312, "target_2": 140.73, "target_2_atr_distance": 4.412, "target_feasibility_status": "OK", "theoretical_entry": 127.31, "ticker": "GILD", "timestamp": "2026-06-09T18:49:40", "warnings": []}</t>
        </is>
      </c>
    </row>
    <row r="463">
      <c r="A463" t="inlineStr">
        <is>
          <t>2026-06-09T18:49:40</t>
        </is>
      </c>
      <c r="B463" t="inlineStr">
        <is>
          <t>MKC</t>
        </is>
      </c>
      <c r="C463" t="inlineStr">
        <is>
          <t>Breakout + Retest</t>
        </is>
      </c>
      <c r="D463" t="n">
        <v>0.28</v>
      </c>
      <c r="E463" t="n">
        <v>48.66</v>
      </c>
      <c r="F463" t="n">
        <v>47.02</v>
      </c>
      <c r="G463" t="n">
        <v>48.45</v>
      </c>
      <c r="H463" t="n">
        <v>46.31</v>
      </c>
      <c r="I463" t="n">
        <v>50.07</v>
      </c>
      <c r="J463" t="n">
        <v>54.03</v>
      </c>
      <c r="K463" t="n">
        <v>1.19</v>
      </c>
      <c r="L463" t="inlineStr">
        <is>
          <t>Price (48.66) retesting broken resistance (48.45) as support. Breakout on 2026-06-09 with 0.6× avg volume. Entry at 48.66, stop at 46.31.</t>
        </is>
      </c>
      <c r="M463" t="inlineStr">
        <is>
          <t>WATCH</t>
        </is>
      </c>
      <c r="N463" t="inlineStr">
        <is>
          <t>WATCH: Technical setup detected, but weighted risk/reward 1.19 is below minimum 2.00. Market regime NEUTRAL; sector NEUTRAL; net R/R 0.98.</t>
        </is>
      </c>
      <c r="O463" t="inlineStr">
        <is>
          <t>MKC
Breakout + Retest
0.28
score
Price
48.66
R/R
1.19x
Grade
C
Quality
63%
Buy Zone
47.02 - 48.45
Stop
46.31
Targets
50.07 / 54.03
Watch only; needs confirmation
Mixed
Relative Strength
Leadership
100%
Trend Quality
Messy
18%
Liquidity
Institutional liquidity
100%
Volume
Neutral
65%
Trigger
Close above 48.66 or reclaim of broken resistance.
Invalidation
Exit if price closes below 46.31 or setup support fails.
Trend quality is not clean.
Market regime: Mixed.
Relative strength: Leadership.
Price (48.66) retesting broken resistance (48.45) as support. Breakout on 2026-06-09 with 0.6× avg volume. Entry at 48.66, stop at 46.31.
Fib 61.8
46.21
Fib Zone
45.85 - 46.56
Swing Low
44.82
Swing High
48.45
Save setup
Click chart to open full size</t>
        </is>
      </c>
      <c r="P463" t="inlineStr">
        <is>
          <t>agent_results/charts/market_lens_agent_20260609_184719_mkc.png</t>
        </is>
      </c>
      <c r="Q463" t="inlineStr">
        <is>
          <t>Smart Universe: broad liquid US universe, diversified by sector | Sector: Consumer Defensive - Neutral (44/100); XLP sector regime is neutral: -0.2% 3m return, -9.3% vs SPY | Setup: Breakout + Retest; score 0.28; R/R 1.19x; price 48.66 | Market: NEUTRAL; Sector regime: NEUTRAL; Net R/R: 0.98; Factors: Consumer Defensive, Defensive, Low Volatility | Agent action: WATCH - WATCH: Technical setup detected, but weighted risk/reward 1.19 is below minimum 2.00. Market regime NEUTRAL; sector NEUTRAL; net R/R 0.98.</t>
        </is>
      </c>
      <c r="R46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0.2433, "estimated_spread": 0.0389, "executable_entry": 48.66, "execution_liquidity_bucket": "mid_liquid", "factor_exposure_after": {"Industrials": 5786.91}, "factor_exposure_before": {"Industrials": 5786.91}, "factor_exposure_cap": 7000.0, "factor_exposure_limit_exceeded": false, "factor_tags": ["Consumer Defensive", "Defensive", "Low Volatility"], "final_action": "WATCH", "gross_reward_1_per_share": 1.41, "gross_reward_2_per_share": 5.37, "gross_risk_per_share": 2.35, "gross_rr": 1.1898, "gross_rr_1": 0.6, "gross_rr_2": 2.2851, "gross_rr_decision": 1.1898, "highest_correlation_ticker": "HON", "highest_correlation_value": 0.1589, "initial_action": "WATCH", "market_cap": 13081909827.68,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"SUPPORTED_BY_63D_RESISTANCE", "minimum_net_rr_required": 2.5, "net_entry": 48.8011, "net_reward_1_per_share": 1.1886, "net_reward_2_per_share": 5.1486, "net_risk_per_share": 2.6322, "net_rr": 0.9781, "net_rr_1": 0.4516, "net_rr_2": 1.956, "net_stop_assumption": 46.1689, "net_target_1_assumption": 49.9897, "net_target_2_assumption": 53.9497, "normalized_atr_score": 100.0, "normalized_liquidity_score": 24.76, "normalized_momentum_score": 0, "normalized_quality_score": 32.43,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48.93, "price": 48.66, "prior_high_20": 48.93, "prior_high_63": 63.8707, "reason": "WATCH: Technical setup detected, but weighted risk/reward 1.19 is below minimum 2.00. Market regime NEUTRAL; sector NEUTRAL; net R/R 0.98.",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43.54, "setup_score": 0.28, "setup_type": "Breakout + Retest", "sizing_adjustment_reason": "", "spread_source": "liquidity_fallback", "stock_score": 0.28, "stop_loss": 46.31, "target_1": 50.07, "target_1_atr_distance": 0.9881, "target_2": 54.03, "target_2_atr_distance": 3.7631, "target_feasibility_status": "OK", "theoretical_entry": 47.02, "ticker": "MKC", "timestamp": "2026-06-09T18:49:40", "warnings": []}</t>
        </is>
      </c>
    </row>
    <row r="464">
      <c r="A464" t="inlineStr">
        <is>
          <t>2026-06-09T18:49:40</t>
        </is>
      </c>
      <c r="B464" t="inlineStr">
        <is>
          <t>PFE</t>
        </is>
      </c>
      <c r="C464" t="inlineStr">
        <is>
          <t>Fib 61.8 Confluence Buy Zone</t>
        </is>
      </c>
      <c r="D464" t="n">
        <v>0.28</v>
      </c>
      <c r="E464" t="n">
        <v>25.79</v>
      </c>
      <c r="F464" t="n">
        <v>25.73</v>
      </c>
      <c r="G464" t="n">
        <v>25.98</v>
      </c>
      <c r="H464" t="n">
        <v>25.37</v>
      </c>
      <c r="I464" t="n">
        <v>26.17</v>
      </c>
      <c r="J464" t="n">
        <v>27.57</v>
      </c>
      <c r="K464" t="n">
        <v>2.05</v>
      </c>
      <c r="L464" t="inlineStr">
        <is>
          <t>Price at 61.8% fib retracement (25.86) with confluence at VWAP. Planned entry at zone low 25.73; executable entry 25.79, stop below fib 78.6% at 25.37. Structural confluence: swing low at 25.19 aligns with VAL (25.31).</t>
        </is>
      </c>
      <c r="M464" t="inlineStr">
        <is>
          <t>WATCH</t>
        </is>
      </c>
      <c r="N464" t="inlineStr">
        <is>
          <t>WATCH: Neutral market requires stronger setup score (0.28 &lt; 0.45).</t>
        </is>
      </c>
      <c r="O464" t="inlineStr">
        <is>
          <t>PFE
Fib 61.8 Confluence Buy Zone
0.28
score
Price
25.79
R/R
2.05x
Grade
C
Quality
53%
Buy Zone
25.73 - 25.98
Stop
25.37
Targets
26.17 / 27.57
Watch only; needs confirmation
Mixed
Relative Strength
Lagging
42%
Trend Quality
Messy
18%
Liquidity
Institutional liquidity
100%
Volume
Neutral
65%
Trigger
Break above prior-day high at 26.22 after holding buy zone.
Invalidation
Exit if price closes below 25.37 or setup support fails.
Ticker is lagging major indices.
Trend quality is not clean.
Market regime: Mixed.
Price at 61.8% fib retracement (25.86) with confluence at VWAP. Planned entry at zone low 25.73; executable entry 25.79, stop below fib 78.6% at 25.37. Structural confluence: swing low at 25.19 aligns with VAL (25.31).
Fib 61.8
25.86
Fib Zone
25.73 - 25.98
Swing Low
24.85
Swing High
27.49
Save setup
Click chart to open full size</t>
        </is>
      </c>
      <c r="P464" t="inlineStr">
        <is>
          <t>agent_results/charts/market_lens_agent_20260609_184719_pfe.png</t>
        </is>
      </c>
      <c r="Q464" t="inlineStr">
        <is>
          <t>Smart Universe: broad liquid US universe, diversified by sector | Sector: Healthcare - Strong (69/100); XLV sector regime is strong: 1.8% 3m return, -7.3% vs SPY | Setup: Fib 61.8 Confluence Buy Zone; score 0.28; R/R 2.05x; price 25.79 | Market: NEUTRAL; Sector regime: STRONG; Net R/R: 1.80; Factors: Defensive, Healthcare | Agent action: WATCH - WATCH: Neutral market requires stronger setup score (0.28 &lt; 0.45).</t>
        </is>
      </c>
      <c r="R464" t="inlineStr">
        <is>
          <t>{"adjusted_cash_out": 5983.28, "adjusted_position_size": 232, "adjusted_risk_amount": 97.44, "ask": 0.0, "bid": 0.0, "buy_zone_high": 25.98, "buy_zone_low": 25.73, "cash_available": 93936.04, "company_name": "Pfizer Inc.", "correlation_warning": false, "days_to_earnings": 36, "earnings_blackout": false, "earnings_date": "2026-07-29T00:00:00", "estimated_fees": 0.0, "estimated_slippage": 0.0361, "estimated_spread": 0.0077, "executable_entry": 25.79, "execution_liquidity_bucket": "large_liquid", "factor_exposure_after": {"Defensive": 5983.28, "Healthcare": 5983.28, "Industrials": 5786.91}, "factor_exposure_before": {"Industrials": 5786.91}, "factor_exposure_cap": 7000.0, "factor_exposure_limit_exceeded": false, "factor_tags": ["Defensive", "Healthcare"], "final_action": "WATCH", "gross_reward_1_per_share": 0.38, "gross_reward_2_per_share": 1.78, "gross_risk_per_share": 0.42, "gross_rr": 2.0714, "gross_rr_1": 0.9048, "gross_rr_2": 4.2381, "gross_rr_decision": 2.0714, "highest_correlation_ticker": "HON", "highest_correlation_value": 0.3138, "initial_action": "BUY_SIMULATED", "market_cap": 146931674590.32,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"SUPPORTED_BY_20D_RESISTANCE", "minimum_net_rr_required": 2.2, "net_entry": 25.8119, "net_reward_1_per_share": 0.3452, "net_reward_2_per_share": 1.7452, "net_risk_per_share": 0.4638, "net_rr": 1.8006, "net_rr_1": 0.7442, "net_rr_2": 3.7624, "net_stop_assumption": 25.3481, "net_target_1_assumption": 26.1571, "net_target_2_assumption": 27.5571, "normalized_atr_score": 100.0, "normalized_liquidity_score": 61.18, "normalized_momentum_score": 36.99, "normalized_quality_score": 60.0, "original_cash_out": 9980.73, "original_position_size": 387, "original_risk_amount": 162.54, "portfolio_exposure_after": 5796.63, "portfolio_exposure_before": 5796.63, "position_size": 0, "position_size_adjusted": true, "position_sizing_explanation": "Base position sizing produced a candidate trade, but the risk transparency layer blocked the new buy. Candidate size: 232 shares, cash 5983.28, risk 97.44.", "previous_resistance": 26.54, "price": 25.79, "prior_high_20": 26.54, "prior_high_63": 28.2831, "reason": "WATCH: Neutral market requires stronger setup score (0.28 &lt; 0.45).", "risk_amount": 0.0, "scan_source": "Smart Universe: broad liquid US universe filtered and diversified by the Market Lens UI.", "sector": "Healthcare", "sector_etf": "XLV", "sector_exposure_after": 5983.28, "sector_exposure_before": 0.0, "sector_exposure_cap": 6000.0, "sector_exposure_limit_exceeded": false, "sector_regime": "STRONG", "sector_score": 69.02, "setup_score": 0.28, "setup_type": "Fib 61.8 Confluence Buy Zone", "sizing_adjustment_reason": "Position size reduced by Healthcare sector exposure cap (387 -&gt; 232 shares).", "spread_source": "liquidity_fallback", "stock_score": 0.28, "stop_loss": 25.37, "target_1": 26.17, "target_1_atr_distance": 0.7792, "target_2": 27.57, "target_2_atr_distance": 3.6498, "target_feasibility_status": "OK", "theoretical_entry": 25.73, "ticker": "PFE", "timestamp": "2026-06-09T18:49:40", "warnings": ["Position size reduced by Healthcare sector exposure cap (387 -&gt; 232 shares).", "Gross R/R is valid, but Net R/R 1.80 failed minimum 2.20 after slippage/spread adjustment."]}</t>
        </is>
      </c>
    </row>
    <row r="465">
      <c r="A465" t="inlineStr">
        <is>
          <t>2026-06-09T18:49:40</t>
        </is>
      </c>
      <c r="B465" t="inlineStr">
        <is>
          <t>WPC</t>
        </is>
      </c>
      <c r="C465" t="inlineStr">
        <is>
          <t>No Trade</t>
        </is>
      </c>
      <c r="D465" t="n">
        <v>0</v>
      </c>
      <c r="E465" t="n">
        <v>75.56999999999999</v>
      </c>
      <c r="H465" t="n">
        <v>0</v>
      </c>
      <c r="K465" t="n">
        <v>0</v>
      </c>
      <c r="L465" t="inlineStr">
        <is>
          <t>No clean technical setup detected. Price in middle of value area or poor risk/reward.</t>
        </is>
      </c>
      <c r="M465" t="inlineStr">
        <is>
          <t>SKIP</t>
        </is>
      </c>
      <c r="N465" t="inlineStr">
        <is>
          <t>SKIP: No Trade result. Market regime NEUTRAL; sector STRONG; net R/R 0.00.</t>
        </is>
      </c>
      <c r="O465" t="inlineStr">
        <is>
          <t>WPC
No Trade
0.00
score
Price
75.57
R/R
0.00x
Grade
No Trade
Quality
0%
Buy Zone
-
Stop
0.00
Targets
-
Skip
Mixed
Relative Strength
Leadership
97%
Trend Quality
Clean uptrend
86%
Liquidity
Institutional liquidity
100%
Volume
Neutral
65%
No actionable setup detected.
No clean technical setup detected. Price in middle of value area or poor risk/reward.
Fib 61.8
73.11
Fib Zone
72.81 - 73.42
Swing Low
71.80
Swing High
75.24
Click chart to open full size</t>
        </is>
      </c>
      <c r="P465" t="inlineStr">
        <is>
          <t>agent_results/charts/market_lens_agent_20260609_184719_wpc.png</t>
        </is>
      </c>
      <c r="Q465" t="inlineStr">
        <is>
          <t>Smart Universe: broad liquid US universe, diversified by sector | Sector: Real Estate - Strong (73/100); XLRE sector regime is strong: 7.2% 3m return, -1.8% vs SPY | Setup: No Trade; score 0.00; R/R 0.00x; price 75.57 | Market: NEUTRAL; Sector regime: STRONG; Net R/R: 0.00; Factors: Real Estate | Agent action: SKIP - SKIP: No Trade result. Market regime NEUTRAL; sector STRONG; net R/R 0.00.</t>
        </is>
      </c>
      <c r="R465" t="inlineStr">
        <is>
          <t>{"adjusted_cash_out": 0.0, "adjusted_position_size": 0, "adjusted_risk_amount": 0.0, "ask": 0.0, "bid": 0.0, "buy_zone_high": null, "buy_zone_low": null, "cash_available": 93936.04, "company_name": "W. P. Carey Inc. REIT", "correlation_warning": false, "days_to_earnings": 35, "earnings_blackout": false, "earnings_date": "2026-07-28T00:00:00", "estimated_fees": 0.0, "estimated_slippage": 0.2267, "estimated_spread": 0.0605, "executable_entry": 75.57, "execution_liquidity_bucket": "mid_liquid", "factor_exposure_after": {"Industrials": 5786.91}, "factor_exposure_before": {"Industrials": 5786.91}, "factor_exposure_cap": 7000.0, "factor_exposure_limit_exceeded": false, "factor_tags": ["Real Estate"], "final_action": "SKIP", "gross_reward_1_per_share": 0.0, "gross_reward_2_per_share": 0.0, "gross_risk_per_share": 75.57, "gross_rr": 0.0, "gross_rr_1": 0.0, "gross_rr_2": 0.0, "gross_rr_decision": 0.0, "highest_correlation_ticker": "HON", "highest_correlation_value": 0.271, "initial_action": "SKIP", "market_cap": 16830166230.0, "market_cap_bucket": "Large Cap", "market_regime": "NEUTRAL", "market_regime_indicators": {"DXY": {"ema20": 99.2849, "ema200": 98.8354, "ema50": 98.9896, "price": 99.898, "return_1m": 2.0, "return_3m": 0.67, "trend": "bullish"}, "IWM": {"ema20": 284.7416, "ema200": 267.3665, "ema50": 277.4246, "price": 284.52, "return_1m": -0.28, "return_3m": 12.73, "trend": "mixed"}, "QQQ": {"ema20": 716.179, "ema200": 651.6241, "ema50": 685.1616, "price": 704.29, "return_1m": -1.26, "return_3m": 16.04, "trend": "mixed"}, "SPY": {"ema20": 742.5016, "ema200": 703.205, "ema50": 724.1745, "price": 735.35, "return_1m": -0.53, "return_3m": 9.02, "trend": "mixed"}, "US10Y": {"ema20": 4.4926, "ema200": 4.3206, "ema50": 4.4214, "price": 4.53, "return_1m": 2.72, "return_3m": 7.65, "trend": "bullish"}, "VIX": {"ema20": 17.5876, "ema200": 18.8349, "ema50": 18.4574, "price": 19.64, "return_1m": 9.17, "return_3m": -28.03, "trend": "mixed"}}, "market_regime_reason": "Market regime is mixed; use lower exposure and higher net R/R.", "market_regime_score": 0.52, "market_structure_status": "UNKNOWN", "minimum_net_rr_required": 2.2, "net_entry": 75.7136, "net_reward_1_per_share": 0.0, "net_reward_2_per_share": 0.0, "net_risk_per_share": 75.8572, "net_rr": 0.0, "net_rr_1": 0.0, "net_rr_2": 0.0, "net_stop_assumption": -0.1436, "net_target_1_assumption": -0.0869, "net_target_2_assumption": -0.0869, "normalized_atr_score": 100.0, "normalized_liquidity_score": 16.65, "normalized_momentum_score": 76.22, "normalized_quality_score": 64.29, "original_cash_out": 0.0, "original_position_size": 0, "original_risk_amount": 0.0, "portfolio_exposure_after": 5796.63, "portfolio_exposure_before": 5796.63, "position_size": 0, "position_size_adjusted": false, "position_sizing_explanation": "No new position size was calculated because the base decision did not open a simulated buy.", "previous_resistance": 0.0, "price": 75.57,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72.64, "setup_score": 0.0, "setup_type": "No Trade", "sizing_adjustment_reason": "", "spread_source": "liquidity_fallback", "stock_score": 0.0, "stop_loss": 0.0, "target_1": null, "target_1_atr_distance": 0.0, "target_2": null, "target_2_atr_distance": 0.0, "target_feasibility_status": "UNKNOWN", "theoretical_entry": 75.57, "ticker": "WPC", "timestamp": "2026-06-09T18:49:40", "warnings": ["Target ATR feasibility unavailable."]}</t>
        </is>
      </c>
    </row>
    <row r="466">
      <c r="A466" t="inlineStr">
        <is>
          <t>2026-06-09T19:19:16</t>
        </is>
      </c>
      <c r="B466" t="inlineStr">
        <is>
          <t>HON</t>
        </is>
      </c>
      <c r="C466" t="inlineStr">
        <is>
          <t>Breakout + Retest</t>
        </is>
      </c>
      <c r="D466" t="n">
        <v>0.46</v>
      </c>
      <c r="E466" t="n">
        <v>214.19</v>
      </c>
      <c r="F466" t="n">
        <v>213.65</v>
      </c>
      <c r="G466" t="n">
        <v>219.83</v>
      </c>
      <c r="H466" t="n">
        <v>210.55</v>
      </c>
      <c r="I466" t="n">
        <v>218.85</v>
      </c>
      <c r="J466" t="n">
        <v>239.94</v>
      </c>
      <c r="K466" t="n">
        <v>3.31</v>
      </c>
      <c r="L466" t="inlineStr">
        <is>
          <t>Price (214.19) retesting broken resistance (219.83) as support. Breakout on 2026-05-21 with 1.1× avg volume. Entry at 214.19, stop at 210.55.</t>
        </is>
      </c>
      <c r="M466" t="inlineStr">
        <is>
          <t>HOLD</t>
        </is>
      </c>
      <c r="N466" t="inlineStr">
        <is>
          <t>HOLD: Existing simulated position remains open. NEUTRAL regime recorded.</t>
        </is>
      </c>
      <c r="O466" t="inlineStr">
        <is>
          <t>HON
Breakout + Retest
0.46
score
Price
214.19
R/R
3.31x
Grade
B
Quality
70%
Buy Zone
213.65 - 219.83
Stop
210.55
Targets
218.85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(214.19) retesting broken resistance (219.83) as support. Breakout on 2026-05-21 with 1.1× avg volume. Entry at 214.19, stop at 210.55.
Fib 61.8
222.36
Fib Zone
220.82 - 223.91
Swing Low
211.50
Swing High
239.94
Save setup
Click chart to open full size</t>
        </is>
      </c>
      <c r="P466" t="inlineStr">
        <is>
          <t>agent_results/charts/market_lens_agent_20260609_191617_hon.png</t>
        </is>
      </c>
      <c r="Q466" t="inlineStr">
        <is>
          <t>Smart Universe: broad liquid US universe, diversified by sector | Sector: Industrials - Strong (68/100); XLI sector regime is strong: 3.5% 3m return, -5.3% vs SPY | Setup: Breakout + Retest; score 0.46; R/R 3.31x; price 214.19 | Market: NEUTRAL; Sector regime: STRONG; Net R/R: 2.58; Factors: Industrials | Agent action: HOLD - HOLD: Existing simulated position remains open. NEUTRAL regime recorded.</t>
        </is>
      </c>
      <c r="R466"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0.7282, "estimated_spread": 0.0643, "executable_entry": 214.19, "execution_liquidity_bucket": "large_liquid", "factor_exposure_after": {}, "factor_exposure_before": {}, "factor_exposure_cap": 7000.0, "factor_exposure_limit_exceeded": false, "factor_tags": ["Industrials"], "final_action": "HOLD", "gross_reward_1_per_share": 4.66, "gross_reward_2_per_share": 25.75, "gross_risk_per_share": 3.64, "gross_rr": 3.3081, "gross_rr_1": 1.2802, "gross_rr_2": 7.0742, "gross_rr_decision": 3.3081, "highest_correlation_ticker": "", "highest_correlation_value": null, "initial_action": "HOLD", "market_cap": 135760180745.75,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214.5863, "net_reward_1_per_share": 4.0496, "net_reward_2_per_share": 25.1396, "net_risk_per_share": 4.4325, "net_rr": 2.5789, "net_rr_1": 0.9136, "net_rr_2": 5.6716, "net_stop_assumption": 210.1537, "net_target_1_assumption": 218.6358, "net_target_2_assumption": 239.7258, "normalized_atr_score": 100.0, "normalized_liquidity_score": 67.73, "normalized_momentum_score": 15.22, "normalized_quality_score": 52.17,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239.94, "price": 214.19,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68.25, "setup_score": 0.46, "setup_type": "Breakout + Retest", "sizing_adjustment_reason": "", "spread_source": "liquidity_fallback", "stock_score": 0.46, "stop_loss": 210.55, "target_1": 218.85, "target_1_atr_distance": 0.7533, "target_2": 239.94, "target_2_atr_distance": 4.1628, "target_feasibility_status": "OK", "theoretical_entry": 213.65, "ticker": "HON", "timestamp": "2026-06-09T19:19:16", "warnings": []}</t>
        </is>
      </c>
    </row>
    <row r="467">
      <c r="A467" t="inlineStr">
        <is>
          <t>2026-06-09T19:19:16</t>
        </is>
      </c>
      <c r="B467" t="inlineStr">
        <is>
          <t>ORCL</t>
        </is>
      </c>
      <c r="C467" t="inlineStr">
        <is>
          <t>Fib 61.8 Confluence Buy Zone</t>
        </is>
      </c>
      <c r="D467" t="n">
        <v>0.45</v>
      </c>
      <c r="E467" t="n">
        <v>204.17</v>
      </c>
      <c r="F467" t="n">
        <v>202.83</v>
      </c>
      <c r="G467" t="n">
        <v>209.36</v>
      </c>
      <c r="H467" t="n">
        <v>192.78</v>
      </c>
      <c r="I467" t="n">
        <v>207.43</v>
      </c>
      <c r="J467" t="n">
        <v>250.25</v>
      </c>
      <c r="K467" t="n">
        <v>1.6</v>
      </c>
      <c r="L467" t="inlineStr">
        <is>
          <t>Price at 61.8% fib retracement (206.09) with confluence at VWAP. Planned entry at zone low 202.83; executable entry 204.17, stop below fib 78.6% at 192.78. Structural confluence: swing low at 178.80 aligns with HVN (175.94).</t>
        </is>
      </c>
      <c r="M467" t="inlineStr">
        <is>
          <t>WATCH</t>
        </is>
      </c>
      <c r="N467" t="inlineStr">
        <is>
          <t>WATCH: Technical setup detected, but weighted risk/reward 1.60 is below minimum 2.00. Market regime NEUTRAL; sector STRONG; net R/R 1.52.</t>
        </is>
      </c>
      <c r="O467" t="inlineStr">
        <is>
          <t>ORCL
Fib 61.8 Confluence Buy Zone
0.45
score
Price
204.17
R/R
1.60x
Grade
B
Quality
75%
Buy Zone
202.83 - 209.36
Stop
192.78
Targets
207.43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204.17, stop below fib 78.6% at 192.78. Structural confluence: swing low at 178.80 aligns with HVN (175.94).
Fib 61.8
206.09
Fib Zone
202.83 - 209.36
Swing Low
178.80
Swing High
250.25
Save setup
Click chart to open full size</t>
        </is>
      </c>
      <c r="P467" t="inlineStr">
        <is>
          <t>agent_results/charts/market_lens_agent_20260609_191617_orcl.png</t>
        </is>
      </c>
      <c r="Q467" t="inlineStr">
        <is>
          <t>Smart Universe: broad liquid US universe, diversified by sector | Sector: Technology - Strong (73/100); XLK sector regime is strong: 27.1% 3m return, 18.3% vs SPY | Setup: Fib 61.8 Confluence Buy Zone; score 0.45; R/R 1.60x; price 204.17 | Market: NEUTRAL; Sector regime: STRONG; Net R/R: 1.52; Factors: Technology | Agent action: WATCH - WATCH: Technical setup detected, but weighted risk/reward 1.60 is below minimum 2.00. Market regime NEUTRAL; sector STRONG; net R/R 1.52.</t>
        </is>
      </c>
      <c r="R467"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0.3287, "estimated_spread": 0.0613, "executable_entry": 204.17, "execution_liquidity_bucket": "large_liquid", "factor_exposure_after": {"Industrials": 5783.13}, "factor_exposure_before": {"Industrials": 5783.13}, "factor_exposure_cap": 7000.0, "factor_exposure_limit_exceeded": false, "factor_tags": ["Technology"], "final_action": "WATCH", "gross_reward_1_per_share": 3.26, "gross_reward_2_per_share": 46.08, "gross_risk_per_share": 11.39, "gross_rr": 1.602, "gross_rr_1": 0.2862, "gross_rr_2": 4.0457, "gross_rr_decision": 1.602, "highest_correlation_ticker": "HON", "highest_correlation_value": 0.1166, "initial_action": "WATCH", "market_cap": 586138183577.0,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204.365, "net_reward_1_per_share": 2.9522, "net_reward_2_per_share": 45.7722, "net_risk_per_share": 11.78, "net_rr": 1.5229, "net_rr_1": 0.2506, "net_rr_2": 3.8856, "net_stop_assumption": 192.585, "net_target_1_assumption": 207.3172, "net_target_2_assumption": 250.1372, "normalized_atr_score": 83.22, "normalized_liquidity_score": 75.5, "normalized_momentum_score": 100, "normalized_quality_score": 88.46,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250.25, "price": 204.17, "prior_high_20": 250.25, "prior_high_63": 250.25, "reason": "WATCH: Technical setup detected, but weighted risk/reward 1.60 is below minimum 2.00. Market regime NEUTRAL; sector STRONG; net R/R 1.52.",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0.45, "setup_type": "Fib 61.8 Confluence Buy Zone", "sizing_adjustment_reason": "", "spread_source": "liquidity_fallback", "stock_score": 0.45, "stop_loss": 192.78, "target_1": 207.43, "target_1_atr_distance": 0.2495, "target_2": 250.25, "target_2_atr_distance": 3.5266, "target_feasibility_status": "LOW_REWARD_DISTANCE", "theoretical_entry": 202.83, "ticker": "ORCL", "timestamp": "2026-06-09T19:19:16", "warnings": ["Target 1 is close versus daily ATR.", "Earnings blackout active."]}</t>
        </is>
      </c>
    </row>
    <row r="468">
      <c r="A468" t="inlineStr">
        <is>
          <t>2026-06-09T19:19:16</t>
        </is>
      </c>
      <c r="B468" t="inlineStr">
        <is>
          <t>V</t>
        </is>
      </c>
      <c r="C468" t="inlineStr">
        <is>
          <t>Fib 61.8 Confluence Buy Zone</t>
        </is>
      </c>
      <c r="D468" t="n">
        <v>0.37</v>
      </c>
      <c r="E468" t="n">
        <v>324.22</v>
      </c>
      <c r="F468" t="n">
        <v>321.23</v>
      </c>
      <c r="G468" t="n">
        <v>324.8</v>
      </c>
      <c r="H468" t="n">
        <v>319</v>
      </c>
      <c r="I468" t="n">
        <v>325.34</v>
      </c>
      <c r="J468" t="n">
        <v>338.49</v>
      </c>
      <c r="K468" t="n">
        <v>1.1</v>
      </c>
      <c r="L468" t="inlineStr">
        <is>
          <t>Price at 61.8% fib retracement (323.02) with confluence at VWAP. Planned entry at zone low 321.23; executable entry 324.22, stop below fib 78.6% at 319.00.</t>
        </is>
      </c>
      <c r="M468" t="inlineStr">
        <is>
          <t>WATCH</t>
        </is>
      </c>
      <c r="N468" t="inlineStr">
        <is>
          <t>WATCH: Technical setup detected, but weighted risk/reward 1.10 is below minimum 2.00. Market regime NEUTRAL; sector STRONG; net R/R 0.92.</t>
        </is>
      </c>
      <c r="O468" t="inlineStr">
        <is>
          <t>V
Fib 61.8 Confluence Buy Zone
0.37
score
Price
324.22
R/R
1.10x
Grade
C
Quality
57%
Buy Zone
321.23 - 324.80
Stop
319.00
Targets
325.34 / 338.49
Watch only; needs confirmation
Mixed
Relative Strength
In line
55%
Trend Quality
Constructive
58%
Liquidity
Institutional liquidity
100%
Volume
Distribution risk
30%
Trigger
Break above prior-day high at 324.22 after holding buy zone.
Invalidation
Exit if price closes below 319.00 or setup support fails.
Recent volume shows distribution risk.
Market regime: Mixed.
Relative strength: In line.
Price at 61.8% fib retracement (323.02) with confluence at VWAP. Planned entry at zone low 321.23; executable entry 324.22, stop below fib 78.6% at 319.00.
Fib 61.8
323.02
Fib Zone
321.23 - 324.80
Swing Low
315.51
Swing High
335.17
Save setup
Click chart to open full size</t>
        </is>
      </c>
      <c r="P468" t="inlineStr">
        <is>
          <t>agent_results/charts/market_lens_agent_20260609_191617_v.png</t>
        </is>
      </c>
      <c r="Q468" t="inlineStr">
        <is>
          <t>Smart Universe: broad liquid US universe, diversified by sector | Sector: Financials - Strong (72/100); XLF sector regime is strong: 6.1% 3m return, -2.8% vs SPY | Setup: Fib 61.8 Confluence Buy Zone; score 0.37; R/R 1.10x; price 324.22 | Market: NEUTRAL; Sector regime: STRONG; Net R/R: 0.92; Factors: Financials | Agent action: WATCH - WATCH: Technical setup detected, but weighted risk/reward 1.10 is below minimum 2.00. Market regime NEUTRAL; sector STRONG; net R/R 0.92.</t>
        </is>
      </c>
      <c r="R468"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0.4539, "estimated_spread": 0.0973, "executable_entry": 324.22, "execution_liquidity_bucket": "large_liquid", "factor_exposure_after": {"Industrials": 5783.13}, "factor_exposure_before": {"Industrials": 5783.13}, "factor_exposure_cap": 7000.0, "factor_exposure_limit_exceeded": false, "factor_tags": ["Financials"], "final_action": "WATCH", "gross_reward_1_per_share": 1.12, "gross_reward_2_per_share": 14.27, "gross_risk_per_share": 5.22, "gross_rr": 1.0963, "gross_rr_1": 0.2146, "gross_rr_2": 2.7337, "gross_rr_decision": 1.0963, "highest_correlation_ticker": "HON", "highest_correlation_value": 0.1008, "initial_action": "WATCH", "market_cap": 616792541117.89, "market_cap_bucket": "Mega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324.4956, "net_reward_1_per_share": 0.6823, "net_reward_2_per_share": 13.8323, "net_risk_per_share": 5.7712, "net_rr": 0.9157, "net_rr_1": 0.1182, "net_rr_2": 2.3968, "net_stop_assumption": 318.7244, "net_target_1_assumption": 325.1779, "net_target_2_assumption": 338.3279, "normalized_atr_score": 100.0, "normalized_liquidity_score": 58.86, "normalized_momentum_score": 69.26, "normalized_quality_score": 73.83,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335.17, "price": 324.22, "prior_high_20": 335.17, "prior_high_63": 341.2725, "reason": "WATCH: Technical setup detected, but weighted risk/reward 1.10 is below minimum 2.00. Market regime NEUTRAL; sector STRONG; net R/R 0.92.",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71.89, "setup_score": 0.37, "setup_type": "Fib 61.8 Confluence Buy Zone", "sizing_adjustment_reason": "", "spread_source": "liquidity_fallback", "stock_score": 0.37, "stop_loss": 319.0, "target_1": 325.34, "target_1_atr_distance": 0.1569, "target_2": 338.49, "target_2_atr_distance": 1.999, "target_feasibility_status": "LOW_REWARD_DISTANCE", "theoretical_entry": 321.23, "ticker": "V", "timestamp": "2026-06-09T19:19:16", "warnings": ["Target 1 is close versus daily ATR."]}</t>
        </is>
      </c>
    </row>
    <row r="469">
      <c r="A469" t="inlineStr">
        <is>
          <t>2026-06-09T19:19:16</t>
        </is>
      </c>
      <c r="B469" t="inlineStr">
        <is>
          <t>DHR</t>
        </is>
      </c>
      <c r="C469" t="inlineStr">
        <is>
          <t>Fib 61.8 Confluence Buy Zone</t>
        </is>
      </c>
      <c r="D469" t="n">
        <v>0.34</v>
      </c>
      <c r="E469" t="n">
        <v>188.62</v>
      </c>
      <c r="F469" t="n">
        <v>187.14</v>
      </c>
      <c r="G469" t="n">
        <v>189.77</v>
      </c>
      <c r="H469" t="n">
        <v>184.65</v>
      </c>
      <c r="I469" t="n">
        <v>190.75</v>
      </c>
      <c r="J469" t="n">
        <v>200.5</v>
      </c>
      <c r="K469" t="n">
        <v>1.4</v>
      </c>
      <c r="L469" t="inlineStr">
        <is>
          <t>Price at 61.8% fib retracement (188.46) with confluence at VWAP. Planned entry at zone low 187.14; executable entry 188.62, stop below fib 78.6% at 184.65.</t>
        </is>
      </c>
      <c r="M469" t="inlineStr">
        <is>
          <t>WATCH</t>
        </is>
      </c>
      <c r="N469" t="inlineStr">
        <is>
          <t>WATCH: Technical setup detected, but weighted risk/reward 1.40 is below minimum 2.00. Market regime NEUTRAL; sector STRONG; net R/R 1.23.</t>
        </is>
      </c>
      <c r="O469" t="inlineStr">
        <is>
          <t>DHR
Fib 61.8 Confluence Buy Zone
0.34
score
Price
188.62
R/R
1.40x
Grade
B
Quality
75%
Buy Zone
187.14 - 189.77
Stop
184.65
Targets
190.75 / 200.50
Tradable if trigger confirms
Mixed
Relative Strength
Leadership
100%
Trend Quality
Constructive
68%
Liquidity
Institutional liquidity
100%
Volume
Neutral
65%
Trigger
Break above prior-day high at 188.62 after holding buy zone.
Invalidation
Exit if price closes below 184.65 or setup support fails.
Market regime: Mixed.
Relative strength: Leadership.
Price at 61.8% fib retracement (188.46) with confluence at VWAP. Planned entry at zone low 187.14; executable entry 188.62, stop below fib 78.6% at 184.65.
Fib 61.8
188.46
Fib Zone
187.14 - 189.77
Swing Low
181.01
Swing High
200.50
Save setup
Click chart to open full size</t>
        </is>
      </c>
      <c r="P469" t="inlineStr">
        <is>
          <t>agent_results/charts/market_lens_agent_20260609_191617_dhr.png</t>
        </is>
      </c>
      <c r="Q469" t="inlineStr">
        <is>
          <t>Smart Universe: broad liquid US universe, diversified by sector | Sector: Healthcare - Strong (69/100); XLV sector regime is strong: 1.7% 3m return, -7.1% vs SPY | Setup: Fib 61.8 Confluence Buy Zone; score 0.34; R/R 1.40x; price 188.62 | Market: NEUTRAL; Sector regime: STRONG; Net R/R: 1.23; Factors: Defensive, Healthcare | Agent action: WATCH - WATCH: Technical setup detected, but weighted risk/reward 1.40 is below minimum 2.00. Market regime NEUTRAL; sector STRONG; net R/R 1.23.</t>
        </is>
      </c>
      <c r="R46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0.2641, "estimated_spread": 0.0566, "executable_entry": 188.62, "execution_liquidity_bucket": "large_liquid", "factor_exposure_after": {"Industrials": 5783.13}, "factor_exposure_before": {"Industrials": 5783.13}, "factor_exposure_cap": 7000.0, "factor_exposure_limit_exceeded": false, "factor_tags": ["Defensive", "Healthcare"], "final_action": "WATCH", "gross_reward_1_per_share": 2.13, "gross_reward_2_per_share": 11.88, "gross_risk_per_share": 3.97, "gross_rr": 1.3961, "gross_rr_1": 0.5365, "gross_rr_2": 2.9924, "gross_rr_decision": 1.3961, "highest_correlation_ticker": "HON", "highest_correlation_value": 0.1963, "initial_action": "WATCH", "market_cap": 133535082900.12,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188.7803, "net_reward_1_per_share": 1.8754, "net_reward_2_per_share": 11.6254, "net_risk_per_share": 4.2907, "net_rr": 1.2324, "net_rr_1": 0.4371, "net_rr_2": 2.7095, "net_stop_assumption": 184.4897, "net_target_1_assumption": 190.6557, "net_target_2_assumption": 200.4057, "normalized_atr_score": 100.0, "normalized_liquidity_score": 58.81, "normalized_momentum_score": 61.46, "normalized_quality_score": 70.3,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188.75, "price": 188.62, "prior_high_20": 188.75, "prior_high_63": 200.5, "reason": "WATCH: Technical setup detected, but weighted risk/reward 1.40 is below minimum 2.00. Market regime NEUTRAL; sector STRONG; net R/R 1.23.",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0.34, "setup_type": "Fib 61.8 Confluence Buy Zone", "sizing_adjustment_reason": "", "spread_source": "liquidity_fallback", "stock_score": 0.34, "stop_loss": 184.65, "target_1": 190.75, "target_1_atr_distance": 0.4039, "target_2": 200.5, "target_2_atr_distance": 2.2525, "target_feasibility_status": "LOW_REWARD_DISTANCE", "theoretical_entry": 187.14, "ticker": "DHR", "timestamp": "2026-06-09T19:19:16", "warnings": ["Target 1 is close versus daily ATR."]}</t>
        </is>
      </c>
    </row>
    <row r="470">
      <c r="A470" t="inlineStr">
        <is>
          <t>2026-06-09T19:19:16</t>
        </is>
      </c>
      <c r="B470" t="inlineStr">
        <is>
          <t>NOW</t>
        </is>
      </c>
      <c r="C470" t="inlineStr">
        <is>
          <t>Breakout + Retest</t>
        </is>
      </c>
      <c r="D470" t="n">
        <v>0.32</v>
      </c>
      <c r="E470" t="n">
        <v>106.47</v>
      </c>
      <c r="F470" t="n">
        <v>103.03</v>
      </c>
      <c r="G470" t="n">
        <v>110.83</v>
      </c>
      <c r="H470" t="n">
        <v>99.13</v>
      </c>
      <c r="I470" t="n">
        <v>113.25</v>
      </c>
      <c r="J470" t="n">
        <v>133.24</v>
      </c>
      <c r="K470" t="n">
        <v>1.88</v>
      </c>
      <c r="L470" t="inlineStr">
        <is>
          <t>Price (106.46) retesting broken resistance (110.83) as support. Breakout on 2026-05-29 with 2.4× avg volume. Volume confirmed breakout. Entry at 106.46, stop at 99.13.</t>
        </is>
      </c>
      <c r="M470" t="inlineStr">
        <is>
          <t>WATCH</t>
        </is>
      </c>
      <c r="N470" t="inlineStr">
        <is>
          <t>WATCH: Technical setup detected, but weighted risk/reward 1.88 is below minimum 2.00. Market regime NEUTRAL; sector STRONG; net R/R 1.72.</t>
        </is>
      </c>
      <c r="O470"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(106.46) retesting broken resistance (110.83) as support. Breakout on 2026-05-29 with 2.4× avg volume. Volume confirmed breakout. Entry at 106.46, stop at 99.13.
Fib 61.8
95.14
Fib Zone
93.19 - 97.09
Swing Low
85.44
Swing High
110.83
Save setup
Click chart to open full size</t>
        </is>
      </c>
      <c r="P470" t="inlineStr">
        <is>
          <t>agent_results/charts/market_lens_agent_20260609_191617_now.png</t>
        </is>
      </c>
      <c r="Q470" t="inlineStr">
        <is>
          <t>Smart Universe: broad liquid US universe, diversified by sector | Sector: Technology - Strong (73/100); XLK sector regime is strong: 27.1% 3m return, 18.3%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70"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5783.13}, "factor_exposure_before": {"Industrials": 5783.13},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0.0605, "initial_action": "WATCH", "market_cap": 109710542207.43,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83.34, "normalized_liquidity_score": 100, "normalized_momentum_score": 50.44, "normalized_quality_score": 73.53,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72.96,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"2026-06-09T19:19:16", "warnings": []}</t>
        </is>
      </c>
    </row>
    <row r="471">
      <c r="A471" t="inlineStr">
        <is>
          <t>2026-06-09T19:19:16</t>
        </is>
      </c>
      <c r="B471" t="inlineStr">
        <is>
          <t>DLR</t>
        </is>
      </c>
      <c r="C471" t="inlineStr">
        <is>
          <t>Swing Low + Volume Support Buy Zone</t>
        </is>
      </c>
      <c r="D471" t="n">
        <v>0.31</v>
      </c>
      <c r="E471" t="n">
        <v>184.82</v>
      </c>
      <c r="F471" t="n">
        <v>183.66</v>
      </c>
      <c r="G471" t="n">
        <v>187.11</v>
      </c>
      <c r="H471" t="n">
        <v>178.48</v>
      </c>
      <c r="I471" t="n">
        <v>191.29</v>
      </c>
      <c r="J471" t="n">
        <v>201.34</v>
      </c>
      <c r="K471" t="n">
        <v>1.58</v>
      </c>
      <c r="L471" t="inlineStr">
        <is>
          <t>Price is pulling into a recent swing-low support (184.95) that overlaps with a high-volume area (HVN at 184.59), creating structural + volume confluence. Liquidity sweep below swing low detected — wick and reclaim. Stop below 178.48.</t>
        </is>
      </c>
      <c r="M471" t="inlineStr">
        <is>
          <t>WATCH</t>
        </is>
      </c>
      <c r="N471" t="inlineStr">
        <is>
          <t>WATCH: Technical setup detected, but weighted risk/reward 1.58 is below minimum 2.00. Market regime NEUTRAL; sector STRONG; net R/R 1.34.</t>
        </is>
      </c>
      <c r="O471" t="inlineStr">
        <is>
          <t>DLR
Swing Low + Volume Support Buy Zone
0.31
score
Price
184.82
R/R
1.58x
Grade
C
Quality
55%
Buy Zone
183.66 - 187.11
Stop
178.48
Targets
191.29 / 201.34
Watch only; needs confirmation
Mixed
Relative Strength
Leadership
100%
Trend Quality
Messy
0%
Liquidity
Institutional liquidity
100%
Volume
Distribution risk
30%
Trigger
Break above prior-day high at 187.95 after holding buy zone.
Invalidation
Exit if price closes below 178.48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71" t="inlineStr">
        <is>
          <t>agent_results/charts/market_lens_agent_20260609_191617_dlr.png</t>
        </is>
      </c>
      <c r="Q471" t="inlineStr">
        <is>
          <t>Smart Universe: broad liquid US universe, diversified by sector | Sector: Real Estate - Strong (72/100); XLRE sector regime is strong: 6.9% 3m return, -2.0% vs SPY | Setup: Swing Low + Volume Support Buy Zone; score 0.31; R/R 1.58x; price 184.82 | Market: NEUTRAL; Sector regime: STRONG; Net R/R: 1.34; Factors: Real Estate | Agent action: WATCH - WATCH: Technical setup detected, but weighted risk/reward 1.58 is below minimum 2.00. Market regime NEUTRAL; sector STRONG; net R/R 1.34.</t>
        </is>
      </c>
      <c r="R471"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0.5545, "estimated_spread": 0.1479, "executable_entry": 184.82, "execution_liquidity_bucket": "mid_liquid", "factor_exposure_after": {"Industrials": 5783.13}, "factor_exposure_before": {"Industrials": 5783.13}, "factor_exposure_cap": 7000.0, "factor_exposure_limit_exceeded": false, "factor_tags": ["Real Estate"], "final_action": "WATCH", "gross_reward_1_per_share": 6.47, "gross_reward_2_per_share": 16.52, "gross_risk_per_share": 6.34, "gross_rr": 1.5753, "gross_rr_1": 1.0205, "gross_rr_2": 2.6057, "gross_rr_decision": 1.5753, "highest_correlation_ticker": "HON", "highest_correlation_value": 0.4597, "initial_action": "WATCH", "market_cap": 64994310320.29,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185.1712, "net_reward_1_per_share": 5.9063, "net_reward_2_per_share": 15.9563, "net_risk_per_share": 7.0423, "net_rr": 1.3382, "net_rr_1": 0.8387, "net_rr_2": 2.2658, "net_stop_assumption": 178.1288, "net_target_1_assumption": 191.0775, "net_target_2_assumption": 201.1275, "normalized_atr_score": 100.0, "normalized_liquidity_score": 41.45, "normalized_momentum_score": 50.77, "normalized_quality_score": 60.28,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197.54, "price": 184.82, "prior_high_20": 197.54, "prior_high_63": 208.14, "reason": "WATCH: Technical setup detected, but weighted risk/reward 1.58 is below minimum 2.00. Market regime NEUTRAL; sector STRONG; net R/R 1.34.",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72.3, "setup_score": 0.31, "setup_type": "Swing Low + Volume Support Buy Zone", "sizing_adjustment_reason": "", "spread_source": "liquidity_fallback", "stock_score": 0.31, "stop_loss": 178.48, "target_1": 191.29, "target_1_atr_distance": 1.4998, "target_2": 201.34, "target_2_atr_distance": 3.8294, "target_feasibility_status": "OK", "theoretical_entry": 183.66, "ticker": "DLR", "timestamp": "2026-06-09T19:19:16", "warnings": []}</t>
        </is>
      </c>
    </row>
    <row r="472">
      <c r="A472" t="inlineStr">
        <is>
          <t>2026-06-09T19:19:16</t>
        </is>
      </c>
      <c r="B472" t="inlineStr">
        <is>
          <t>GILD</t>
        </is>
      </c>
      <c r="C472" t="inlineStr">
        <is>
          <t>Swing Low + Volume Support Buy Zone</t>
        </is>
      </c>
      <c r="D472" t="n">
        <v>0.29</v>
      </c>
      <c r="E472" t="n">
        <v>125.34</v>
      </c>
      <c r="F472" t="n">
        <v>127.31</v>
      </c>
      <c r="G472" t="n">
        <v>130.06</v>
      </c>
      <c r="H472" t="n">
        <v>123.18</v>
      </c>
      <c r="I472" t="n">
        <v>133.5</v>
      </c>
      <c r="J472" t="n">
        <v>140.73</v>
      </c>
      <c r="K472" t="n">
        <v>1.49</v>
      </c>
      <c r="L472" t="inlineStr">
        <is>
          <t>Price is pulling into a recent swing-low support (128.34) that overlaps with a high-volume area (POC at 129.12), creating structural + volume confluence. Liquidity sweep below swing low detected — wick and reclaim. Stop below 123.18.</t>
        </is>
      </c>
      <c r="M472" t="inlineStr">
        <is>
          <t>WATCH</t>
        </is>
      </c>
      <c r="N472" t="inlineStr">
        <is>
          <t>WATCH: Technical setup detected, but weighted risk/reward 1.49 is below minimum 2.00. Market regime NEUTRAL; sector STRONG; net R/R 1.97.</t>
        </is>
      </c>
      <c r="O472" t="inlineStr">
        <is>
          <t>GILD
Swing Low + Volume Support Buy Zone
0.29
score
Price
125.34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72" t="inlineStr">
        <is>
          <t>agent_results/charts/market_lens_agent_20260609_191617_gild.png</t>
        </is>
      </c>
      <c r="Q472" t="inlineStr">
        <is>
          <t>Smart Universe: broad liquid US universe, diversified by sector | Sector: Healthcare - Strong (69/100); XLV sector regime is strong: 1.7% 3m return, -7.1% vs SPY | Setup: Swing Low + Volume Support Buy Zone; score 0.29; R/R 1.49x; price 125.34 | Market: NEUTRAL; Sector regime: STRONG; Net R/R: 1.97; Factors: Defensive, Healthcare | Agent action: WATCH - WATCH: Technical setup detected, but weighted risk/reward 1.49 is below minimum 2.00. Market regime NEUTRAL; sector STRONG; net R/R 1.97.</t>
        </is>
      </c>
      <c r="R47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5783.13}, "factor_exposure_before": {"Industrials": 5783.13},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0.3986, "initial_action": "WATCH", "market_cap": 155771201060.47,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65.85, "normalized_momentum_score": 0, "normalized_quality_score": 44.75,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137.5, "price": 125.34,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69.12, "setup_score": 0.29, "setup_type": "Swing Low + Volume Support Buy Zone", "sizing_adjustment_reason": "", "spread_source": "liquidity_fallback", "stock_score": 0.29, "stop_loss": 123.18, "target_1": 133.5, "target_1_atr_distance": 2.3701, "target_2": 140.73, "target_2_atr_distance": 4.4701, "target_feasibility_status": "OK", "theoretical_entry": 127.31, "ticker": "GILD", "timestamp": "2026-06-09T19:19:16", "warnings": []}</t>
        </is>
      </c>
    </row>
    <row r="473">
      <c r="A473" t="inlineStr">
        <is>
          <t>2026-06-09T19:19:16</t>
        </is>
      </c>
      <c r="B473" t="inlineStr">
        <is>
          <t>MKC</t>
        </is>
      </c>
      <c r="C473" t="inlineStr">
        <is>
          <t>Breakout + Retest</t>
        </is>
      </c>
      <c r="D473" t="n">
        <v>0.28</v>
      </c>
      <c r="E473" t="n">
        <v>48.6</v>
      </c>
      <c r="F473" t="n">
        <v>47.02</v>
      </c>
      <c r="G473" t="n">
        <v>48.45</v>
      </c>
      <c r="H473" t="n">
        <v>46.31</v>
      </c>
      <c r="I473" t="n">
        <v>50.07</v>
      </c>
      <c r="J473" t="n">
        <v>54.03</v>
      </c>
      <c r="K473" t="n">
        <v>1.25</v>
      </c>
      <c r="L473" t="inlineStr">
        <is>
          <t>Price (48.60) retesting broken resistance (48.45) as support. Breakout on 2026-06-09 with 0.6× avg volume. Entry at 48.60, stop at 46.31.</t>
        </is>
      </c>
      <c r="M473" t="inlineStr">
        <is>
          <t>WATCH</t>
        </is>
      </c>
      <c r="N473" t="inlineStr">
        <is>
          <t>WATCH: Technical setup detected, but weighted risk/reward 1.25 is below minimum 2.00. Market regime NEUTRAL; sector NEUTRAL; net R/R 1.02.</t>
        </is>
      </c>
      <c r="O473" t="inlineStr">
        <is>
          <t>MKC
Breakout + Retest
0.28
score
Price
48.60
R/R
1.25x
Grade
C
Quality
63%
Buy Zone
47.02 - 48.45
Stop
46.31
Targets
50.07 / 54.03
Watch only; needs confirmation
Mixed
Relative Strength
Leadership
100%
Trend Quality
Messy
18%
Liquidity
Institutional liquidity
100%
Volume
Neutral
65%
Trigger
Close above 48.60 or reclaim of broken resistance.
Invalidation
Exit if price closes below 46.31 or setup support fails.
Trend quality is not clean.
Market regime: Mixed.
Relative strength: Leadership.
Price (48.60) retesting broken resistance (48.45) as support. Breakout on 2026-06-09 with 0.6× avg volume. Entry at 48.60, stop at 46.31.
Fib 61.8
46.21
Fib Zone
45.85 - 46.56
Swing Low
44.82
Swing High
48.45
Save setup
Click chart to open full size</t>
        </is>
      </c>
      <c r="P473" t="inlineStr">
        <is>
          <t>agent_results/charts/market_lens_agent_20260609_191617_mkc.png</t>
        </is>
      </c>
      <c r="Q473" t="inlineStr">
        <is>
          <t>Smart Universe: broad liquid US universe, diversified by sector | Sector: Consumer Defensive - Neutral (44/100); XLP sector regime is neutral: -0.2% 3m return, -9.0% vs SPY | Setup: Breakout + Retest; score 0.28; R/R 1.25x; price 48.60 | Market: NEUTRAL; Sector regime: NEUTRAL; Net R/R: 1.02; Factors: Consumer Defensive, Defensive, Low Volatility | Agent action: WATCH - WATCH: Technical setup detected, but weighted risk/reward 1.25 is below minimum 2.00. Market regime NEUTRAL; sector NEUTRAL; net R/R 1.02.</t>
        </is>
      </c>
      <c r="R47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 "estimated_spread": 0.0389, "executable_entry": 48.6, "execution_liquidity_bucket": "mid_liquid", "factor_exposure_after": {"Industrials": 5783.13}, "factor_exposure_before": {"Industrials": 5783.13}, "factor_exposure_cap": 7000.0, "factor_exposure_limit_exceeded": false, "factor_tags": ["Consumer Defensive", "Defensive", "Low Volatility"], "final_action": "WATCH", "gross_reward_1_per_share": 1.47, "gross_reward_2_per_share": 5.43, "gross_risk_per_share": 2.29, "gross_rr": 1.2472, "gross_rr_1": 0.6419, "gross_rr_2": 2.3712, "gross_rr_decision": 1.2472, "highest_correlation_ticker": "HON", "highest_correlation_value": 0.1582, "initial_action": "WATCH", "market_cap": 13071155853.74,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"SUPPORTED_BY_63D_RESISTANCE", "minimum_net_rr_required": 2.5, "net_entry": 48.7409, "net_reward_1_per_share": 1.2489, "net_reward_2_per_share": 5.2089, "net_risk_per_share": 2.5719, "net_rr": 1.0245, "net_rr_1": 0.4856, "net_rr_2": 2.0253, "net_stop_assumption": 46.1691, "net_target_1_assumption": 49.9898, "net_target_2_assumption": 53.9498, "normalized_atr_score": 100.0, "normalized_liquidity_score": 24.8, "normalized_momentum_score": 0, "normalized_quality_score": 32.44, "original_cash_out": 0.0, "original_position_size": 0, "original_risk_amount": 0.0, "portfolio_exposure_after": 5791.1, "portfolio_exposure_before": 5791.1, "position_size": 0, "position_size_adjusted": false, "position_sizing_explanation": "No new position size was calculated because the base decision did not open a simulated buy.", "previous_resistance": 48.93, "price": 48.6, "prior_high_20": 48.93, "prior_high_63": 63.8707, "reason": "WATCH: Technical setup detected, but weighted risk/reward 1.25 is below minimum 2.00. Market regime NEUTRAL; sector NEUTRAL; net R/R 1.02.",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43.78, "setup_score": 0.28, "setup_type": "Breakout + Retest", "sizing_adjustment_reason": "", "spread_source": "liquidity_fallback", "stock_score": 0.28, "stop_loss": 46.31, "target_1": 50.07, "target_1_atr_distance": 1.0301, "target_2": 54.03, "target_2_atr_distance": 3.8052, "target_feasibility_status": "OK", "theoretical_entry": 47.02, "ticker": "MKC", "timestamp": "2026-06-09T19:19:16", "warnings": []}</t>
        </is>
      </c>
    </row>
    <row r="474">
      <c r="A474" t="inlineStr">
        <is>
          <t>2026-06-09T19:19:16</t>
        </is>
      </c>
      <c r="B474" t="inlineStr">
        <is>
          <t>PFE</t>
        </is>
      </c>
      <c r="C474" t="inlineStr">
        <is>
          <t>Fib 61.8 Confluence Buy Zone</t>
        </is>
      </c>
      <c r="D474" t="n">
        <v>0.26</v>
      </c>
      <c r="E474" t="n">
        <v>25.75</v>
      </c>
      <c r="F474" t="n">
        <v>25.58</v>
      </c>
      <c r="G474" t="n">
        <v>25.83</v>
      </c>
      <c r="H474" t="n">
        <v>25.43</v>
      </c>
      <c r="I474" t="n">
        <v>25.86</v>
      </c>
      <c r="J474" t="n">
        <v>27.57</v>
      </c>
      <c r="K474" t="n">
        <v>2.18</v>
      </c>
      <c r="L474" t="inlineStr">
        <is>
          <t>Price at 61.8% fib retracement (25.71) with confluence at VWAP. Planned entry at zone low 25.58; executable entry 25.75, stop below fib 78.6% at 25.43. Structural confluence: swing low at 25.19 aligns with VAL (25.31).</t>
        </is>
      </c>
      <c r="M474" t="inlineStr">
        <is>
          <t>WATCH</t>
        </is>
      </c>
      <c r="N474" t="inlineStr">
        <is>
          <t>WATCH: Neutral market requires stronger setup score (0.26 &lt; 0.45).</t>
        </is>
      </c>
      <c r="O474" t="inlineStr">
        <is>
          <t>PFE
Fib 61.8 Confluence Buy Zone
0.26
score
Price
25.75
R/R
2.18x
Grade
D
Quality
48%
Buy Zone
25.58 - 25.83
Stop
25.43
Targets
25.86 / 27.57
Low-quality setup
Mixed
Relative Strength
Lagging
36%
Trend Quality
Messy
0%
Liquidity
Institutional liquidity
100%
Volume
Neutral
65%
Trigger
Break above prior-day high at 26.22 after holding buy zone.
Invalidation
Exit if price closes below 25.43 or setup support fails.
Ticker is lagging major indices.
Trend quality is not clean.
Market regime: Mixed.
Price at 61.8% fib retracement (25.71) with confluence at VWAP. Planned entry at zone low 25.58; executable entry 25.75, stop below fib 78.6% at 25.43. Structural confluence: swing low at 25.19 aligns with VAL (25.31).
Fib 61.8
25.71
Fib Zone
25.58 - 25.83
Swing Low
25.19
Swing High
26.54
Save setup
Click chart to open full size</t>
        </is>
      </c>
      <c r="P474" t="inlineStr">
        <is>
          <t>agent_results/charts/market_lens_agent_20260609_191617_pfe.png</t>
        </is>
      </c>
      <c r="Q474" t="inlineStr">
        <is>
          <t>Smart Universe: broad liquid US universe, diversified by sector | Sector: Healthcare - Strong (69/100); XLV sector regime is strong: 1.7% 3m return, -7.1% vs SPY | Setup: Fib 61.8 Confluence Buy Zone; score 0.26; R/R 2.18x; price 25.75 | Market: NEUTRAL; Sector regime: STRONG; Net R/R: 1.85; Factors: Defensive, Healthcare | Agent action: WATCH - WATCH: Neutral market requires stronger setup score (0.26 &lt; 0.45).</t>
        </is>
      </c>
      <c r="R474" t="inlineStr">
        <is>
          <t>{"adjusted_cash_out": 5999.75, "adjusted_position_size": 233, "adjusted_risk_amount": 74.56,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25.75, "execution_liquidity_bucket": "large_liquid", "factor_exposure_after": {"Defensive": 5999.75, "Healthcare": 5999.75, "Industrials": 5783.13}, "factor_exposure_before": {"Industrials": 5783.13}, "factor_exposure_cap": 7000.0, "factor_exposure_limit_exceeded": false, "factor_tags": ["Defensive", "Healthcare"], "final_action": "WATCH", "gross_reward_1_per_share": 0.11, "gross_reward_2_per_share": 1.82, "gross_risk_per_share": 0.32, "gross_rr": 2.2141, "gross_rr_1": 0.3437, "gross_rr_2": 5.6875, "gross_rr_decision": 2.2141, "highest_correlation_ticker": "HON", "highest_correlation_value": 0.3131, "initial_action": "BUY_SIMULATED", "market_cap": 146789179789.43, "market_cap_bucket": "Large Cap", "market_regime": "NEUTRAL", "market_regime_indicators": {"DXY": {"ema20": 99.2872, "ema200": 98.8357, "ema50": 98.9905, "price": 99.922, "return_1m": 2.02, "return_3m": 0.7, "trend": "bullish"}, "IWM": {"ema20": 284.7007, "ema200": 267.3597, "ema50": 277.4077, "price": 284.09, "return_1m": -0.43, "return_3m": 12.56, "trend": "mixed"}, "QQQ": {"ema20": 715.9609, "ema200": 651.5877, "ema50": 685.0718, "price": 702.0, "return_1m": -1.58, "return_3m": 15.67, "trend": "mixed"}, "SPY": {"ema20": 742.3724, "ema200": 703.1835, "ema50": 724.1213, "price": 733.9937, "return_1m": -0.72, "return_3m": 8.82, "trend": "mixed"}, "US10Y": {"ema20": 4.4925, "ema200": 4.3206, "ema50": 4.4213, "price": 4.528, "return_1m": 2.68, "return_3m": 7.6, "trend": "bullish"}, "VIX": {"ema20": 17.5647, "ema200": 18.8311, "ema50": 18.448, "price": 19.4, "return_1m": 7.84, "return_3m": -28.91, "trend": "mixed"}}, "market_regime_reason": "Market regime is mixed; use lower exposure and higher net R/R.", "market_regime_score": 0.52, "market_structure_status": "SUPPORTED_BY_20D_RESISTANCE", "minimum_net_rr_required": 2.2, "net_entry": 25.7719, "net_reward_1_per_share": 0.0752, "net_reward_2_per_share": 1.7852, "net_risk_per_share": 0.3638, "net_rr": 1.8521, "net_rr_1": 0.2068, "net_rr_2": 4.9075, "net_stop_assumption": 25.4081, "net_target_1_assumption": 25.8471, "net_target_2_assumption": 27.5571, "normalized_atr_score": 100.0, "normalized_liquidity_score": 61.24, "normalized_momentum_score": 36.53, "normalized_quality_score": 59.81, "original_cash_out": 9991.0, "original_position_size": 388, "original_risk_amount": 124.16, "portfolio_exposure_after": 5791.1, "portfolio_exposure_before": 5791.1, "position_size": 0, "position_size_adjusted": true, "position_sizing_explanation": "Base position sizing produced a candidate trade, but the risk transparency layer blocked the new buy. Candidate size: 233 shares, cash 5999.75, risk 74.56.", "previous_resistance": 26.54, "price": 25.75, "prior_high_20": 26.54, "prior_high_63": 28.2831, "reason": "WATCH: Neutral market requires stronger setup score (0.26 &lt; 0.45).", "risk_amount": 0.0, "scan_source": "Smart Universe: broad liquid US universe filtered and diversified by the Market Lens UI.", "sector": "Healthcare", "sector_etf": "XLV", "sector_exposure_after": 5999.75, "sector_exposure_before": 0.0, "sector_exposure_cap": 6000.0, "sector_exposure_limit_exceeded": false, "sector_regime": "STRONG", "sector_score": 69.12, "setup_score": 0.26, "setup_type": "Fib 61.8 Confluence Buy Zone", "sizing_adjustment_reason": "Position size reduced by Healthcare sector exposure cap (388 -&gt; 233 shares).", "spread_source": "liquidity_fallback", "stock_score": 0.26, "stop_loss": 25.43, "target_1": 25.86, "target_1_atr_distance": 0.2255, "target_2": 27.57, "target_2_atr_distance": 3.7318, "target_feasibility_status": "LOW_REWARD_DISTANCE", "theoretical_entry": 25.58, "ticker": "PFE", "timestamp": "2026-06-09T19:19:16", "warnings": ["Target 1 is close versus daily ATR.", "Position size reduced by Healthcare sector exposure cap (388 -&gt; 233 shares).", "Gross R/R is valid, but Net R/R 1.85 failed minimum 2.20 after slippage/spread adjustment.", "Target 1 is too close versus daily ATR."]}</t>
        </is>
      </c>
    </row>
    <row r="475">
      <c r="A475" t="inlineStr">
        <is>
          <t>2026-06-09T19:48:51</t>
        </is>
      </c>
      <c r="B475" t="inlineStr">
        <is>
          <t>HON</t>
        </is>
      </c>
      <c r="C475" t="inlineStr">
        <is>
          <t>Breakout + Retest</t>
        </is>
      </c>
      <c r="D475" t="n">
        <v>0.48</v>
      </c>
      <c r="E475" t="n">
        <v>214.66</v>
      </c>
      <c r="F475" t="n">
        <v>213.65</v>
      </c>
      <c r="G475" t="n">
        <v>219.83</v>
      </c>
      <c r="H475" t="n">
        <v>210.55</v>
      </c>
      <c r="I475" t="n">
        <v>219.83</v>
      </c>
      <c r="J475" t="n">
        <v>239.94</v>
      </c>
      <c r="K475" t="n">
        <v>2.97</v>
      </c>
      <c r="L475" t="inlineStr">
        <is>
          <t>Price (214.66) retesting broken resistance (219.83) as support. Breakout on 2026-05-21 with 1.1× avg volume. Entry at 214.66, stop at 210.55.</t>
        </is>
      </c>
      <c r="M475" t="inlineStr">
        <is>
          <t>HOLD</t>
        </is>
      </c>
      <c r="N475" t="inlineStr">
        <is>
          <t>HOLD: Existing simulated position remains open. NEUTRAL regime recorded.</t>
        </is>
      </c>
      <c r="O475" t="inlineStr">
        <is>
          <t>HON
Breakout + Retest
0.48
score
Price
214.66
R/R
2.97x
Grade
B
Quality
70%
Buy Zone
213.65 - 219.83
Stop
210.55
Targets
219.83 / 239.94
Tradable if trigger confirms
Mixed
Relative Strength
Leadership
100%
Trend Quality
Messy
28%
Liquidity
Institutional liquidity
100%
Volume
Neutral
65%
Trigger
Close above 215.81 or reclaim of broken resistance.
Invalidation
Exit if price closes below 210.55 or setup support fails.
Trend quality is not clean.
Market regime: Mixed.
Relative strength: Leadership.
Price (214.66) retesting broken resistance (219.83) as support. Breakout on 2026-05-21 with 1.1× avg volume. Entry at 214.66, stop at 210.55.
Fib 61.8
222.36
Fib Zone
220.82 - 223.91
Swing Low
211.50
Swing High
239.94
Save setup
Click chart to open full size</t>
        </is>
      </c>
      <c r="P475" t="inlineStr">
        <is>
          <t>agent_results/charts/market_lens_agent_20260609_194647_hon.png</t>
        </is>
      </c>
      <c r="Q475" t="inlineStr">
        <is>
          <t>Smart Universe: broad liquid US universe, diversified by sector | Sector: Industrials - Strong (68/100); XLI sector regime is strong: 3.3% 3m return, -5.3% vs SPY | Setup: Breakout + Retest; score 0.48; R/R 2.97x; price 214.66 | Market: NEUTRAL; Sector regime: STRONG; Net R/R: 2.36; Factors: Industrials | Agent action: HOLD - HOLD: Existing simulated position remains open. NEUTRAL regime recorded.</t>
        </is>
      </c>
      <c r="R475" t="inlineStr">
        <is>
          <t>{"adjusted_cash_out": 0.0, "adjusted_position_size": 0, "adjusted_risk_amount": 0.0, "ask": 0.0, "bid": 0.0, "buy_zone_high": 219.83, "buy_zone_low": 213.65, "cash_available": 93936.04, "company_name": "Honeywell International Inc.", "correlation_warning": false, "days_to_earnings": 32, "earnings_blackout": false, "earnings_date": "2026-07-23T00:00:00", "estimated_fees": 0.0, "estimated_slippage": 0.7298, "estimated_spread": 0.0644, "executable_entry": 214.66, "execution_liquidity_bucket": "large_liquid", "factor_exposure_after": {}, "factor_exposure_before": {}, "factor_exposure_cap": 7000.0, "factor_exposure_limit_exceeded": false, "factor_tags": ["Industrials"], "final_action": "HOLD", "gross_reward_1_per_share": 5.17, "gross_reward_2_per_share": 25.28, "gross_risk_per_share": 4.11, "gross_rr": 2.9704, "gross_rr_1": 1.2579, "gross_rr_2": 6.1509, "gross_rr_decision": 2.9704, "highest_correlation_ticker": "", "highest_correlation_value": null, "initial_action": "HOLD", "market_cap": 135924927075.93,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215.0571, "net_reward_1_per_share": 4.5582, "net_reward_2_per_share": 24.6682, "net_risk_per_share": 4.9042, "net_rr": 2.3646, "net_rr_1": 0.9294, "net_rr_2": 5.03, "net_stop_assumption": 210.1529, "net_target_1_assumption": 219.6153, "net_target_2_assumption": 239.7253, "normalized_atr_score": 100.0, "normalized_liquidity_score": 67.82, "normalized_momentum_score": 15.76, "normalized_quality_score": 52.44,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239.94, "price": 214.66,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68.18, "setup_score": 0.48, "setup_type": "Breakout + Retest", "sizing_adjustment_reason": "", "spread_source": "liquidity_fallback", "stock_score": 0.48, "stop_loss": 210.55, "target_1": 219.83, "target_1_atr_distance": 0.8358, "target_2": 239.94, "target_2_atr_distance": 4.0868, "target_feasibility_status": "OK", "theoretical_entry": 213.65, "ticker": "HON", "timestamp": "2026-06-09T19:48:51", "warnings": []}</t>
        </is>
      </c>
    </row>
    <row r="476">
      <c r="A476" t="inlineStr">
        <is>
          <t>2026-06-09T19:48:51</t>
        </is>
      </c>
      <c r="B476" t="inlineStr">
        <is>
          <t>ORCL</t>
        </is>
      </c>
      <c r="C476" t="inlineStr">
        <is>
          <t>Fib 61.8 Confluence Buy Zone</t>
        </is>
      </c>
      <c r="D476" t="n">
        <v>0.45</v>
      </c>
      <c r="E476" t="n">
        <v>204.05</v>
      </c>
      <c r="F476" t="n">
        <v>202.83</v>
      </c>
      <c r="G476" t="n">
        <v>209.36</v>
      </c>
      <c r="H476" t="n">
        <v>192.78</v>
      </c>
      <c r="I476" t="n">
        <v>207.26</v>
      </c>
      <c r="J476" t="n">
        <v>250.25</v>
      </c>
      <c r="K476" t="n">
        <v>1.62</v>
      </c>
      <c r="L476" t="inlineStr">
        <is>
          <t>Price at 61.8% fib retracement (206.09) with confluence at VWAP. Planned entry at zone low 202.83; executable entry 204.05, stop below fib 78.6% at 192.78. Structural confluence: swing low at 178.80 aligns with HVN (175.94).</t>
        </is>
      </c>
      <c r="M476" t="inlineStr">
        <is>
          <t>WATCH</t>
        </is>
      </c>
      <c r="N476" t="inlineStr">
        <is>
          <t>WATCH: Technical setup detected, but weighted risk/reward 1.62 is below minimum 2.00. Market regime NEUTRAL; sector STRONG; net R/R 1.54.</t>
        </is>
      </c>
      <c r="O476" t="inlineStr">
        <is>
          <t>ORCL
Fib 61.8 Confluence Buy Zone
0.45
score
Price
204.05
R/R
1.62x
Grade
B
Quality
75%
Buy Zone
202.83 - 209.36
Stop
192.78
Targets
207.26 / 250.25
Tradable if trigger confirms
Mixed
Relative Strength
Leadership
100%
Trend Quality
Constructive
68%
Liquidity
Institutional liquidity
100%
Volume
Neutral
65%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204.05, stop below fib 78.6% at 192.78. Structural confluence: swing low at 178.80 aligns with HVN (175.94).
Fib 61.8
206.09
Fib Zone
202.83 - 209.36
Swing Low
178.80
Swing High
250.25
Save setup
Click chart to open full size</t>
        </is>
      </c>
      <c r="P476" t="inlineStr">
        <is>
          <t>agent_results/charts/market_lens_agent_20260609_194647_orcl.png</t>
        </is>
      </c>
      <c r="Q476" t="inlineStr">
        <is>
          <t>Smart Universe: broad liquid US universe, diversified by sector | Sector: Technology - Strong (73/100); XLK sector regime is strong: 27.3% 3m return, 18.7% vs SPY | Setup: Fib 61.8 Confluence Buy Zone; score 0.45; R/R 1.62x; price 204.05 | Market: NEUTRAL; Sector regime: STRONG; Net R/R: 1.54; Factors: Technology | Agent action: WATCH - WATCH: Technical setup detected, but weighted risk/reward 1.62 is below minimum 2.00. Market regime NEUTRAL; sector STRONG; net R/R 1.54.</t>
        </is>
      </c>
      <c r="R476"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0.3285, "estimated_spread": 0.0612, "executable_entry": 204.05, "execution_liquidity_bucket": "large_liquid", "factor_exposure_after": {"Industrials": 5795.82}, "factor_exposure_before": {"Industrials": 5795.82}, "factor_exposure_cap": 7000.0, "factor_exposure_limit_exceeded": false, "factor_tags": ["Technology"], "final_action": "WATCH", "gross_reward_1_per_share": 3.21, "gross_reward_2_per_share": 46.2, "gross_risk_per_share": 11.27, "gross_rr": 1.6199, "gross_rr_1": 0.2848, "gross_rr_2": 4.0994, "gross_rr_decision": 1.6199, "highest_correlation_ticker": "HON", "highest_correlation_value": 0.1152, "initial_action": "WATCH", "market_cap": 585275361000.0,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204.2449, "net_reward_1_per_share": 2.9024, "net_reward_2_per_share": 45.8924, "net_risk_per_share": 11.6597, "net_rr": 1.5394, "net_rr_1": 0.2489, "net_rr_2": 3.936, "net_stop_assumption": 192.5851, "net_target_1_assumption": 207.1473, "net_target_2_assumption": 250.1373, "normalized_atr_score": 83.12, "normalized_liquidity_score": 75.58, "normalized_momentum_score": 100, "normalized_quality_score": 88.45,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250.25, "price": 204.05, "prior_high_20": 250.25, "prior_high_63": 250.25, "reason": "WATCH: Technical setup detected, but weighted risk/reward 1.62 is below minimum 2.00. Market regime NEUTRAL; sector STRONG; net R/R 1.54.",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0.45, "setup_type": "Fib 61.8 Confluence Buy Zone", "sizing_adjustment_reason": "", "spread_source": "liquidity_fallback", "stock_score": 0.45, "stop_loss": 192.78, "target_1": 207.26, "target_1_atr_distance": 0.2457, "target_2": 250.25, "target_2_atr_distance": 3.5358, "target_feasibility_status": "LOW_REWARD_DISTANCE", "theoretical_entry": 202.83, "ticker": "ORCL", "timestamp": "2026-06-09T19:48:51", "warnings": ["Target 1 is close versus daily ATR.", "Earnings blackout active."]}</t>
        </is>
      </c>
    </row>
    <row r="477">
      <c r="A477" t="inlineStr">
        <is>
          <t>2026-06-09T19:48:51</t>
        </is>
      </c>
      <c r="B477" t="inlineStr">
        <is>
          <t>V</t>
        </is>
      </c>
      <c r="C477" t="inlineStr">
        <is>
          <t>Fib 61.8 Confluence Buy Zone</t>
        </is>
      </c>
      <c r="D477" t="n">
        <v>0.35</v>
      </c>
      <c r="E477" t="n">
        <v>324.8</v>
      </c>
      <c r="F477" t="n">
        <v>321.23</v>
      </c>
      <c r="G477" t="n">
        <v>324.8</v>
      </c>
      <c r="H477" t="n">
        <v>319</v>
      </c>
      <c r="I477" t="n">
        <v>325.34</v>
      </c>
      <c r="J477" t="n">
        <v>338.49</v>
      </c>
      <c r="K477" t="n">
        <v>0.89</v>
      </c>
      <c r="L477" t="inlineStr">
        <is>
          <t>Price at 61.8% fib retracement (323.02) with confluence at VWAP. Planned entry at zone low 321.23; executable entry 324.80, stop below fib 78.6% at 319.00.</t>
        </is>
      </c>
      <c r="M477" t="inlineStr">
        <is>
          <t>WATCH</t>
        </is>
      </c>
      <c r="N477" t="inlineStr">
        <is>
          <t>WATCH: Technical setup detected, but weighted risk/reward 0.89 is below minimum 2.00. Market regime NEUTRAL; sector STRONG; net R/R 0.74.</t>
        </is>
      </c>
      <c r="O477" t="inlineStr">
        <is>
          <t>V
Fib 61.8 Confluence Buy Zone
0.35
score
Price
324.80
R/R
0.89x
Grade
C
Quality
58%
Buy Zone
321.23 - 324.80
Stop
319.00
Targets
325.34 / 338.49
Watch only; needs confirmation
Mixed
Relative Strength
Lagging
44%
Trend Quality
Constructive
76%
Liquidity
Institutional liquidity
100%
Volume
Distribution risk
30%
Trigger
Break above prior-day high at 324.80 after holding buy zone.
Invalidation
Exit if price closes below 319.00 or setup support fails.
Ticker is lagging major indices.
Recent volume shows distribution risk.
Market regime: Mixed.
Price at 61.8% fib retracement (323.02) with confluence at VWAP. Planned entry at zone low 321.23; executable entry 324.80, stop below fib 78.6% at 319.00.
Fib 61.8
323.02
Fib Zone
321.23 - 324.80
Swing Low
315.51
Swing High
335.17
Save setup
Click chart to open full size</t>
        </is>
      </c>
      <c r="P477" t="inlineStr">
        <is>
          <t>agent_results/charts/market_lens_agent_20260609_194647_v.png</t>
        </is>
      </c>
      <c r="Q477" t="inlineStr">
        <is>
          <t>Smart Universe: broad liquid US universe, diversified by sector | Sector: Financials - Strong (72/100); XLF sector regime is strong: 5.9% 3m return, -2.7% vs SPY | Setup: Fib 61.8 Confluence Buy Zone; score 0.35; R/R 0.89x; price 324.80 | Market: NEUTRAL; Sector regime: STRONG; Net R/R: 0.74; Factors: Financials | Agent action: WATCH - WATCH: Technical setup detected, but weighted risk/reward 0.89 is below minimum 2.00. Market regime NEUTRAL; sector STRONG; net R/R 0.74.</t>
        </is>
      </c>
      <c r="R477" t="inlineStr">
        <is>
          <t>{"adjusted_cash_out": 0.0, "adjusted_position_size": 0, "adjusted_risk_amount": 0.0, "ask": 0.0, "bid": 0.0, "buy_zone_high": 324.8, "buy_zone_low": 321.23, "cash_available": 93936.04, "company_name": "Visa Inc.", "correlation_warning": false, "days_to_earnings": 35, "earnings_blackout": false, "earnings_date": "2026-07-28T00:00:00", "estimated_fees": 0.0, "estimated_slippage": 0.4547, "estimated_spread": 0.0974, "executable_entry": 324.8, "execution_liquidity_bucket": "large_liquid", "factor_exposure_after": {"Industrials": 5795.82}, "factor_exposure_before": {"Industrials": 5795.82}, "factor_exposure_cap": 7000.0, "factor_exposure_limit_exceeded": false, "factor_tags": ["Financials"], "final_action": "WATCH", "gross_reward_1_per_share": 0.54, "gross_reward_2_per_share": 13.69, "gross_risk_per_share": 5.8, "gross_rr": 0.8866, "gross_rr_1": 0.0931, "gross_rr_2": 2.3603, "gross_rr_decision": 0.8866, "highest_correlation_ticker": "HON", "highest_correlation_value": 0.1024, "initial_action": "WATCH", "market_cap": 617752931022.75, "market_cap_bucket": "Mega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325.0761, "net_reward_1_per_share": 0.1015, "net_reward_2_per_share": 13.2515, "net_risk_per_share": 6.3522, "net_rr": 0.7405, "net_rr_1": 0.016, "net_rr_2": 2.0861, "net_stop_assumption": 318.7239, "net_target_1_assumption": 325.1776, "net_target_2_assumption": 338.3276, "normalized_atr_score": 100.0, "normalized_liquidity_score": 58.96, "normalized_momentum_score": 70.12, "normalized_quality_score": 74.24,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335.17, "price": 324.8, "prior_high_20": 335.17, "prior_high_63": 341.2725, "reason": "WATCH: Technical setup detected, but weighted risk/reward 0.89 is below minimum 2.00. Market regime NEUTRAL; sector STRONG; net R/R 0.74.",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71.86, "setup_score": 0.35, "setup_type": "Fib 61.8 Confluence Buy Zone", "sizing_adjustment_reason": "", "spread_source": "liquidity_fallback", "stock_score": 0.35, "stop_loss": 319.0, "target_1": 325.34, "target_1_atr_distance": 0.0756, "target_2": 338.49, "target_2_atr_distance": 1.9178, "target_feasibility_status": "LOW_REWARD_DISTANCE", "theoretical_entry": 321.23, "ticker": "V", "timestamp": "2026-06-09T19:48:51", "warnings": ["Target 1 is close versus daily ATR."]}</t>
        </is>
      </c>
    </row>
    <row r="478">
      <c r="A478" t="inlineStr">
        <is>
          <t>2026-06-09T19:48:51</t>
        </is>
      </c>
      <c r="B478" t="inlineStr">
        <is>
          <t>PFE</t>
        </is>
      </c>
      <c r="C478" t="inlineStr">
        <is>
          <t>Fib 61.8 Confluence Buy Zone</t>
        </is>
      </c>
      <c r="D478" t="n">
        <v>0.35</v>
      </c>
      <c r="E478" t="n">
        <v>25.64</v>
      </c>
      <c r="F478" t="n">
        <v>25.58</v>
      </c>
      <c r="G478" t="n">
        <v>25.83</v>
      </c>
      <c r="H478" t="n">
        <v>25.43</v>
      </c>
      <c r="I478" t="n">
        <v>25.7</v>
      </c>
      <c r="J478" t="n">
        <v>27.57</v>
      </c>
      <c r="K478" t="n">
        <v>3.41</v>
      </c>
      <c r="L478" t="inlineStr">
        <is>
          <t>Price at 61.8% fib retracement (25.71) with confluence at VWAP. Planned entry at zone low 25.58; executable entry 25.64, stop below fib 78.6% at 25.43. Structural confluence: swing low at 25.19 aligns with VAL (25.31).</t>
        </is>
      </c>
      <c r="M478" t="inlineStr">
        <is>
          <t>WATCH</t>
        </is>
      </c>
      <c r="N478" t="inlineStr">
        <is>
          <t>WATCH: Neutral market requires stronger setup score (0.35 &lt; 0.45).</t>
        </is>
      </c>
      <c r="O478" t="inlineStr">
        <is>
          <t>PFE
Fib 61.8 Confluence Buy Zone
0.35
score
Price
25.64
R/R
3.41x
Grade
C
Quality
59%
Buy Zone
25.58 - 25.83
Stop
25.43
Targets
25.70 / 27.57
Watch only; needs confirmation
Mixed
Relative Strength
Leadership
78%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25.64, stop below fib 78.6% at 25.43. Structural confluence: swing low at 25.19 aligns with VAL (25.31).
Fib 61.8
25.71
Fib Zone
25.58 - 25.83
Swing Low
25.19
Swing High
26.54
Save setup
Click chart to open full size</t>
        </is>
      </c>
      <c r="P478" t="inlineStr">
        <is>
          <t>agent_results/charts/market_lens_agent_20260609_194647_pfe.png</t>
        </is>
      </c>
      <c r="Q478" t="inlineStr">
        <is>
          <t>Smart Universe: broad liquid US universe, diversified by sector | Sector: Healthcare - Strong (69/100); XLV sector regime is strong: 1.3% 3m return, -7.3% vs SPY | Setup: Fib 61.8 Confluence Buy Zone; score 0.35; R/R 3.41x; price 25.64 | Market: NEUTRAL; Sector regime: STRONG; Net R/R: 2.68; Factors: Defensive, Healthcare | Agent action: WATCH - WATCH: Neutral market requires stronger setup score (0.35 &lt; 0.45).</t>
        </is>
      </c>
      <c r="R478" t="inlineStr">
        <is>
          <t>{"adjusted_cash_out": 5999.76, "adjusted_position_size": 234, "adjusted_risk_amount": 49.14, "ask": 0.0, "bid": 0.0, "buy_zone_high": 25.83, "buy_zone_low": 25.58, "cash_available": 93936.04, "company_name": "Pfizer Inc.", "correlation_warning": false, "days_to_earnings": 36, "earnings_blackout": false, "earnings_date": "2026-07-29T00:00:00", "estimated_fees": 0.0, "estimated_slippage": 0.0359, "estimated_spread": 0.0077, "executable_entry": 25.64, "execution_liquidity_bucket": "large_liquid", "factor_exposure_after": {"Defensive": 5999.76, "Healthcare": 5999.76, "Industrials": 5795.82}, "factor_exposure_before": {"Industrials": 5795.82}, "factor_exposure_cap": 7000.0, "factor_exposure_limit_exceeded": false, "factor_tags": ["Defensive", "Healthcare"], "final_action": "WATCH", "gross_reward_1_per_share": 0.06, "gross_reward_2_per_share": 1.93, "gross_risk_per_share": 0.21, "gross_rr": 3.4024, "gross_rr_1": 0.2857, "gross_rr_2": 9.1905, "gross_rr_decision": 3.4024, "highest_correlation_ticker": "HON", "highest_correlation_value": 0.31, "initial_action": "BUY_SIMULATED", "market_cap": 146076749268.31,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25.6618, "net_reward_1_per_share": 0.0254, "net_reward_2_per_share": 1.8954, "net_risk_per_share": 0.2536, "net_rr": 2.6811, "net_rr_1": 0.1001, "net_rr_2": 7.4743, "net_stop_assumption": 25.4082, "net_target_1_assumption": 25.6872, "net_target_2_assumption": 27.5572, "normalized_atr_score": 100.0, "normalized_liquidity_score": 61.35, "normalized_momentum_score": 34.27, "normalized_quality_score": 58.83, "original_cash_out": 9999.6, "original_position_size": 390, "original_risk_amount": 81.9, "portfolio_exposure_after": 5786.1, "portfolio_exposure_before": 5786.1, "position_size": 0, "position_size_adjusted": true, "position_sizing_explanation": "Base position sizing produced a candidate trade, but the risk transparency layer blocked the new buy. Candidate size: 234 shares, cash 5999.76, risk 49.14.", "previous_resistance": 26.54, "price": 25.64, "prior_high_20": 26.54, "prior_high_63": 28.2831, "reason": "WATCH: Neutral market requires stronger setup score (0.35 &lt; 0.45).", "risk_amount": 0.0, "scan_source": "Smart Universe: broad liquid US universe filtered and diversified by the Market Lens UI.", "sector": "Healthcare", "sector_etf": "XLV", "sector_exposure_after": 5999.76, "sector_exposure_before": 0.0, "sector_exposure_cap": 6000.0, "sector_exposure_limit_exceeded": false, "sector_regime": "STRONG", "sector_score": 68.73, "setup_score": 0.35, "setup_type": "Fib 61.8 Confluence Buy Zone", "sizing_adjustment_reason": "Position size reduced by Healthcare sector exposure cap (390 -&gt; 234 shares).", "spread_source": "liquidity_fallback", "stock_score": 0.35, "stop_loss": 25.43, "target_1": 25.7, "target_1_atr_distance": 0.123, "target_2": 27.57, "target_2_atr_distance": 3.9574, "target_feasibility_status": "LOW_REWARD_DISTANCE", "theoretical_entry": 25.58, "ticker": "PFE", "timestamp": "2026-06-09T19:48:51", "warnings": ["Target 1 is close versus daily ATR.", "Position size reduced by Healthcare sector exposure cap (390 -&gt; 234 shares)."]}</t>
        </is>
      </c>
    </row>
    <row r="479">
      <c r="A479" t="inlineStr">
        <is>
          <t>2026-06-09T19:48:51</t>
        </is>
      </c>
      <c r="B479" t="inlineStr">
        <is>
          <t>DHR</t>
        </is>
      </c>
      <c r="C479" t="inlineStr">
        <is>
          <t>Fib 61.8 Confluence Buy Zone</t>
        </is>
      </c>
      <c r="D479" t="n">
        <v>0.34</v>
      </c>
      <c r="E479" t="n">
        <v>188.23</v>
      </c>
      <c r="F479" t="n">
        <v>187.14</v>
      </c>
      <c r="G479" t="n">
        <v>189.77</v>
      </c>
      <c r="H479" t="n">
        <v>184.65</v>
      </c>
      <c r="I479" t="n">
        <v>190.75</v>
      </c>
      <c r="J479" t="n">
        <v>200.5</v>
      </c>
      <c r="K479" t="n">
        <v>1.66</v>
      </c>
      <c r="L479" t="inlineStr">
        <is>
          <t>Price at 61.8% fib retracement (188.46) with confluence at VWAP. Planned entry at zone low 187.14; executable entry 188.23, stop below fib 78.6% at 184.65.</t>
        </is>
      </c>
      <c r="M479" t="inlineStr">
        <is>
          <t>WATCH</t>
        </is>
      </c>
      <c r="N479" t="inlineStr">
        <is>
          <t>WATCH: Technical setup detected, but weighted risk/reward 1.66 is below minimum 2.00. Market regime NEUTRAL; sector STRONG; net R/R 1.46.</t>
        </is>
      </c>
      <c r="O479" t="inlineStr">
        <is>
          <t>DHR
Fib 61.8 Confluence Buy Zone
0.34
score
Price
188.23
R/R
1.66x
Grade
B
Quality
76%
Buy Zone
187.14 - 189.77
Stop
184.65
Targets
190.75 / 200.50
Tradable if trigger confirms
Mixed
Relative Strength
Leadership
100%
Trend Quality
Constructive
68%
Liquidity
Institutional liquidity
100%
Volume
Neutral
65%
Trigger
Break above prior-day high at 188.23 after holding buy zone.
Invalidation
Exit if price closes below 184.65 or setup support fails.
Market regime: Mixed.
Relative strength: Leadership.
Price at 61.8% fib retracement (188.46) with confluence at VWAP. Planned entry at zone low 187.14; executable entry 188.23, stop below fib 78.6% at 184.65.
Fib 61.8
188.46
Fib Zone
187.14 - 189.77
Swing Low
181.01
Swing High
200.50
Save setup
Click chart to open full size</t>
        </is>
      </c>
      <c r="P479" t="inlineStr">
        <is>
          <t>agent_results/charts/market_lens_agent_20260609_194647_dhr.png</t>
        </is>
      </c>
      <c r="Q479" t="inlineStr">
        <is>
          <t>Smart Universe: broad liquid US universe, diversified by sector | Sector: Healthcare - Strong (69/100); XLV sector regime is strong: 1.3% 3m return, -7.3% vs SPY | Setup: Fib 61.8 Confluence Buy Zone; score 0.34; R/R 1.66x; price 188.23 | Market: NEUTRAL; Sector regime: STRONG; Net R/R: 1.46; Factors: Defensive, Healthcare | Agent action: WATCH - WATCH: Technical setup detected, but weighted risk/reward 1.66 is below minimum 2.00. Market regime NEUTRAL; sector STRONG; net R/R 1.46.</t>
        </is>
      </c>
      <c r="R479"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0.2635, "estimated_spread": 0.0565, "executable_entry": 188.23, "execution_liquidity_bucket": "large_liquid", "factor_exposure_after": {"Industrials": 5795.82}, "factor_exposure_before": {"Industrials": 5795.82}, "factor_exposure_cap": 7000.0, "factor_exposure_limit_exceeded": false, "factor_tags": ["Defensive", "Healthcare"], "final_action": "WATCH", "gross_reward_1_per_share": 2.52, "gross_reward_2_per_share": 12.27, "gross_risk_per_share": 3.58, "gross_rr": 1.6571, "gross_rr_1": 0.7039, "gross_rr_2": 3.4274, "gross_rr_decision": 1.6571, "highest_correlation_ticker": "HON", "highest_correlation_value": 0.1968, "initial_action": "WATCH", "market_cap": 133234278223.7,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188.39, "net_reward_1_per_share": 2.2659, "net_reward_2_per_share": 12.0159, "net_risk_per_share": 3.9, "net_rr": 1.456, "net_rr_1": 0.581, "net_rr_2": 3.081, "net_stop_assumption": 184.49, "net_target_1_assumption": 190.6559, "net_target_2_assumption": 200.4059, "normalized_atr_score": 100.0, "normalized_liquidity_score": 58.92, "normalized_momentum_score": 60.35, "normalized_quality_score": 69.83,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188.75, "price": 188.23, "prior_high_20": 188.75, "prior_high_63": 200.5, "reason": "WATCH: Technical setup detected, but weighted risk/reward 1.66 is below minimum 2.00. Market regime NEUTRAL; sector STRONG; net R/R 1.46.",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0.34, "setup_type": "Fib 61.8 Confluence Buy Zone", "sizing_adjustment_reason": "", "spread_source": "liquidity_fallback", "stock_score": 0.34, "stop_loss": 184.65, "target_1": 190.75, "target_1_atr_distance": 0.4778, "target_2": 200.5, "target_2_atr_distance": 2.3265, "target_feasibility_status": "LOW_REWARD_DISTANCE", "theoretical_entry": 187.14, "ticker": "DHR", "timestamp": "2026-06-09T19:48:51", "warnings": ["Target 1 is close versus daily ATR."]}</t>
        </is>
      </c>
    </row>
    <row r="480">
      <c r="A480" t="inlineStr">
        <is>
          <t>2026-06-09T19:48:51</t>
        </is>
      </c>
      <c r="B480" t="inlineStr">
        <is>
          <t>DLR</t>
        </is>
      </c>
      <c r="C480" t="inlineStr">
        <is>
          <t>Breakout + Retest</t>
        </is>
      </c>
      <c r="D480" t="n">
        <v>0.34</v>
      </c>
      <c r="E480" t="n">
        <v>184.65</v>
      </c>
      <c r="F480" t="n">
        <v>178.64</v>
      </c>
      <c r="G480" t="n">
        <v>182.95</v>
      </c>
      <c r="H480" t="n">
        <v>176.48</v>
      </c>
      <c r="I480" t="n">
        <v>187.95</v>
      </c>
      <c r="J480" t="n">
        <v>201.34</v>
      </c>
      <c r="K480" t="n">
        <v>0.98</v>
      </c>
      <c r="L480" t="inlineStr">
        <is>
          <t>Price (184.65) retesting broken resistance (182.95) as support. Breakout on 2026-04-08 with 2.2× avg volume. Volume confirmed breakout. Entry at 184.65, stop at 176.48.</t>
        </is>
      </c>
      <c r="M480" t="inlineStr">
        <is>
          <t>WATCH</t>
        </is>
      </c>
      <c r="N480" t="inlineStr">
        <is>
          <t>WATCH: Technical setup detected, but weighted risk/reward 0.98 is below minimum 2.00. Market regime NEUTRAL; sector STRONG; net R/R 0.77.</t>
        </is>
      </c>
      <c r="O480" t="inlineStr">
        <is>
          <t>DLR
Breakout + Retest
0.34
score
Price
184.65
R/R
0.98x
Grade
C
Quality
54%
Buy Zone
178.64 - 182.95
Stop
176.48
Targets
187.95 / 201.34
Watch only; needs confirmation
Mixed
Relative Strength
Leadership
100%
Trend Quality
Messy
0%
Liquidity
Institutional liquidity
100%
Volume
Distribution risk
30%
Trigger
Close above 187.95 or reclaim of broken resistance.
Invalidation
Exit if price closes below 176.48 or setup support fails.
Trend quality is not clean.
Recent volume shows distribution risk.
Market regime: Mixed.
Relative strength: Leadership.
Price (184.65) retesting broken resistance (182.95) as support. Breakout on 2026-04-08 with 2.2× avg volume. Volume confirmed breakout. Entry at 184.65, stop at 176.48.
Fib 61.8
188.75
Fib Zone
187.67 - 189.83
Swing Low
184.95
Swing High
194.89
Save setup
Click chart to open full size</t>
        </is>
      </c>
      <c r="P480" t="inlineStr">
        <is>
          <t>agent_results/charts/market_lens_agent_20260609_194647_dlr.png</t>
        </is>
      </c>
      <c r="Q480" t="inlineStr">
        <is>
          <t>Smart Universe: broad liquid US universe, diversified by sector | Sector: Real Estate - Strong (72/100); XLRE sector regime is strong: 6.6% 3m return, -2.0% vs SPY | Setup: Breakout + Retest; score 0.34; R/R 0.98x; price 184.65 | Market: NEUTRAL; Sector regime: STRONG; Net R/R: 0.77; Factors: Real Estate | Agent action: WATCH - WATCH: Technical setup detected, but weighted risk/reward 0.98 is below minimum 2.00. Market regime NEUTRAL; sector STRONG; net R/R 0.77.</t>
        </is>
      </c>
      <c r="R480" t="inlineStr">
        <is>
          <t>{"adjusted_cash_out": 0.0, "adjusted_position_size": 0, "adjusted_risk_amount": 0.0, "ask": 0.0, "bid": 0.0, "buy_zone_high": 182.95, "buy_zone_low": 178.64, "cash_available": 93936.04, "company_name": "Digital Realty", "correlation_warning": false, "days_to_earnings": 32, "earnings_blackout": false, "earnings_date": "2026-07-23T00:00:00", "estimated_fees": 0.0, "estimated_slippage": 0.9233, "estimated_spread": 0.1477, "executable_entry": 184.65, "execution_liquidity_bucket": "mid_liquid", "factor_exposure_after": {"Industrials": 5795.82}, "factor_exposure_before": {"Industrials": 5795.82}, "factor_exposure_cap": 7000.0, "factor_exposure_limit_exceeded": false, "factor_tags": ["Real Estate"], "final_action": "WATCH", "gross_reward_1_per_share": 3.3, "gross_reward_2_per_share": 16.69, "gross_risk_per_share": 8.17, "gross_rr": 0.9775, "gross_rr_1": 0.4039, "gross_rr_2": 2.0428, "gross_rr_decision": 0.9775, "highest_correlation_ticker": "HON", "highest_correlation_value": 0.4591, "initial_action": "WATCH", "market_cap": 64778193656.91,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185.1855, "net_reward_1_per_share": 2.4598, "net_reward_2_per_share": 15.8498, "net_risk_per_share": 9.241, "net_rr": 0.7733, "net_rr_1": 0.2662, "net_rr_2": 1.7152, "net_stop_assumption": 175.9445, "net_target_1_assumption": 187.6453, "net_target_2_assumption": 201.0353, "normalized_atr_score": 100.0, "normalized_liquidity_score": 41.53, "normalized_momentum_score": 49.17, "normalized_quality_score": 59.59,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197.54, "price": 184.65, "prior_high_20": 197.54, "prior_high_63": 208.14, "reason": "WATCH: Technical setup detected, but weighted risk/reward 0.98 is below minimum 2.00. Market regime NEUTRAL; sector STRONG; net R/R 0.77.",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72.11, "setup_score": 0.34, "setup_type": "Breakout + Retest", "sizing_adjustment_reason": "", "spread_source": "liquidity_fallback", "stock_score": 0.34, "stop_loss": 176.48, "target_1": 187.95, "target_1_atr_distance": 0.765, "target_2": 201.34, "target_2_atr_distance": 3.8688, "target_feasibility_status": "OK", "theoretical_entry": 178.64, "ticker": "DLR", "timestamp": "2026-06-09T19:48:51", "warnings": []}</t>
        </is>
      </c>
    </row>
    <row r="481">
      <c r="A481" t="inlineStr">
        <is>
          <t>2026-06-09T19:48:51</t>
        </is>
      </c>
      <c r="B481" t="inlineStr">
        <is>
          <t>NOW</t>
        </is>
      </c>
      <c r="C481" t="inlineStr">
        <is>
          <t>Breakout + Retest</t>
        </is>
      </c>
      <c r="D481" t="n">
        <v>0.32</v>
      </c>
      <c r="E481" t="n">
        <v>106.47</v>
      </c>
      <c r="F481" t="n">
        <v>103.03</v>
      </c>
      <c r="G481" t="n">
        <v>110.83</v>
      </c>
      <c r="H481" t="n">
        <v>99.13</v>
      </c>
      <c r="I481" t="n">
        <v>113.25</v>
      </c>
      <c r="J481" t="n">
        <v>133.24</v>
      </c>
      <c r="K481" t="n">
        <v>1.88</v>
      </c>
      <c r="L481" t="inlineStr">
        <is>
          <t>Price (106.47) retesting broken resistance (110.83) as support. Breakout on 2026-05-29 with 2.4× avg volume. Volume confirmed breakout. Entry at 106.47, stop at 99.13.</t>
        </is>
      </c>
      <c r="M481" t="inlineStr">
        <is>
          <t>WATCH</t>
        </is>
      </c>
      <c r="N481" t="inlineStr">
        <is>
          <t>WATCH: Technical setup detected, but weighted risk/reward 1.88 is below minimum 2.00. Market regime NEUTRAL; sector STRONG; net R/R 1.72.</t>
        </is>
      </c>
      <c r="O481" t="inlineStr">
        <is>
          <t>NOW
Breakout + Retest
0.32
score
Price
106.47
R/R
1.88x
Grade
B
Quality
70%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(106.47) retesting broken resistance (110.83) as support. Breakout on 2026-05-29 with 2.4× avg volume. Volume confirmed breakout. Entry at 106.47, stop at 99.13.
Fib 61.8
95.14
Fib Zone
93.19 - 97.09
Swing Low
85.44
Swing High
110.83
Save setup
Click chart to open full size</t>
        </is>
      </c>
      <c r="P481" t="inlineStr">
        <is>
          <t>agent_results/charts/market_lens_agent_20260609_194647_now.png</t>
        </is>
      </c>
      <c r="Q481" t="inlineStr">
        <is>
          <t>Smart Universe: broad liquid US universe, diversified by sector | Sector: Technology - Strong (73/100); XLK sector regime is strong: 27.3% 3m return, 18.7% vs SPY | Setup: Breakout + Retest; score 0.32; R/R 1.88x; price 106.47 | Market: NEUTRAL; Sector regime: STRONG; Net R/R: 1.72; Factors: High Beta Growth, Technology | Agent action: WATCH - WATCH: Technical setup detected, but weighted risk/reward 1.88 is below minimum 2.00. Market regime NEUTRAL; sector STRONG; net R/R 1.72.</t>
        </is>
      </c>
      <c r="R481"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0.4163, "estimated_spread": 0.0319, "executable_entry": 106.47, "execution_liquidity_bucket": "large_liquid", "factor_exposure_after": {"Industrials": 5795.82}, "factor_exposure_before": {"Industrials": 5795.82}, "factor_exposure_cap": 7000.0, "factor_exposure_limit_exceeded": false, "factor_tags": ["High Beta Growth", "Technology"], "final_action": "WATCH", "gross_reward_1_per_share": 6.78, "gross_reward_2_per_share": 26.77, "gross_risk_per_share": 7.34, "gross_rr": 1.8769, "gross_rr_1": 0.9237, "gross_rr_2": 3.6471, "gross_rr_decision": 1.8769, "highest_correlation_ticker": "HON", "highest_correlation_value": 0.0591, "initial_action": "WATCH", "market_cap": 109756957047.3,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106.6941, "net_reward_1_per_share": 6.4358, "net_reward_2_per_share": 26.4258, "net_risk_per_share": 7.7882, "net_rr": 1.7247, "net_rr_1": 0.8264, "net_rr_2": 3.393, "net_stop_assumption": 98.9059, "net_target_1_assumption": 113.13, "net_target_2_assumption": 133.12, "normalized_atr_score": 83.37, "normalized_liquidity_score": 100, "normalized_momentum_score": 50.64, "normalized_quality_score": 73.63,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139.2, "price": 106.47, "prior_high_20": 139.2, "prior_high_63": 139.2, "reason": "WATCH: Technical setup detected, but weighted risk/reward 1.88 is below minimum 2.00. Market regime NEUTRAL; sector STRONG; net R/R 1.72.",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73.43, "setup_score": 0.32, "setup_type": "Breakout + Retest", "sizing_adjustment_reason": "", "spread_source": "liquidity_fallback", "stock_score": 0.32, "stop_loss": 99.13, "target_1": 113.25, "target_1_atr_distance": 0.8692, "target_2": 133.24, "target_2_atr_distance": 3.4321, "target_feasibility_status": "OK", "theoretical_entry": 103.03, "ticker": "NOW", "timestamp": "2026-06-09T19:48:51", "warnings": []}</t>
        </is>
      </c>
    </row>
    <row r="482">
      <c r="A482" t="inlineStr">
        <is>
          <t>2026-06-09T19:48:51</t>
        </is>
      </c>
      <c r="B482" t="inlineStr">
        <is>
          <t>GILD</t>
        </is>
      </c>
      <c r="C482" t="inlineStr">
        <is>
          <t>Swing Low + Volume Support Buy Zone</t>
        </is>
      </c>
      <c r="D482" t="n">
        <v>0.29</v>
      </c>
      <c r="E482" t="n">
        <v>125.17</v>
      </c>
      <c r="F482" t="n">
        <v>127.31</v>
      </c>
      <c r="G482" t="n">
        <v>130.06</v>
      </c>
      <c r="H482" t="n">
        <v>123.18</v>
      </c>
      <c r="I482" t="n">
        <v>133.5</v>
      </c>
      <c r="J482" t="n">
        <v>140.73</v>
      </c>
      <c r="K482" t="n">
        <v>1.49</v>
      </c>
      <c r="L482" t="inlineStr">
        <is>
          <t>Price is pulling into a recent swing-low support (128.34) that overlaps with a high-volume area (POC at 129.12), creating structural + volume confluence. Liquidity sweep below swing low detected — wick and reclaim. Stop below 123.18.</t>
        </is>
      </c>
      <c r="M482" t="inlineStr">
        <is>
          <t>WATCH</t>
        </is>
      </c>
      <c r="N482" t="inlineStr">
        <is>
          <t>WATCH: Technical setup detected, but weighted risk/reward 1.49 is below minimum 2.00. Market regime NEUTRAL; sector STRONG; net R/R 1.97.</t>
        </is>
      </c>
      <c r="O482" t="inlineStr">
        <is>
          <t>GILD
Swing Low + Volume Support Buy Zone
0.29
score
Price
125.17
R/R
1.49x
Grade
C
Quality
55%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82" t="inlineStr">
        <is>
          <t>agent_results/charts/market_lens_agent_20260609_194647_gild.png</t>
        </is>
      </c>
      <c r="Q482" t="inlineStr">
        <is>
          <t>Smart Universe: broad liquid US universe, diversified by sector | Sector: Healthcare - Strong (69/100); XLV sector regime is strong: 1.3% 3m return, -7.3% vs SPY | Setup: Swing Low + Volume Support Buy Zone; score 0.29; R/R 1.49x; price 125.17 | Market: NEUTRAL; Sector regime: STRONG; Net R/R: 1.97; Factors: Defensive, Healthcare | Agent action: WATCH - WATCH: Technical setup detected, but weighted risk/reward 1.49 is below minimum 2.00. Market regime NEUTRAL; sector STRONG; net R/R 1.97.</t>
        </is>
      </c>
      <c r="R482"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5795.82}, "factor_exposure_before": {"Industrials": 5795.82},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0.3945, "initial_action": "WATCH", "market_cap": 155320266201.37,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65.97, "normalized_momentum_score": 0, "normalized_quality_score": 44.79,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137.5, "price": 125.17,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68.73, "setup_score": 0.29, "setup_type": "Swing Low + Volume Support Buy Zone", "sizing_adjustment_reason": "", "spread_source": "liquidity_fallback", "stock_score": 0.29, "stop_loss": 123.18, "target_1": 133.5, "target_1_atr_distance": 2.4195, "target_2": 140.73, "target_2_atr_distance": 4.5194, "target_feasibility_status": "OK", "theoretical_entry": 127.31, "ticker": "GILD", "timestamp": "2026-06-09T19:48:51", "warnings": []}</t>
        </is>
      </c>
    </row>
    <row r="483">
      <c r="A483" t="inlineStr">
        <is>
          <t>2026-06-09T19:48:51</t>
        </is>
      </c>
      <c r="B483" t="inlineStr">
        <is>
          <t>MKC</t>
        </is>
      </c>
      <c r="C483" t="inlineStr">
        <is>
          <t>Breakout + Retest</t>
        </is>
      </c>
      <c r="D483" t="n">
        <v>0.28</v>
      </c>
      <c r="E483" t="n">
        <v>48.58</v>
      </c>
      <c r="F483" t="n">
        <v>47.02</v>
      </c>
      <c r="G483" t="n">
        <v>48.45</v>
      </c>
      <c r="H483" t="n">
        <v>46.31</v>
      </c>
      <c r="I483" t="n">
        <v>50.07</v>
      </c>
      <c r="J483" t="n">
        <v>54.03</v>
      </c>
      <c r="K483" t="n">
        <v>1.27</v>
      </c>
      <c r="L483" t="inlineStr">
        <is>
          <t>Price (48.58) retesting broken resistance (48.45) as support. Breakout on 2026-06-09 with 0.7× avg volume. Entry at 48.58, stop at 46.31.</t>
        </is>
      </c>
      <c r="M483" t="inlineStr">
        <is>
          <t>WATCH</t>
        </is>
      </c>
      <c r="N483" t="inlineStr">
        <is>
          <t>WATCH: Technical setup detected, but weighted risk/reward 1.27 is below minimum 2.00. Market regime NEUTRAL; sector NEUTRAL; net R/R 1.04.</t>
        </is>
      </c>
      <c r="O483" t="inlineStr">
        <is>
          <t>MKC
Breakout + Retest
0.28
score
Price
48.58
R/R
1.27x
Grade
C
Quality
63%
Buy Zone
47.02 - 48.45
Stop
46.31
Targets
50.07 / 54.03
Watch only; needs confirmation
Mixed
Relative Strength
Leadership
100%
Trend Quality
Messy
18%
Liquidity
Institutional liquidity
100%
Volume
Neutral
65%
Trigger
Close above 48.58 or reclaim of broken resistance.
Invalidation
Exit if price closes below 46.31 or setup support fails.
Trend quality is not clean.
Market regime: Mixed.
Relative strength: Leadership.
Price (48.58) retesting broken resistance (48.45) as support. Breakout on 2026-06-09 with 0.7× avg volume. Entry at 48.58, stop at 46.31.
Fib 61.8
46.21
Fib Zone
45.85 - 46.56
Swing Low
44.82
Swing High
48.45
Save setup
Click chart to open full size</t>
        </is>
      </c>
      <c r="P483" t="inlineStr">
        <is>
          <t>agent_results/charts/market_lens_agent_20260609_194647_mkc.png</t>
        </is>
      </c>
      <c r="Q483" t="inlineStr">
        <is>
          <t>Smart Universe: broad liquid US universe, diversified by sector | Sector: Consumer Defensive - Neutral (44/100); XLP sector regime is neutral: -0.3% 3m return, -9.0% vs SPY | Setup: Breakout + Retest; score 0.28; R/R 1.27x; price 48.58 | Market: NEUTRAL; Sector regime: NEUTRAL; Net R/R: 1.04; Factors: Consumer Defensive, Defensive, Low Volatility | Agent action: WATCH - WATCH: Technical setup detected, but weighted risk/reward 1.27 is below minimum 2.00. Market regime NEUTRAL; sector NEUTRAL; net R/R 1.04.</t>
        </is>
      </c>
      <c r="R483"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0.2429, "estimated_spread": 0.0389, "executable_entry": 48.58, "execution_liquidity_bucket": "mid_liquid", "factor_exposure_after": {"Industrials": 5795.82}, "factor_exposure_before": {"Industrials": 5795.82}, "factor_exposure_cap": 7000.0, "factor_exposure_limit_exceeded": false, "factor_tags": ["Consumer Defensive", "Defensive", "Low Volatility"], "final_action": "WATCH", "gross_reward_1_per_share": 1.49, "gross_reward_2_per_share": 5.45, "gross_risk_per_share": 2.27, "gross_rr": 1.267, "gross_rr_1": 0.6564, "gross_rr_2": 2.4009, "gross_rr_decision": 1.267, "highest_correlation_ticker": "HON", "highest_correlation_value": 0.1588, "initial_action": "WATCH", "market_cap": 13063090886.07, "market_cap_bucket": "Large Cap", "market_regime": "NEUTRAL", "market_regime_indicators": {"DXY": {"ema20": 99.2908, "ema200": 98.8363, "ema50": 98.992, "price": 99.96, "return_1m": 2.06, "return_3m": 0.74, "trend": "bullish"}, "IWM": {"ema20": 284.6674, "ema200": 267.3542, "ema50": 277.394, "price": 283.74, "return_1m": -0.56, "return_3m": 12.42, "trend": "mixed"}, "QQQ": {"ema20": 715.9324, "ema200": 651.5829, "ema50": 685.06, "price": 701.7, "return_1m": -1.62, "return_3m": 15.62, "trend": "mixed"}, "SPY": {"ema20": 742.2492, "ema200": 703.1629, "ema50": 724.0706, "price": 732.7, "return_1m": -0.89, "return_3m": 8.63, "trend": "mixed"}, "US10Y": {"ema20": 4.4925, "ema200": 4.3206, "ema50": 4.4213, "price": 4.528, "return_1m": 2.68, "return_3m": 7.6, "trend": "bullish"}, "VIX": {"ema20": 17.6267, "ema200": 18.8413, "ema50": 18.4734, "price": 20.05, "return_1m": 11.45, "return_3m": -26.53, "trend": "mixed"}}, "market_regime_reason": "Market regime is mixed; use lower exposure and higher net R/R.", "market_regime_score": 0.52, "market_structure_status": "SUPPORTED_BY_63D_RESISTANCE", "minimum_net_rr_required": 2.5, "net_entry": 48.7209, "net_reward_1_per_share": 1.269, "net_reward_2_per_share": 5.229, "net_risk_per_share": 2.5518, "net_rr": 1.0404, "net_rr_1": 0.4973, "net_rr_2": 2.0492, "net_stop_assumption": 46.1691, "net_target_1_assumption": 49.9898, "net_target_2_assumption": 53.9498, "normalized_atr_score": 100.0, "normalized_liquidity_score": 24.86, "normalized_momentum_score": 0, "normalized_quality_score": 32.46, "original_cash_out": 0.0, "original_position_size": 0, "original_risk_amount": 0.0, "portfolio_exposure_after": 5786.1, "portfolio_exposure_before": 5786.1, "position_size": 0, "position_size_adjusted": false, "position_sizing_explanation": "No new position size was calculated because the base decision did not open a simulated buy.", "previous_resistance": 48.93, "price": 48.58, "prior_high_20": 48.93, "prior_high_63": 63.8707, "reason": "WATCH: Technical setup detected, but weighted risk/reward 1.27 is below minimum 2.00. Market regime NEUTRAL; sector NEUTRAL; net R/R 1.04.",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43.79, "setup_score": 0.28, "setup_type": "Breakout + Retest", "sizing_adjustment_reason": "", "spread_source": "liquidity_fallback", "stock_score": 0.28, "stop_loss": 46.31, "target_1": 50.07, "target_1_atr_distance": 1.0441, "target_2": 54.03, "target_2_atr_distance": 3.8192, "target_feasibility_status": "OK", "theoretical_entry": 47.02, "ticker": "MKC", "timestamp": "2026-06-09T19:48:51", "warnings": []}</t>
        </is>
      </c>
    </row>
    <row r="484">
      <c r="A484" t="inlineStr">
        <is>
          <t>2026-06-09T20:19:37</t>
        </is>
      </c>
      <c r="B484" t="inlineStr">
        <is>
          <t>ORCL</t>
        </is>
      </c>
      <c r="C484" t="inlineStr">
        <is>
          <t>Fib 61.8 Confluence Buy Zone</t>
        </is>
      </c>
      <c r="D484" t="n">
        <v>0.5</v>
      </c>
      <c r="E484" t="n">
        <v>205.75</v>
      </c>
      <c r="F484" t="n">
        <v>202.83</v>
      </c>
      <c r="G484" t="n">
        <v>209.36</v>
      </c>
      <c r="H484" t="n">
        <v>192.78</v>
      </c>
      <c r="I484" t="n">
        <v>207.15</v>
      </c>
      <c r="J484" t="n">
        <v>250.25</v>
      </c>
      <c r="K484" t="n">
        <v>1.27</v>
      </c>
      <c r="L484" t="inlineStr">
        <is>
          <t>Price at 61.8% fib retracement (206.09) with confluence at VWAP. Planned entry at zone low 202.83; executable entry 205.75, stop below fib 78.6% at 192.78. Structural confluence: swing low at 178.80 aligns with HVN (175.94).</t>
        </is>
      </c>
      <c r="M484" t="inlineStr">
        <is>
          <t>WATCH</t>
        </is>
      </c>
      <c r="N484" t="inlineStr">
        <is>
          <t>WATCH: Technical setup detected, but weighted risk/reward 1.27 is below minimum 2.00. Market regime NEUTRAL; sector STRONG; net R/R 1.21.</t>
        </is>
      </c>
      <c r="O484" t="inlineStr">
        <is>
          <t>ORCL
Fib 61.8 Confluence Buy Zone
0.50
score
Price
205.75
R/R
1.27x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205.75, stop below fib 78.6% at 192.78. Structural confluence: swing low at 178.80 aligns with HVN (175.94).
Fib 61.8
206.09
Fib Zone
202.83 - 209.36
Swing Low
178.80
Swing High
250.25
Save setup
Click chart to open full size</t>
        </is>
      </c>
      <c r="P484" t="inlineStr">
        <is>
          <t>agent_results/charts/market_lens_agent_20260609_201631_orcl.png</t>
        </is>
      </c>
      <c r="Q484" t="inlineStr">
        <is>
          <t>Smart Universe: broad liquid US universe, diversified by sector | Sector: Technology - Strong (75/100); XLK sector regime is strong: 28.9% 3m return, 19.6% vs SPY | Setup: Fib 61.8 Confluence Buy Zone; score 0.50; R/R 1.27x; price 205.75 | Market: NEUTRAL; Sector regime: STRONG; Net R/R: 1.21; Factors: Technology | Agent action: WATCH - WATCH: Technical setup detected, but weighted risk/reward 1.27 is below minimum 2.00. Market regime NEUTRAL; sector STRONG; net R/R 1.21.</t>
        </is>
      </c>
      <c r="R48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0.3313, "estimated_spread": 0.0617, "executable_entry": 205.75, "execution_liquidity_bucket": "large_liquid", "factor_exposure_after": {"Industrials": 5823.09}, "factor_exposure_before": {"Industrials": 5823.09}, "factor_exposure_cap": 7000.0, "factor_exposure_limit_exceeded": false, "factor_tags": ["Technology"], "final_action": "WATCH", "gross_reward_1_per_share": 1.4, "gross_reward_2_per_share": 44.5, "gross_risk_per_share": 12.97, "gross_rr": 1.271, "gross_rr_1": 0.1079, "gross_rr_2": 3.431, "gross_rr_decision": 1.271, "highest_correlation_ticker": "HON", "highest_correlation_value": 0.1145, "initial_action": "WATCH", "market_cap": 591919020238.4,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205.9465, "net_reward_1_per_share": 1.0898, "net_reward_2_per_share": 44.1898, "net_risk_per_share": 13.363, "net_rr": 1.2104, "net_rr_1": 0.0816, "net_rr_2": 3.3069,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205.75, "prior_high_20": 250.25, "prior_high_63": 250.25, "reason": "WATCH: Technical setup detected, but weighted risk/reward 1.27 is below minimum 2.00. Market regime NEUTRAL; sector STRONG; net R/R 1.21.",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0.1071, "target_2": 250.25, "target_2_atr_distance": 3.4056, "target_feasibility_status": "LOW_REWARD_DISTANCE", "theoretical_entry": 202.83, "ticker": "ORCL", "timestamp": "2026-06-09T20:19:37", "warnings": ["Target 1 is close versus daily ATR.", "Earnings blackout active."]}</t>
        </is>
      </c>
    </row>
    <row r="485">
      <c r="A485" t="inlineStr">
        <is>
          <t>2026-06-09T20:19:37</t>
        </is>
      </c>
      <c r="B485" t="inlineStr">
        <is>
          <t>HON</t>
        </is>
      </c>
      <c r="C485" t="inlineStr">
        <is>
          <t>Breakout + Retest</t>
        </is>
      </c>
      <c r="D485" t="n">
        <v>0.45</v>
      </c>
      <c r="E485" t="n">
        <v>215.7</v>
      </c>
      <c r="F485" t="n">
        <v>213.64</v>
      </c>
      <c r="G485" t="n">
        <v>219.83</v>
      </c>
      <c r="H485" t="n">
        <v>210.54</v>
      </c>
      <c r="I485" t="n">
        <v>223.42</v>
      </c>
      <c r="J485" t="n">
        <v>239.94</v>
      </c>
      <c r="K485" t="n">
        <v>2.62</v>
      </c>
      <c r="L485" t="inlineStr">
        <is>
          <t>Price (215.70) retesting broken resistance (219.83) as support. Breakout on 2026-05-21 with 1.1× avg volume. Entry at 215.70, stop at 210.54.</t>
        </is>
      </c>
      <c r="M485" t="inlineStr">
        <is>
          <t>HOLD</t>
        </is>
      </c>
      <c r="N485" t="inlineStr">
        <is>
          <t>HOLD: Existing simulated position remains open. NEUTRAL regime recorded.</t>
        </is>
      </c>
      <c r="O48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85" t="inlineStr">
        <is>
          <t>agent_results/charts/market_lens_agent_20260609_201631_hon.png</t>
        </is>
      </c>
      <c r="Q48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8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"2026-06-09T20:19:37", "warnings": []}</t>
        </is>
      </c>
    </row>
    <row r="486">
      <c r="A486" t="inlineStr">
        <is>
          <t>2026-06-09T20:19:37</t>
        </is>
      </c>
      <c r="B486" t="inlineStr">
        <is>
          <t>PFE</t>
        </is>
      </c>
      <c r="C486" t="inlineStr">
        <is>
          <t>Fib 61.8 Confluence Buy Zone</t>
        </is>
      </c>
      <c r="D486" t="n">
        <v>0.4</v>
      </c>
      <c r="E486" t="n">
        <v>25.7</v>
      </c>
      <c r="F486" t="n">
        <v>25.58</v>
      </c>
      <c r="G486" t="n">
        <v>25.83</v>
      </c>
      <c r="H486" t="n">
        <v>25.43</v>
      </c>
      <c r="I486" t="n">
        <v>25.86</v>
      </c>
      <c r="J486" t="n">
        <v>27.57</v>
      </c>
      <c r="K486" t="n">
        <v>2.83</v>
      </c>
      <c r="L486" t="inlineStr">
        <is>
          <t>Price at 61.8% fib retracement (25.71) with confluence at VWAP. Planned entry at zone low 25.58; executable entry 25.70, stop below fib 78.6% at 25.43. Structural confluence: swing low at 25.19 aligns with VAL (25.31).</t>
        </is>
      </c>
      <c r="M486" t="inlineStr">
        <is>
          <t>WATCH</t>
        </is>
      </c>
      <c r="N486" t="inlineStr">
        <is>
          <t>WATCH: Neutral market requires stronger setup score (0.40 &lt; 0.45).</t>
        </is>
      </c>
      <c r="O48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86" t="inlineStr">
        <is>
          <t>agent_results/charts/market_lens_agent_20260609_201631_pfe.png</t>
        </is>
      </c>
      <c r="Q48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8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"2026-06-09T20:19:37", "warnings": ["Target 1 is close versus daily ATR.", "Position size reduced by Healthcare sector exposure cap (389 -&gt; 233 shares)."]}</t>
        </is>
      </c>
    </row>
    <row r="487">
      <c r="A487" t="inlineStr">
        <is>
          <t>2026-06-09T20:19:37</t>
        </is>
      </c>
      <c r="B487" t="inlineStr">
        <is>
          <t>DHR</t>
        </is>
      </c>
      <c r="C487" t="inlineStr">
        <is>
          <t>Fib 61.8 Confluence Buy Zone</t>
        </is>
      </c>
      <c r="D487" t="n">
        <v>0.35</v>
      </c>
      <c r="E487" t="n">
        <v>188.44</v>
      </c>
      <c r="F487" t="n">
        <v>187.14</v>
      </c>
      <c r="G487" t="n">
        <v>189.77</v>
      </c>
      <c r="H487" t="n">
        <v>184.65</v>
      </c>
      <c r="I487" t="n">
        <v>190.75</v>
      </c>
      <c r="J487" t="n">
        <v>200.5</v>
      </c>
      <c r="K487" t="n">
        <v>1.51</v>
      </c>
      <c r="L487" t="inlineStr">
        <is>
          <t>Price at 61.8% fib retracement (188.46) with confluence at VWAP. Planned entry at zone low 187.14; executable entry 188.44, stop below fib 78.6% at 184.65.</t>
        </is>
      </c>
      <c r="M487" t="inlineStr">
        <is>
          <t>WATCH</t>
        </is>
      </c>
      <c r="N487" t="inlineStr">
        <is>
          <t>WATCH: Technical setup detected, but weighted risk/reward 1.51 is below minimum 2.00. Market regime NEUTRAL; sector STRONG; net R/R 1.33.</t>
        </is>
      </c>
      <c r="O487" t="inlineStr">
        <is>
          <t>DHR
Fib 61.8 Confluence Buy Zone
0.35
score
Price
188.44
R/R
1.51x
Grade
A
Quality
78%
Buy Zone
187.14 - 189.77
Stop
184.65
Targets
190.75 / 200.50
High-quality watchlist candidate
Mixed
Relative Strength
Leadership
100%
Trend Quality
Constructive
68%
Liquidity
Institutional liquidity
100%
Volume
Neutral
65%
Trigger
Break above prior-day high at 188.44 after holding buy zone.
Invalidation
Exit if price closes below 184.65 or setup support fails.
Market regime: Mixed.
Relative strength: Leadership.
Price at 61.8% fib retracement (188.46) with confluence at VWAP. Planned entry at zone low 187.14; executable entry 188.44, stop below fib 78.6% at 184.65.
Fib 61.8
188.46
Fib Zone
187.14 - 189.77
Swing Low
181.01
Swing High
200.50
Save setup
Click chart to open full size</t>
        </is>
      </c>
      <c r="P487" t="inlineStr">
        <is>
          <t>agent_results/charts/market_lens_agent_20260609_201631_dhr.png</t>
        </is>
      </c>
      <c r="Q487" t="inlineStr">
        <is>
          <t>Smart Universe: broad liquid US universe, diversified by sector | Sector: Healthcare - Strong (68/100); XLV sector regime is strong: 1.5% 3m return, -7.7% vs SPY | Setup: Fib 61.8 Confluence Buy Zone; score 0.35; R/R 1.51x; price 188.44 | Market: NEUTRAL; Sector regime: STRONG; Net R/R: 1.33; Factors: Defensive, Healthcare | Agent action: WATCH - WATCH: Technical setup detected, but weighted risk/reward 1.51 is below minimum 2.00. Market regime NEUTRAL; sector STRONG; net R/R 1.33.</t>
        </is>
      </c>
      <c r="R48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188.44, "execution_liquidity_bucket": "large_liquid", "factor_exposure_after": {"Industrials": 5823.9}, "factor_exposure_before": {"Industrials": 5823.9}, "factor_exposure_cap": 7000.0, "factor_exposure_limit_exceeded": false, "factor_tags": ["Defensive", "Healthcare"], "final_action": "WATCH", "gross_reward_1_per_share": 2.31, "gross_reward_2_per_share": 12.06, "gross_risk_per_share": 3.79, "gross_rr": 1.5099, "gross_rr_1": 0.6095, "gross_rr_2": 3.1821, "gross_rr_decision": 1.5099, "highest_correlation_ticker": "HON", "highest_correlation_value": 0.2026, "initial_action": "WATCH", "market_cap": 133351066425.0,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188.6002, "net_reward_1_per_share": 2.0556, "net_reward_2_per_share": 11.8056, "net_risk_per_share": 4.1103, "net_rr": 1.3303, "net_rr_1": 0.5001, "net_rr_2": 2.8722, "net_stop_assumption": 184.4898,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188.44, "prior_high_20": 188.75, "prior_high_63": 200.5, "reason": "WATCH: Technical setup detected, but weighted risk/reward 1.51 is below minimum 2.00. Market regime NEUTRAL; sector STRONG; net R/R 1.33.",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0.4379, "target_2": 200.5, "target_2_atr_distance": 2.2862, "target_feasibility_status": "LOW_REWARD_DISTANCE", "theoretical_entry": 187.14, "ticker": "DHR", "timestamp": "2026-06-09T20:19:37", "warnings": ["Target 1 is close versus daily ATR."]}</t>
        </is>
      </c>
    </row>
    <row r="488">
      <c r="A488" t="inlineStr">
        <is>
          <t>2026-06-09T20:19:37</t>
        </is>
      </c>
      <c r="B488" t="inlineStr">
        <is>
          <t>DLR</t>
        </is>
      </c>
      <c r="C488" t="inlineStr">
        <is>
          <t>Swing Low + Volume Support Buy Zone</t>
        </is>
      </c>
      <c r="D488" t="n">
        <v>0.34</v>
      </c>
      <c r="E488" t="n">
        <v>184.93</v>
      </c>
      <c r="F488" t="n">
        <v>183.66</v>
      </c>
      <c r="G488" t="n">
        <v>187.11</v>
      </c>
      <c r="H488" t="n">
        <v>178.48</v>
      </c>
      <c r="I488" t="n">
        <v>191.4</v>
      </c>
      <c r="J488" t="n">
        <v>201.34</v>
      </c>
      <c r="K488" t="n">
        <v>1.54</v>
      </c>
      <c r="L488" t="inlineStr">
        <is>
          <t>Price is pulling into a recent swing-low support (184.95) that overlaps with a high-volume area (HVN at 184.59), creating structural + volume confluence. Liquidity sweep below swing low detected — wick and reclaim. Stop below 178.48.</t>
        </is>
      </c>
      <c r="M488" t="inlineStr">
        <is>
          <t>WATCH</t>
        </is>
      </c>
      <c r="N488" t="inlineStr">
        <is>
          <t>WATCH: Technical setup detected, but weighted risk/reward 1.54 is below minimum 2.00. Market regime NEUTRAL; sector STRONG; net R/R 1.31.</t>
        </is>
      </c>
      <c r="O48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88" t="inlineStr">
        <is>
          <t>agent_results/charts/market_lens_agent_20260609_201631_dlr.png</t>
        </is>
      </c>
      <c r="Q48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8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"2026-06-09T20:19:37", "warnings": []}</t>
        </is>
      </c>
    </row>
    <row r="489">
      <c r="A489" t="inlineStr">
        <is>
          <t>2026-06-09T20:19:37</t>
        </is>
      </c>
      <c r="B489" t="inlineStr">
        <is>
          <t>NOW</t>
        </is>
      </c>
      <c r="C489" t="inlineStr">
        <is>
          <t>Breakout + Retest</t>
        </is>
      </c>
      <c r="D489" t="n">
        <v>0.33</v>
      </c>
      <c r="E489" t="n">
        <v>106.97</v>
      </c>
      <c r="F489" t="n">
        <v>103.03</v>
      </c>
      <c r="G489" t="n">
        <v>110.83</v>
      </c>
      <c r="H489" t="n">
        <v>99.13</v>
      </c>
      <c r="I489" t="n">
        <v>113.25</v>
      </c>
      <c r="J489" t="n">
        <v>133.24</v>
      </c>
      <c r="K489" t="n">
        <v>1.69</v>
      </c>
      <c r="L489" t="inlineStr">
        <is>
          <t>Price (106.97) retesting broken resistance (110.83) as support. Breakout on 2026-05-29 with 2.4× avg volume. Volume confirmed breakout. Entry at 106.97, stop at 99.13.</t>
        </is>
      </c>
      <c r="M489" t="inlineStr">
        <is>
          <t>WATCH</t>
        </is>
      </c>
      <c r="N489" t="inlineStr">
        <is>
          <t>WATCH: Technical setup detected, but weighted risk/reward 1.69 is below minimum 2.00. Market regime NEUTRAL; sector STRONG; net R/R 1.56.</t>
        </is>
      </c>
      <c r="O48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89" t="inlineStr">
        <is>
          <t>agent_results/charts/market_lens_agent_20260609_201631_now.png</t>
        </is>
      </c>
      <c r="Q48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8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"2026-06-09T20:19:37", "warnings": []}</t>
        </is>
      </c>
    </row>
    <row r="490">
      <c r="A490" t="inlineStr">
        <is>
          <t>2026-06-09T20:19:37</t>
        </is>
      </c>
      <c r="B490" t="inlineStr">
        <is>
          <t>GILD</t>
        </is>
      </c>
      <c r="C490" t="inlineStr">
        <is>
          <t>Swing Low + Volume Support Buy Zone</t>
        </is>
      </c>
      <c r="D490" t="n">
        <v>0.3</v>
      </c>
      <c r="E490" t="n">
        <v>125.5</v>
      </c>
      <c r="F490" t="n">
        <v>127.31</v>
      </c>
      <c r="G490" t="n">
        <v>130.06</v>
      </c>
      <c r="H490" t="n">
        <v>123.18</v>
      </c>
      <c r="I490" t="n">
        <v>133.5</v>
      </c>
      <c r="J490" t="n">
        <v>140.73</v>
      </c>
      <c r="K490" t="n">
        <v>1.49</v>
      </c>
      <c r="L490" t="inlineStr">
        <is>
          <t>Price is pulling into a recent swing-low support (128.34) that overlaps with a high-volume area (POC at 129.12), creating structural + volume confluence. Liquidity sweep below swing low detected — wick and reclaim. Stop below 123.18.</t>
        </is>
      </c>
      <c r="M490" t="inlineStr">
        <is>
          <t>WATCH</t>
        </is>
      </c>
      <c r="N490" t="inlineStr">
        <is>
          <t>WATCH: Technical setup detected, but weighted risk/reward 1.49 is below minimum 2.00. Market regime NEUTRAL; sector STRONG; net R/R 1.97.</t>
        </is>
      </c>
      <c r="O49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490" t="inlineStr">
        <is>
          <t>agent_results/charts/market_lens_agent_20260609_201631_gild.png</t>
        </is>
      </c>
      <c r="Q49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49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"2026-06-09T20:19:37", "warnings": []}</t>
        </is>
      </c>
    </row>
    <row r="491">
      <c r="A491" t="inlineStr">
        <is>
          <t>2026-06-09T20:19:37</t>
        </is>
      </c>
      <c r="B491" t="inlineStr">
        <is>
          <t>MKC</t>
        </is>
      </c>
      <c r="C491" t="inlineStr">
        <is>
          <t>Breakout + Retest</t>
        </is>
      </c>
      <c r="D491" t="n">
        <v>0.3</v>
      </c>
      <c r="E491" t="n">
        <v>48.63</v>
      </c>
      <c r="F491" t="n">
        <v>47.02</v>
      </c>
      <c r="G491" t="n">
        <v>48.45</v>
      </c>
      <c r="H491" t="n">
        <v>46.31</v>
      </c>
      <c r="I491" t="n">
        <v>50.07</v>
      </c>
      <c r="J491" t="n">
        <v>54.03</v>
      </c>
      <c r="K491" t="n">
        <v>1.22</v>
      </c>
      <c r="L491" t="inlineStr">
        <is>
          <t>Price (48.63) retesting broken resistance (48.45) as support. Breakout on 2026-06-09 with 0.8× avg volume. Entry at 48.63, stop at 46.31.</t>
        </is>
      </c>
      <c r="M491" t="inlineStr">
        <is>
          <t>WATCH</t>
        </is>
      </c>
      <c r="N491" t="inlineStr">
        <is>
          <t>WATCH: Technical setup detected, but weighted risk/reward 1.22 is below minimum 2.00. Market regime NEUTRAL; sector NEUTRAL; net R/R 1.00.</t>
        </is>
      </c>
      <c r="O49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491" t="inlineStr">
        <is>
          <t>agent_results/charts/market_lens_agent_20260609_201631_mkc.png</t>
        </is>
      </c>
      <c r="Q49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49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"2026-06-09T20:19:37", "warnings": []}</t>
        </is>
      </c>
    </row>
    <row r="492">
      <c r="A492" t="inlineStr">
        <is>
          <t>2026-06-09T20:19:37</t>
        </is>
      </c>
      <c r="B492" t="inlineStr">
        <is>
          <t>MU</t>
        </is>
      </c>
      <c r="C492" t="inlineStr">
        <is>
          <t>No Trade</t>
        </is>
      </c>
      <c r="D492" t="n">
        <v>0</v>
      </c>
      <c r="E492" t="n">
        <v>935.89</v>
      </c>
      <c r="H492" t="n">
        <v>0</v>
      </c>
      <c r="K492" t="n">
        <v>0</v>
      </c>
      <c r="L492" t="inlineStr">
        <is>
          <t>No clean technical setup detected. Price in middle of value area or poor risk/reward.</t>
        </is>
      </c>
      <c r="M492" t="inlineStr">
        <is>
          <t>SKIP</t>
        </is>
      </c>
      <c r="N492" t="inlineStr">
        <is>
          <t>SKIP: No Trade result. Market regime NEUTRAL; sector STRONG; net R/R 0.00.</t>
        </is>
      </c>
      <c r="O492" t="inlineStr">
        <is>
          <t>MU
No Trade
0.00
score
Price
935.89
R/R
0.00x
Grade
No Trade
Quality
0%
Buy Zone
-
Stop
0.00
Targets
-
Skip
Mixed
Relative Strength
Leadership
100%
Trend Quality
Clean uptrend
86%
Liquidity
Institutional liquidity
100%
Volume
Confirmed
85%
No actionable setup detected.
No clean technical setup detected. Price in middle of value area or poor risk/reward.
Fib 61.8
505.23
Fib Zone
487.00 - 523.46
Swing Low
311.49
Swing High
818.67
Click chart to open full size</t>
        </is>
      </c>
      <c r="P492" t="inlineStr">
        <is>
          <t>agent_results/charts/market_lens_agent_20260609_201631_mu.png</t>
        </is>
      </c>
      <c r="Q492" t="inlineStr">
        <is>
          <t>Smart Universe: broad liquid US universe, diversified by sector | Sector: Semiconductors - Strong (99/100); SMH sector regime is strong: 47.4% 3m return, 38.1% vs SPY | Setup: No Trade; score 0.00; R/R 0.00x; price 935.89 | Market: NEUTRAL; Sector regime: STRONG; Net R/R: 0.00; Factors: AI / Semiconductors, Semiconductors | Agent action: SKIP - SKIP: No Trade result. Market regime NEUTRAL; sector STRONG; net R/R 0.00.</t>
        </is>
      </c>
      <c r="R492" t="inlineStr">
        <is>
          <t>{"adjusted_cash_out": 0.0, "adjusted_position_size": 0, "adjusted_risk_amount": 0.0, "ask": 0.0, "bid": 0.0, "buy_zone_high": null, "buy_zone_low": null, "cash_available": 93936.04, "company_name": "Micron Technology, Inc.", "correlation_warning": false, "days_to_earnings": 11, "earnings_blackout": false, "earnings_date": "2026-06-24T00:00:00", "estimated_fees": 0.0, "estimated_slippage": 1.5068, "estimated_spread": 0.2808, "executable_entry": 935.89, "execution_liquidity_bucket": "large_liquid", "factor_exposure_after": {"Industrials": 5823.9}, "factor_exposure_before": {"Industrials": 5823.9}, "factor_exposure_cap": 7000.0, "factor_exposure_limit_exceeded": false, "factor_tags": ["AI / Semiconductors", "Semiconductors"], "final_action": "SKIP", "gross_reward_1_per_share": 0.0, "gross_reward_2_per_share": 0.0, "gross_risk_per_share": 935.89, "gross_rr": 0.0, "gross_rr_1": 0.0, "gross_rr_2": 0.0, "gross_rr_decision": 0.0, "highest_correlation_ticker": "HON", "highest_correlation_value": 0.1598, "initial_action": "SKIP", "market_cap": 1055435037509.93,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936.7838, "net_reward_1_per_share": 0.0, "net_reward_2_per_share": 0.0, "net_risk_per_share": 937.6775, "net_rr": 0.0, "net_rr_1": 0.0, "net_rr_2": 0.0, "net_stop_assumption": -0.8938, "net_target_1_assumption": -0.5171, "net_target_2_assumption": -0.5171, "normalized_atr_score": 68.84, "normalized_liquidity_score": 100, "normalized_momentum_score": 100, "normalized_quality_score": 92.21,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935.89,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99.39, "setup_score": 0.0, "setup_type": "No Trade", "sizing_adjustment_reason": "", "spread_source": "liquidity_fallback", "stock_score": 0.0, "stop_loss": 0.0, "target_1": null, "target_1_atr_distance": 0.0, "target_2": null, "target_2_atr_distance": 0.0, "target_feasibility_status": "UNKNOWN", "theoretical_entry": 935.89, "ticker": "MU", "timestamp": "2026-06-09T20:19:37", "warnings": ["Target ATR feasibility unavailable."]}</t>
        </is>
      </c>
    </row>
    <row r="493">
      <c r="A493" t="inlineStr">
        <is>
          <t>2026-06-09T20:19:37</t>
        </is>
      </c>
      <c r="B493" t="inlineStr">
        <is>
          <t>V</t>
        </is>
      </c>
      <c r="C493" t="inlineStr">
        <is>
          <t>No Trade</t>
        </is>
      </c>
      <c r="D493" t="n">
        <v>0</v>
      </c>
      <c r="E493" t="n">
        <v>325.05</v>
      </c>
      <c r="H493" t="n">
        <v>0</v>
      </c>
      <c r="K493" t="n">
        <v>0</v>
      </c>
      <c r="L493" t="inlineStr">
        <is>
          <t>No clean technical setup detected. Price in middle of value area or poor risk/reward.</t>
        </is>
      </c>
      <c r="M493" t="inlineStr">
        <is>
          <t>SKIP</t>
        </is>
      </c>
      <c r="N493" t="inlineStr">
        <is>
          <t>SKIP: No Trade result. Market regime NEUTRAL; sector STRONG; net R/R 0.00.</t>
        </is>
      </c>
      <c r="O493" t="inlineStr">
        <is>
          <t>V
No Trade
0.00
score
Price
325.05
R/R
0.00x
Grade
No Trade
Quality
0%
Buy Zone
-
Stop
0.00
Targets
-
Skip
Mixed
Relative Strength
Leadership
100%
Trend Quality
Constructive
76%
Liquidity
Institutional liquidity
100%
Volume
Distribution risk
30%
No actionable setup detected.
No clean technical setup detected. Price in middle of value area or poor risk/reward.
Fib 61.8
323.02
Fib Zone
321.23 - 324.81
Swing Low
315.51
Swing High
335.17
Click chart to open full size</t>
        </is>
      </c>
      <c r="P493" t="inlineStr">
        <is>
          <t>agent_results/charts/market_lens_agent_20260609_201631_v.png</t>
        </is>
      </c>
      <c r="Q493" t="inlineStr">
        <is>
          <t>Smart Universe: broad liquid US universe, diversified by sector | Sector: Financials - Strong (72/100); XLF sector regime is strong: 6.2% 3m return, -3.1% vs SPY | Setup: No Trade; score 0.00; R/R 0.00x; price 325.05 | Market: NEUTRAL; Sector regime: STRONG; Net R/R: 0.00; Factors: Financials | Agent action: SKIP - SKIP: No Trade result. Market regime NEUTRAL; sector STRONG; net R/R 0.00.</t>
        </is>
      </c>
      <c r="R493" t="inlineStr">
        <is>
          <t>{"adjusted_cash_out": 0.0, "adjusted_position_size": 0, "adjusted_risk_amount": 0.0, "ask": 0.0, "bid": 0.0, "buy_zone_high": null, "buy_zone_low": null, "cash_available": 93936.04, "company_name": "Visa Inc.", "correlation_warning": false, "days_to_earnings": 35, "earnings_blackout": false, "earnings_date": "2026-07-28T00:00:00", "estimated_fees": 0.0, "estimated_slippage": 0.4551, "estimated_spread": 0.0975, "executable_entry": 325.05, "execution_liquidity_bucket": "large_liquid", "factor_exposure_after": {"Industrials": 5823.9}, "factor_exposure_before": {"Industrials": 5823.9}, "factor_exposure_cap": 7000.0, "factor_exposure_limit_exceeded": false, "factor_tags": ["Financials"], "final_action": "SKIP", "gross_reward_1_per_share": 0.0, "gross_reward_2_per_share": 0.0, "gross_risk_per_share": 325.05, "gross_rr": 0.0, "gross_rr_1": 0.0, "gross_rr_2": 0.0, "gross_rr_decision": 0.0, "highest_correlation_ticker": "HON", "highest_correlation_value": 0.1065, "initial_action": "SKIP", "market_cap": 618161798975.35, "market_cap_bucket": "Mega Cap", "market_regime": "NEUTRAL", "market_regime_indicators": {"DXY": {"ema20": 99.291, "ema200": 98.8364, "ema50": 98.9921, "price": 99.962, "return_1m": 2.06, "return_3m": 0.74,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17.5895, "ema200": 18.8352, "ema50": 18.4582, "price": 19.66, "return_1m": 9.28, "return_3m": -27.96, "trend": "mixed"}}, "market_regime_reason": "Market regime is mixed; use lower exposure and higher net R/R.", "market_regime_score": 0.52, "market_structure_status": "UNKNOWN", "minimum_net_rr_required": 2.2, "net_entry": 325.3263, "net_reward_1_per_share": 0.0, "net_reward_2_per_share": 0.0, "net_risk_per_share": 325.6026, "net_rr": 0.0, "net_rr_1": 0.0, "net_rr_2": 0.0, "net_stop_assumption": -0.2763, "net_target_1_assumption": -0.1625, "net_target_2_assumption": -0.1625, "normalized_atr_score": 100.0, "normalized_liquidity_score": 59.06, "normalized_momentum_score": 70.45, "normalized_quality_score": 74.42,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325.05,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71.69, "setup_score": 0.0, "setup_type": "No Trade", "sizing_adjustment_reason": "", "spread_source": "liquidity_fallback", "stock_score": 0.0, "stop_loss": 0.0, "target_1": null, "target_1_atr_distance": 0.0, "target_2": null, "target_2_atr_distance": 0.0, "target_feasibility_status": "UNKNOWN", "theoretical_entry": 325.05, "ticker": "V", "timestamp": "2026-06-09T20:19:37", "warnings": ["Target ATR feasibility unavailable."]}</t>
        </is>
      </c>
    </row>
    <row r="494">
      <c r="A494" t="inlineStr">
        <is>
          <t>2026-06-09T20:25:46</t>
        </is>
      </c>
      <c r="B494" t="inlineStr">
        <is>
          <t>ORCL</t>
        </is>
      </c>
      <c r="C494" t="inlineStr">
        <is>
          <t>Fib 61.8 Confluence Buy Zone</t>
        </is>
      </c>
      <c r="D494" t="n">
        <v>0.5</v>
      </c>
      <c r="E494" t="n">
        <v>205.81</v>
      </c>
      <c r="F494" t="n">
        <v>202.83</v>
      </c>
      <c r="G494" t="n">
        <v>209.36</v>
      </c>
      <c r="H494" t="n">
        <v>192.78</v>
      </c>
      <c r="I494" t="n">
        <v>207.15</v>
      </c>
      <c r="J494" t="n">
        <v>250.25</v>
      </c>
      <c r="K494" t="n">
        <v>1.26</v>
      </c>
      <c r="L494" t="inlineStr">
        <is>
          <t>Price at 61.8% fib retracement (206.09) with confluence at VWAP. Planned entry at zone low 202.83; executable entry 205.81, stop below fib 78.6% at 192.78. Structural confluence: swing low at 178.80 aligns with HVN (175.94).</t>
        </is>
      </c>
      <c r="M494" t="inlineStr">
        <is>
          <t>WATCH</t>
        </is>
      </c>
      <c r="N494" t="inlineStr">
        <is>
          <t>WATCH: Technical setup detected, but weighted risk/reward 1.26 is below minimum 2.00. Market regime NEUTRAL; sector STRONG; net R/R 1.20.</t>
        </is>
      </c>
      <c r="O494"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494" t="inlineStr">
        <is>
          <t>agent_results/charts/market_lens_agent_20260609_202348_orcl.png</t>
        </is>
      </c>
      <c r="Q494"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494"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 "normalized_momentum_score": 100, "normalized_quality_score": 88.71,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"2026-06-09T20:25:46", "warnings": ["Target 1 is close versus daily ATR.", "Earnings blackout active."]}</t>
        </is>
      </c>
    </row>
    <row r="495">
      <c r="A495" t="inlineStr">
        <is>
          <t>2026-06-09T20:25:46</t>
        </is>
      </c>
      <c r="B495" t="inlineStr">
        <is>
          <t>HON</t>
        </is>
      </c>
      <c r="C495" t="inlineStr">
        <is>
          <t>Breakout + Retest</t>
        </is>
      </c>
      <c r="D495" t="n">
        <v>0.45</v>
      </c>
      <c r="E495" t="n">
        <v>215.7</v>
      </c>
      <c r="F495" t="n">
        <v>213.64</v>
      </c>
      <c r="G495" t="n">
        <v>219.83</v>
      </c>
      <c r="H495" t="n">
        <v>210.54</v>
      </c>
      <c r="I495" t="n">
        <v>223.42</v>
      </c>
      <c r="J495" t="n">
        <v>239.94</v>
      </c>
      <c r="K495" t="n">
        <v>2.62</v>
      </c>
      <c r="L495" t="inlineStr">
        <is>
          <t>Price (215.70) retesting broken resistance (219.83) as support. Breakout on 2026-05-21 with 1.1× avg volume. Entry at 215.70, stop at 210.54.</t>
        </is>
      </c>
      <c r="M495" t="inlineStr">
        <is>
          <t>HOLD</t>
        </is>
      </c>
      <c r="N495" t="inlineStr">
        <is>
          <t>HOLD: Existing simulated position remains open. NEUTRAL regime recorded.</t>
        </is>
      </c>
      <c r="O495"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495" t="inlineStr">
        <is>
          <t>agent_results/charts/market_lens_agent_20260609_202348_hon.png</t>
        </is>
      </c>
      <c r="Q495"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495"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"2026-06-09T20:25:46", "warnings": []}</t>
        </is>
      </c>
    </row>
    <row r="496">
      <c r="A496" t="inlineStr">
        <is>
          <t>2026-06-09T20:25:46</t>
        </is>
      </c>
      <c r="B496" t="inlineStr">
        <is>
          <t>PFE</t>
        </is>
      </c>
      <c r="C496" t="inlineStr">
        <is>
          <t>Fib 61.8 Confluence Buy Zone</t>
        </is>
      </c>
      <c r="D496" t="n">
        <v>0.4</v>
      </c>
      <c r="E496" t="n">
        <v>25.7</v>
      </c>
      <c r="F496" t="n">
        <v>25.58</v>
      </c>
      <c r="G496" t="n">
        <v>25.83</v>
      </c>
      <c r="H496" t="n">
        <v>25.43</v>
      </c>
      <c r="I496" t="n">
        <v>25.86</v>
      </c>
      <c r="J496" t="n">
        <v>27.57</v>
      </c>
      <c r="K496" t="n">
        <v>2.83</v>
      </c>
      <c r="L496" t="inlineStr">
        <is>
          <t>Price at 61.8% fib retracement (25.71) with confluence at VWAP. Planned entry at zone low 25.58; executable entry 25.70, stop below fib 78.6% at 25.43. Structural confluence: swing low at 25.19 aligns with VAL (25.31).</t>
        </is>
      </c>
      <c r="M496" t="inlineStr">
        <is>
          <t>WATCH</t>
        </is>
      </c>
      <c r="N496" t="inlineStr">
        <is>
          <t>WATCH: Neutral market requires stronger setup score (0.40 &lt; 0.45).</t>
        </is>
      </c>
      <c r="O496"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496" t="inlineStr">
        <is>
          <t>agent_results/charts/market_lens_agent_20260609_202348_pfe.png</t>
        </is>
      </c>
      <c r="Q496"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496"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61.7, "normalized_momentum_score": 35.54, "normalized_quality_score": 59.5,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68.47,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"2026-06-09T20:25:46", "warnings": ["Target 1 is close versus daily ATR.", "Position size reduced by Healthcare sector exposure cap (389 -&gt; 233 shares)."]}</t>
        </is>
      </c>
    </row>
    <row r="497">
      <c r="A497" t="inlineStr">
        <is>
          <t>2026-06-09T20:25:46</t>
        </is>
      </c>
      <c r="B497" t="inlineStr">
        <is>
          <t>DHR</t>
        </is>
      </c>
      <c r="C497" t="inlineStr">
        <is>
          <t>Fib 61.8 Confluence Buy Zone</t>
        </is>
      </c>
      <c r="D497" t="n">
        <v>0.35</v>
      </c>
      <c r="E497" t="n">
        <v>188.41</v>
      </c>
      <c r="F497" t="n">
        <v>187.14</v>
      </c>
      <c r="G497" t="n">
        <v>189.77</v>
      </c>
      <c r="H497" t="n">
        <v>184.65</v>
      </c>
      <c r="I497" t="n">
        <v>190.75</v>
      </c>
      <c r="J497" t="n">
        <v>200.5</v>
      </c>
      <c r="K497" t="n">
        <v>1.53</v>
      </c>
      <c r="L497" t="inlineStr">
        <is>
          <t>Price at 61.8% fib retracement (188.46) with confluence at VWAP. Planned entry at zone low 187.14; executable entry 188.41, stop below fib 78.6% at 184.65.</t>
        </is>
      </c>
      <c r="M497" t="inlineStr">
        <is>
          <t>WATCH</t>
        </is>
      </c>
      <c r="N497" t="inlineStr">
        <is>
          <t>WATCH: Technical setup detected, but weighted risk/reward 1.53 is below minimum 2.00. Market regime NEUTRAL; sector STRONG; net R/R 1.35.</t>
        </is>
      </c>
      <c r="O497"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497" t="inlineStr">
        <is>
          <t>agent_results/charts/market_lens_agent_20260609_202348_dhr.png</t>
        </is>
      </c>
      <c r="Q497"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497"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59.6, "normalized_momentum_score": 60.78, "normalized_quality_score": 70.23,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0.35, "setup_type": "Fib 61.8 Confluence Buy Zone", "sizing_adjustment_reason": "", "spread_source": "liquidity_fallback", "stock_score": 0.35, "stop_loss": 184.65, "target_1": 190.75, "target_1_atr_distance": 0.4436, "target_2": 200.5, "target_2_atr_distance": 2.2919, "target_feasibility_status": "LOW_REWARD_DISTANCE", "theoretical_entry": 187.14, "ticker": "DHR", "timestamp": "2026-06-09T20:25:46", "warnings": ["Target 1 is close versus daily ATR."]}</t>
        </is>
      </c>
    </row>
    <row r="498">
      <c r="A498" t="inlineStr">
        <is>
          <t>2026-06-09T20:25:46</t>
        </is>
      </c>
      <c r="B498" t="inlineStr">
        <is>
          <t>DLR</t>
        </is>
      </c>
      <c r="C498" t="inlineStr">
        <is>
          <t>Swing Low + Volume Support Buy Zone</t>
        </is>
      </c>
      <c r="D498" t="n">
        <v>0.34</v>
      </c>
      <c r="E498" t="n">
        <v>184.93</v>
      </c>
      <c r="F498" t="n">
        <v>183.66</v>
      </c>
      <c r="G498" t="n">
        <v>187.11</v>
      </c>
      <c r="H498" t="n">
        <v>178.48</v>
      </c>
      <c r="I498" t="n">
        <v>191.4</v>
      </c>
      <c r="J498" t="n">
        <v>201.34</v>
      </c>
      <c r="K498" t="n">
        <v>1.54</v>
      </c>
      <c r="L498" t="inlineStr">
        <is>
          <t>Price is pulling into a recent swing-low support (184.95) that overlaps with a high-volume area (HVN at 184.59), creating structural + volume confluence. Liquidity sweep below swing low detected — wick and reclaim. Stop below 178.48.</t>
        </is>
      </c>
      <c r="M498" t="inlineStr">
        <is>
          <t>WATCH</t>
        </is>
      </c>
      <c r="N498" t="inlineStr">
        <is>
          <t>WATCH: Technical setup detected, but weighted risk/reward 1.54 is below minimum 2.00. Market regime NEUTRAL; sector STRONG; net R/R 1.31.</t>
        </is>
      </c>
      <c r="O498"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498" t="inlineStr">
        <is>
          <t>agent_results/charts/market_lens_agent_20260609_202348_dlr.png</t>
        </is>
      </c>
      <c r="Q498"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498"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71.71,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"2026-06-09T20:25:46", "warnings": []}</t>
        </is>
      </c>
    </row>
    <row r="499">
      <c r="A499" t="inlineStr">
        <is>
          <t>2026-06-09T20:25:46</t>
        </is>
      </c>
      <c r="B499" t="inlineStr">
        <is>
          <t>NOW</t>
        </is>
      </c>
      <c r="C499" t="inlineStr">
        <is>
          <t>Breakout + Retest</t>
        </is>
      </c>
      <c r="D499" t="n">
        <v>0.33</v>
      </c>
      <c r="E499" t="n">
        <v>106.97</v>
      </c>
      <c r="F499" t="n">
        <v>103.03</v>
      </c>
      <c r="G499" t="n">
        <v>110.83</v>
      </c>
      <c r="H499" t="n">
        <v>99.13</v>
      </c>
      <c r="I499" t="n">
        <v>113.25</v>
      </c>
      <c r="J499" t="n">
        <v>133.24</v>
      </c>
      <c r="K499" t="n">
        <v>1.69</v>
      </c>
      <c r="L499" t="inlineStr">
        <is>
          <t>Price (106.97) retesting broken resistance (110.83) as support. Breakout on 2026-05-29 with 2.4× avg volume. Volume confirmed breakout. Entry at 106.97, stop at 99.13.</t>
        </is>
      </c>
      <c r="M499" t="inlineStr">
        <is>
          <t>WATCH</t>
        </is>
      </c>
      <c r="N499" t="inlineStr">
        <is>
          <t>WATCH: Technical setup detected, but weighted risk/reward 1.69 is below minimum 2.00. Market regime NEUTRAL; sector STRONG; net R/R 1.56.</t>
        </is>
      </c>
      <c r="O499"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499" t="inlineStr">
        <is>
          <t>agent_results/charts/market_lens_agent_20260609_202348_now.png</t>
        </is>
      </c>
      <c r="Q499"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499"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74.62,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"2026-06-09T20:25:46", "warnings": []}</t>
        </is>
      </c>
    </row>
    <row r="500">
      <c r="A500" t="inlineStr">
        <is>
          <t>2026-06-09T20:25:46</t>
        </is>
      </c>
      <c r="B500" t="inlineStr">
        <is>
          <t>GILD</t>
        </is>
      </c>
      <c r="C500" t="inlineStr">
        <is>
          <t>Swing Low + Volume Support Buy Zone</t>
        </is>
      </c>
      <c r="D500" t="n">
        <v>0.3</v>
      </c>
      <c r="E500" t="n">
        <v>125.5</v>
      </c>
      <c r="F500" t="n">
        <v>127.31</v>
      </c>
      <c r="G500" t="n">
        <v>130.06</v>
      </c>
      <c r="H500" t="n">
        <v>123.18</v>
      </c>
      <c r="I500" t="n">
        <v>133.5</v>
      </c>
      <c r="J500" t="n">
        <v>140.73</v>
      </c>
      <c r="K500" t="n">
        <v>1.49</v>
      </c>
      <c r="L500" t="inlineStr">
        <is>
          <t>Price is pulling into a recent swing-low support (128.34) that overlaps with a high-volume area (POC at 129.12), creating structural + volume confluence. Liquidity sweep below swing low detected — wick and reclaim. Stop below 123.18.</t>
        </is>
      </c>
      <c r="M500" t="inlineStr">
        <is>
          <t>WATCH</t>
        </is>
      </c>
      <c r="N500" t="inlineStr">
        <is>
          <t>WATCH: Technical setup detected, but weighted risk/reward 1.49 is below minimum 2.00. Market regime NEUTRAL; sector STRONG; net R/R 1.97.</t>
        </is>
      </c>
      <c r="O500"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0" t="inlineStr">
        <is>
          <t>agent_results/charts/market_lens_agent_20260609_202348_gild.png</t>
        </is>
      </c>
      <c r="Q500"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0"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68.47,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"2026-06-09T20:25:46", "warnings": []}</t>
        </is>
      </c>
    </row>
    <row r="501">
      <c r="A501" t="inlineStr">
        <is>
          <t>2026-06-09T20:25:46</t>
        </is>
      </c>
      <c r="B501" t="inlineStr">
        <is>
          <t>MKC</t>
        </is>
      </c>
      <c r="C501" t="inlineStr">
        <is>
          <t>Breakout + Retest</t>
        </is>
      </c>
      <c r="D501" t="n">
        <v>0.3</v>
      </c>
      <c r="E501" t="n">
        <v>48.63</v>
      </c>
      <c r="F501" t="n">
        <v>47.02</v>
      </c>
      <c r="G501" t="n">
        <v>48.45</v>
      </c>
      <c r="H501" t="n">
        <v>46.31</v>
      </c>
      <c r="I501" t="n">
        <v>50.07</v>
      </c>
      <c r="J501" t="n">
        <v>54.03</v>
      </c>
      <c r="K501" t="n">
        <v>1.22</v>
      </c>
      <c r="L501" t="inlineStr">
        <is>
          <t>Price (48.63) retesting broken resistance (48.45) as support. Breakout on 2026-06-09 with 0.8× avg volume. Entry at 48.63, stop at 46.31.</t>
        </is>
      </c>
      <c r="M501" t="inlineStr">
        <is>
          <t>WATCH</t>
        </is>
      </c>
      <c r="N501" t="inlineStr">
        <is>
          <t>WATCH: Technical setup detected, but weighted risk/reward 1.22 is below minimum 2.00. Market regime NEUTRAL; sector NEUTRAL; net R/R 1.00.</t>
        </is>
      </c>
      <c r="O501"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1" t="inlineStr">
        <is>
          <t>agent_results/charts/market_lens_agent_20260609_202348_mkc.png</t>
        </is>
      </c>
      <c r="Q501"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1"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 "ema200": 98.8362, "ema50": 98.9916, "price": 99.951, "return_1m": 2.05, "return_3m": 0.73, "trend": "bullish"}, "IWM": {"ema20": 284.7874, "ema200": 267.9195, "ema50": 277.4673, "price": 285.0, "return_1m": -0.12, "return_3m": 12.92, "trend": "bullish"}, "QQQ": {"ema20": 716.5162, "ema200": 652.2513, "ema50": 685.3183, "price": 707.83, "return_1m": -0.77, "return_3m": 16.63, "trend": "mixed"}, "SPY": {"ema20": 742.6692, "ema200": 703.9938, "ema50": 724.2751, "price": 737.11, "return_1m": -0.3, "return_3m": 9.28, "trend": "mixed"}, "US10Y": {"ema20": 4.4925, "ema200": 4.3206, "ema50": 4.4213, "price": 4.528, "return_1m": 2.68, "return_3m": 7.6, "trend": "bullish"}, "VIX": {"ema20": 17.6047, "ema200": 18.8377, "ema50": 18.4644, "price": 19.82, "return_1m": 10.17, "return_3m": -27.37,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56.23,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"2026-06-09T20:25:46", "warnings": []}</t>
        </is>
      </c>
    </row>
    <row r="502">
      <c r="A502" t="inlineStr">
        <is>
          <t>2026-06-09T20:48:19</t>
        </is>
      </c>
      <c r="B502" t="inlineStr">
        <is>
          <t>ORCL</t>
        </is>
      </c>
      <c r="C502" t="inlineStr">
        <is>
          <t>Fib 61.8 Confluence Buy Zone</t>
        </is>
      </c>
      <c r="D502" t="n">
        <v>0.5</v>
      </c>
      <c r="E502" t="n">
        <v>205.81</v>
      </c>
      <c r="F502" t="n">
        <v>202.83</v>
      </c>
      <c r="G502" t="n">
        <v>209.36</v>
      </c>
      <c r="H502" t="n">
        <v>192.78</v>
      </c>
      <c r="I502" t="n">
        <v>207.15</v>
      </c>
      <c r="J502" t="n">
        <v>250.25</v>
      </c>
      <c r="K502" t="n">
        <v>1.26</v>
      </c>
      <c r="L502" t="inlineStr">
        <is>
          <t>Price at 61.8% fib retracement (206.09) with confluence at VWAP. Planned entry at zone low 202.83; executable entry 205.81, stop below fib 78.6% at 192.78. Structural confluence: swing low at 178.80 aligns with HVN (175.94).</t>
        </is>
      </c>
      <c r="M502" t="inlineStr">
        <is>
          <t>WATCH</t>
        </is>
      </c>
      <c r="N502" t="inlineStr">
        <is>
          <t>WATCH: Technical setup detected, but weighted risk/reward 1.26 is below minimum 2.00. Market regime NEUTRAL; sector STRONG; net R/R 1.20.</t>
        </is>
      </c>
      <c r="O502"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02" t="inlineStr">
        <is>
          <t>agent_results/charts/market_lens_agent_20260609_204623_orcl.png</t>
        </is>
      </c>
      <c r="Q502"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02"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"2026-06-09T20:48:19", "warnings": ["Target 1 is close versus daily ATR.", "Earnings blackout active."]}</t>
        </is>
      </c>
    </row>
    <row r="503">
      <c r="A503" t="inlineStr">
        <is>
          <t>2026-06-09T20:48:19</t>
        </is>
      </c>
      <c r="B503" t="inlineStr">
        <is>
          <t>HON</t>
        </is>
      </c>
      <c r="C503" t="inlineStr">
        <is>
          <t>Breakout + Retest</t>
        </is>
      </c>
      <c r="D503" t="n">
        <v>0.45</v>
      </c>
      <c r="E503" t="n">
        <v>215.7</v>
      </c>
      <c r="F503" t="n">
        <v>213.64</v>
      </c>
      <c r="G503" t="n">
        <v>219.83</v>
      </c>
      <c r="H503" t="n">
        <v>210.54</v>
      </c>
      <c r="I503" t="n">
        <v>223.42</v>
      </c>
      <c r="J503" t="n">
        <v>239.94</v>
      </c>
      <c r="K503" t="n">
        <v>2.62</v>
      </c>
      <c r="L503" t="inlineStr">
        <is>
          <t>Price (215.70) retesting broken resistance (219.83) as support. Breakout on 2026-05-21 with 1.1× avg volume. Entry at 215.70, stop at 210.54.</t>
        </is>
      </c>
      <c r="M503" t="inlineStr">
        <is>
          <t>HOLD</t>
        </is>
      </c>
      <c r="N503" t="inlineStr">
        <is>
          <t>HOLD: Existing simulated position remains open. NEUTRAL regime recorded.</t>
        </is>
      </c>
      <c r="O503"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03" t="inlineStr">
        <is>
          <t>agent_results/charts/market_lens_agent_20260609_204623_hon.png</t>
        </is>
      </c>
      <c r="Q503"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03"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"2026-06-09T20:48:19", "warnings": []}</t>
        </is>
      </c>
    </row>
    <row r="504">
      <c r="A504" t="inlineStr">
        <is>
          <t>2026-06-09T20:48:19</t>
        </is>
      </c>
      <c r="B504" t="inlineStr">
        <is>
          <t>PFE</t>
        </is>
      </c>
      <c r="C504" t="inlineStr">
        <is>
          <t>Fib 61.8 Confluence Buy Zone</t>
        </is>
      </c>
      <c r="D504" t="n">
        <v>0.4</v>
      </c>
      <c r="E504" t="n">
        <v>25.7</v>
      </c>
      <c r="F504" t="n">
        <v>25.58</v>
      </c>
      <c r="G504" t="n">
        <v>25.83</v>
      </c>
      <c r="H504" t="n">
        <v>25.43</v>
      </c>
      <c r="I504" t="n">
        <v>25.86</v>
      </c>
      <c r="J504" t="n">
        <v>27.57</v>
      </c>
      <c r="K504" t="n">
        <v>2.83</v>
      </c>
      <c r="L504" t="inlineStr">
        <is>
          <t>Price at 61.8% fib retracement (25.71) with confluence at VWAP. Planned entry at zone low 25.58; executable entry 25.70, stop below fib 78.6% at 25.43. Structural confluence: swing low at 25.19 aligns with VAL (25.31).</t>
        </is>
      </c>
      <c r="M504" t="inlineStr">
        <is>
          <t>WATCH</t>
        </is>
      </c>
      <c r="N504" t="inlineStr">
        <is>
          <t>WATCH: Neutral market requires stronger setup score (0.40 &lt; 0.45).</t>
        </is>
      </c>
      <c r="O504"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04" t="inlineStr">
        <is>
          <t>agent_results/charts/market_lens_agent_20260609_204623_pfe.png</t>
        </is>
      </c>
      <c r="Q504"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04"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"2026-06-09T20:48:19", "warnings": ["Target 1 is close versus daily ATR.", "Position size reduced by Healthcare sector exposure cap (389 -&gt; 233 shares)."]}</t>
        </is>
      </c>
    </row>
    <row r="505">
      <c r="A505" t="inlineStr">
        <is>
          <t>2026-06-09T20:48:19</t>
        </is>
      </c>
      <c r="B505" t="inlineStr">
        <is>
          <t>DHR</t>
        </is>
      </c>
      <c r="C505" t="inlineStr">
        <is>
          <t>Fib 61.8 Confluence Buy Zone</t>
        </is>
      </c>
      <c r="D505" t="n">
        <v>0.35</v>
      </c>
      <c r="E505" t="n">
        <v>188.41</v>
      </c>
      <c r="F505" t="n">
        <v>187.14</v>
      </c>
      <c r="G505" t="n">
        <v>189.77</v>
      </c>
      <c r="H505" t="n">
        <v>184.65</v>
      </c>
      <c r="I505" t="n">
        <v>190.75</v>
      </c>
      <c r="J505" t="n">
        <v>200.5</v>
      </c>
      <c r="K505" t="n">
        <v>1.53</v>
      </c>
      <c r="L505" t="inlineStr">
        <is>
          <t>Price at 61.8% fib retracement (188.46) with confluence at VWAP. Planned entry at zone low 187.14; executable entry 188.41, stop below fib 78.6% at 184.65.</t>
        </is>
      </c>
      <c r="M505" t="inlineStr">
        <is>
          <t>WATCH</t>
        </is>
      </c>
      <c r="N505" t="inlineStr">
        <is>
          <t>WATCH: Technical setup detected, but weighted risk/reward 1.53 is below minimum 2.00. Market regime NEUTRAL; sector STRONG; net R/R 1.35.</t>
        </is>
      </c>
      <c r="O505" t="inlineStr">
        <is>
          <t>DHR
Fib 61.8 Confluence Buy Zone
0.35
score
Price
188.41
R/R
1.53x
Grade
A
Quality
78%
Buy Zone
187.14 - 189.77
Stop
184.65
Targets
190.75 / 200.50
High-quality watchlist candidate
Mixed
Relative Strength
Leadership
100%
Trend Quality
Constructive
68%
Liquidity
Institutional liquidity
100%
Volume
Neutral
65%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05" t="inlineStr">
        <is>
          <t>agent_results/charts/market_lens_agent_20260609_204623_dhr.png</t>
        </is>
      </c>
      <c r="Q505" t="inlineStr">
        <is>
          <t>Smart Universe: broad liquid US universe, diversified by sector | Sector: Healthcare - Strong (68/100); XLV sector regime is strong: 1.5% 3m return, -7.7% vs SPY | Setup: Fib 61.8 Confluence Buy Zone; score 0.35; R/R 1.53x; price 188.41 | Market: NEUTRAL; Sector regime: STRONG; Net R/R: 1.35; Factors: Defensive, Healthcare | Agent action: WATCH - WATCH: Technical setup detected, but weighted risk/reward 1.53 is below minimum 2.00. Market regime NEUTRAL; sector STRONG; net R/R 1.35.</t>
        </is>
      </c>
      <c r="R505"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59.15, "normalized_momentum_score": 60.78, "normalized_quality_score": 70.1,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0.35, "setup_type": "Fib 61.8 Confluence Buy Zone", "sizing_adjustment_reason": "", "spread_source": "liquidity_fallback", "stock_score": 0.35, "stop_loss": 184.65, "target_1": 190.75, "target_1_atr_distance": 0.4436, "target_2": 200.5, "target_2_atr_distance": 2.2922, "target_feasibility_status": "LOW_REWARD_DISTANCE", "theoretical_entry": 187.14, "ticker": "DHR", "timestamp": "2026-06-09T20:48:19", "warnings": ["Target 1 is close versus daily ATR."]}</t>
        </is>
      </c>
    </row>
    <row r="506">
      <c r="A506" t="inlineStr">
        <is>
          <t>2026-06-09T20:48:19</t>
        </is>
      </c>
      <c r="B506" t="inlineStr">
        <is>
          <t>DLR</t>
        </is>
      </c>
      <c r="C506" t="inlineStr">
        <is>
          <t>Swing Low + Volume Support Buy Zone</t>
        </is>
      </c>
      <c r="D506" t="n">
        <v>0.34</v>
      </c>
      <c r="E506" t="n">
        <v>184.93</v>
      </c>
      <c r="F506" t="n">
        <v>183.66</v>
      </c>
      <c r="G506" t="n">
        <v>187.11</v>
      </c>
      <c r="H506" t="n">
        <v>178.48</v>
      </c>
      <c r="I506" t="n">
        <v>191.4</v>
      </c>
      <c r="J506" t="n">
        <v>201.34</v>
      </c>
      <c r="K506" t="n">
        <v>1.54</v>
      </c>
      <c r="L506" t="inlineStr">
        <is>
          <t>Price is pulling into a recent swing-low support (184.95) that overlaps with a high-volume area (HVN at 184.59), creating structural + volume confluence. Liquidity sweep below swing low detected — wick and reclaim. Stop below 178.48.</t>
        </is>
      </c>
      <c r="M506" t="inlineStr">
        <is>
          <t>WATCH</t>
        </is>
      </c>
      <c r="N506" t="inlineStr">
        <is>
          <t>WATCH: Technical setup detected, but weighted risk/reward 1.54 is below minimum 2.00. Market regime NEUTRAL; sector STRONG; net R/R 1.31.</t>
        </is>
      </c>
      <c r="O506"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06" t="inlineStr">
        <is>
          <t>agent_results/charts/market_lens_agent_20260609_204623_dlr.png</t>
        </is>
      </c>
      <c r="Q506"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06"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"2026-06-09T20:48:19", "warnings": []}</t>
        </is>
      </c>
    </row>
    <row r="507">
      <c r="A507" t="inlineStr">
        <is>
          <t>2026-06-09T20:48:19</t>
        </is>
      </c>
      <c r="B507" t="inlineStr">
        <is>
          <t>NOW</t>
        </is>
      </c>
      <c r="C507" t="inlineStr">
        <is>
          <t>Breakout + Retest</t>
        </is>
      </c>
      <c r="D507" t="n">
        <v>0.33</v>
      </c>
      <c r="E507" t="n">
        <v>106.97</v>
      </c>
      <c r="F507" t="n">
        <v>103.03</v>
      </c>
      <c r="G507" t="n">
        <v>110.83</v>
      </c>
      <c r="H507" t="n">
        <v>99.13</v>
      </c>
      <c r="I507" t="n">
        <v>113.25</v>
      </c>
      <c r="J507" t="n">
        <v>133.24</v>
      </c>
      <c r="K507" t="n">
        <v>1.69</v>
      </c>
      <c r="L507" t="inlineStr">
        <is>
          <t>Price (106.97) retesting broken resistance (110.83) as support. Breakout on 2026-05-29 with 2.4× avg volume. Volume confirmed breakout. Entry at 106.97, stop at 99.13.</t>
        </is>
      </c>
      <c r="M507" t="inlineStr">
        <is>
          <t>WATCH</t>
        </is>
      </c>
      <c r="N507" t="inlineStr">
        <is>
          <t>WATCH: Technical setup detected, but weighted risk/reward 1.69 is below minimum 2.00. Market regime NEUTRAL; sector STRONG; net R/R 1.56.</t>
        </is>
      </c>
      <c r="O507"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07" t="inlineStr">
        <is>
          <t>agent_results/charts/market_lens_agent_20260609_204623_now.png</t>
        </is>
      </c>
      <c r="Q507"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07"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"2026-06-09T20:48:19", "warnings": []}</t>
        </is>
      </c>
    </row>
    <row r="508">
      <c r="A508" t="inlineStr">
        <is>
          <t>2026-06-09T20:48:19</t>
        </is>
      </c>
      <c r="B508" t="inlineStr">
        <is>
          <t>GILD</t>
        </is>
      </c>
      <c r="C508" t="inlineStr">
        <is>
          <t>Swing Low + Volume Support Buy Zone</t>
        </is>
      </c>
      <c r="D508" t="n">
        <v>0.3</v>
      </c>
      <c r="E508" t="n">
        <v>125.5</v>
      </c>
      <c r="F508" t="n">
        <v>127.31</v>
      </c>
      <c r="G508" t="n">
        <v>130.06</v>
      </c>
      <c r="H508" t="n">
        <v>123.18</v>
      </c>
      <c r="I508" t="n">
        <v>133.5</v>
      </c>
      <c r="J508" t="n">
        <v>140.73</v>
      </c>
      <c r="K508" t="n">
        <v>1.49</v>
      </c>
      <c r="L508" t="inlineStr">
        <is>
          <t>Price is pulling into a recent swing-low support (128.34) that overlaps with a high-volume area (POC at 129.12), creating structural + volume confluence. Liquidity sweep below swing low detected — wick and reclaim. Stop below 123.18.</t>
        </is>
      </c>
      <c r="M508" t="inlineStr">
        <is>
          <t>WATCH</t>
        </is>
      </c>
      <c r="N508" t="inlineStr">
        <is>
          <t>WATCH: Technical setup detected, but weighted risk/reward 1.49 is below minimum 2.00. Market regime NEUTRAL; sector STRONG; net R/R 1.97.</t>
        </is>
      </c>
      <c r="O508"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08" t="inlineStr">
        <is>
          <t>agent_results/charts/market_lens_agent_20260609_204623_gild.png</t>
        </is>
      </c>
      <c r="Q508"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08"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"2026-06-09T20:48:19", "warnings": []}</t>
        </is>
      </c>
    </row>
    <row r="509">
      <c r="A509" t="inlineStr">
        <is>
          <t>2026-06-09T20:48:19</t>
        </is>
      </c>
      <c r="B509" t="inlineStr">
        <is>
          <t>MKC</t>
        </is>
      </c>
      <c r="C509" t="inlineStr">
        <is>
          <t>Breakout + Retest</t>
        </is>
      </c>
      <c r="D509" t="n">
        <v>0.3</v>
      </c>
      <c r="E509" t="n">
        <v>48.63</v>
      </c>
      <c r="F509" t="n">
        <v>47.02</v>
      </c>
      <c r="G509" t="n">
        <v>48.45</v>
      </c>
      <c r="H509" t="n">
        <v>46.31</v>
      </c>
      <c r="I509" t="n">
        <v>50.07</v>
      </c>
      <c r="J509" t="n">
        <v>54.03</v>
      </c>
      <c r="K509" t="n">
        <v>1.22</v>
      </c>
      <c r="L509" t="inlineStr">
        <is>
          <t>Price (48.63) retesting broken resistance (48.45) as support. Breakout on 2026-06-09 with 0.8× avg volume. Entry at 48.63, stop at 46.31.</t>
        </is>
      </c>
      <c r="M509" t="inlineStr">
        <is>
          <t>WATCH</t>
        </is>
      </c>
      <c r="N509" t="inlineStr">
        <is>
          <t>WATCH: Technical setup detected, but weighted risk/reward 1.22 is below minimum 2.00. Market regime NEUTRAL; sector NEUTRAL; net R/R 1.00.</t>
        </is>
      </c>
      <c r="O509"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0.8× avg volume. Entry at 48.63, stop at 46.31.
Fib 61.8
46.21
Fib Zone
45.85 - 46.56
Swing Low
44.82
Swing High
48.45
Save setup
Click chart to open full size</t>
        </is>
      </c>
      <c r="P509" t="inlineStr">
        <is>
          <t>agent_results/charts/market_lens_agent_20260609_204623_mkc.png</t>
        </is>
      </c>
      <c r="Q509"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09"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99.2906, "ema200": 98.8363, "ema50": 98.9919, "price": 99.958, "return_1m": 2.06, "return_3m": 0.73,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24.99, "normalized_momentum_score": 0, "normalized_quality_score": 32.5,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"2026-06-09T20:48:19", "warnings": []}</t>
        </is>
      </c>
    </row>
    <row r="510">
      <c r="A510" t="inlineStr">
        <is>
          <t>2026-06-09T22:17:12</t>
        </is>
      </c>
      <c r="B510" t="inlineStr">
        <is>
          <t>ORCL</t>
        </is>
      </c>
      <c r="C510" t="inlineStr">
        <is>
          <t>Fib 61.8 Confluence Buy Zone</t>
        </is>
      </c>
      <c r="D510" t="n">
        <v>0.5</v>
      </c>
      <c r="E510" t="n">
        <v>205.81</v>
      </c>
      <c r="F510" t="n">
        <v>202.83</v>
      </c>
      <c r="G510" t="n">
        <v>209.36</v>
      </c>
      <c r="H510" t="n">
        <v>192.78</v>
      </c>
      <c r="I510" t="n">
        <v>207.15</v>
      </c>
      <c r="J510" t="n">
        <v>250.25</v>
      </c>
      <c r="K510" t="n">
        <v>1.26</v>
      </c>
      <c r="L510" t="inlineStr">
        <is>
          <t>Price at 61.8% fib retracement (206.09) with confluence at VWAP. Planned entry at zone low 202.83; executable entry 205.81, stop below fib 78.6% at 192.78. Structural confluence: swing low at 178.80 aligns with HVN (175.94).</t>
        </is>
      </c>
      <c r="M510" t="inlineStr">
        <is>
          <t>WATCH</t>
        </is>
      </c>
      <c r="N510" t="inlineStr">
        <is>
          <t>WATCH: Technical setup detected, but weighted risk/reward 1.26 is below minimum 2.00. Market regime NEUTRAL; sector STRONG; net R/R 1.20.</t>
        </is>
      </c>
      <c r="O510" t="inlineStr">
        <is>
          <t>ORCL
Fib 61.8 Confluence Buy Zone
0.50
score
Price
205.81
R/R
1.26x
Grade
A
Quality
84%
Buy Zone
202.83 - 209.36
Stop
192.78
Targets
207.15 / 250.25
High-quality watchlist candidate
Mixed
Relative Strength
Leadership
100%
Trend Quality
Clean uptrend
86%
Liquidity
Institutional liquidity
100%
Volume
Confirmed
85%
Trigger
Break above prior-day high at 219.06 after holding buy zone.
Invalidation
Exit if price closes below 192.78 or setup support fails.
Market regime: Mixed.
Relative strength: Leadership.
Price at 61.8% fib retracement (206.09) with confluence at VWAP. Planned entry at zone low 202.83; executable entry 205.81, stop below fib 78.6% at 192.78. Structural confluence: swing low at 178.80 aligns with HVN (175.94).
Fib 61.8
206.09
Fib Zone
202.83 - 209.36
Swing Low
178.80
Swing High
250.25
Save setup
Click chart to open full size</t>
        </is>
      </c>
      <c r="P510" t="inlineStr">
        <is>
          <t>agent_results/charts/market_lens_agent_20260609_221351_orcl.png</t>
        </is>
      </c>
      <c r="Q510" t="inlineStr">
        <is>
          <t>Smart Universe: broad liquid US universe, diversified by sector | Sector: Technology - Strong (75/100); XLK sector regime is strong: 28.9% 3m return, 19.6% vs SPY | Setup: Fib 61.8 Confluence Buy Zone; score 0.50; R/R 1.26x; price 205.81 | Market: NEUTRAL; Sector regime: STRONG; Net R/R: 1.20; Factors: Technology | Agent action: WATCH - WATCH: Technical setup detected, but weighted risk/reward 1.26 is below minimum 2.00. Market regime NEUTRAL; sector STRONG; net R/R 1.20.</t>
        </is>
      </c>
      <c r="R510" t="inlineStr">
        <is>
          <t>{"adjusted_cash_out": 0.0, "adjusted_position_size": 0, "adjusted_risk_amount": 0.0, "ask": 0.0, "bid": 0.0, "buy_zone_high": 209.36, "buy_zone_low": 202.83, "cash_available": 93936.04, "company_name": "Oracle Corporation", "correlation_warning": false, "days_to_earnings": 1, "earnings_blackout": true, "earnings_date": "2026-06-10T00:00:00", "estimated_fees": 0.0, "estimated_slippage": 0.3314, "estimated_spread": 0.0617, "executable_entry": 205.81, "execution_liquidity_bucket": "large_liquid", "factor_exposure_after": {"Industrials": 5823.09}, "factor_exposure_before": {"Industrials": 5823.09}, "factor_exposure_cap": 7000.0, "factor_exposure_limit_exceeded": false, "factor_tags": ["Technology"], "final_action": "WATCH", "gross_reward_1_per_share": 1.34, "gross_reward_2_per_share": 44.44, "gross_risk_per_share": 13.03, "gross_rr": 1.2606, "gross_rr_1": 0.1028, "gross_rr_2": 3.4106, "gross_rr_decision": 1.2606, "highest_correlation_ticker": "HON", "highest_correlation_value": 0.1145, "initial_action": "WATCH", "market_cap": 591919020238.4, "market_cap_bucket": "Mega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206.0065, "net_reward_1_per_share": 1.0297, "net_reward_2_per_share": 44.1297, "net_risk_per_share": 13.4231, "net_rr": 1.2005, "net_rr_1": 0.0767, "net_rr_2": 3.2876, "net_stop_assumption": 192.5835, "net_target_1_assumption": 207.0363, "net_target_2_assumption": 250.1363, "normalized_atr_score": 83.87, "normalized_liquidity_score": 75.84, "normalized_momentum_score": 100, "normalized_quality_score": 88.72,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205.81, "prior_high_20": 250.25, "prior_high_63": 250.25, "reason": "WATCH: Technical setup detected, but weighted risk/reward 1.26 is below minimum 2.00. Market regime NEUTRAL; sector STRONG; net R/R 1.20.",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0.5, "setup_type": "Fib 61.8 Confluence Buy Zone", "sizing_adjustment_reason": "", "spread_source": "liquidity_fallback", "stock_score": 0.5, "stop_loss": 192.78, "target_1": 207.15, "target_1_atr_distance": 0.1026, "target_2": 250.25, "target_2_atr_distance": 3.401, "target_feasibility_status": "LOW_REWARD_DISTANCE", "theoretical_entry": 202.83, "ticker": "ORCL", "timestamp": "2026-06-09T22:17:12", "warnings": ["Target 1 is close versus daily ATR.", "Earnings blackout active."]}</t>
        </is>
      </c>
    </row>
    <row r="511">
      <c r="A511" t="inlineStr">
        <is>
          <t>2026-06-09T22:17:12</t>
        </is>
      </c>
      <c r="B511" t="inlineStr">
        <is>
          <t>HON</t>
        </is>
      </c>
      <c r="C511" t="inlineStr">
        <is>
          <t>Breakout + Retest</t>
        </is>
      </c>
      <c r="D511" t="n">
        <v>0.45</v>
      </c>
      <c r="E511" t="n">
        <v>215.7</v>
      </c>
      <c r="F511" t="n">
        <v>213.64</v>
      </c>
      <c r="G511" t="n">
        <v>219.83</v>
      </c>
      <c r="H511" t="n">
        <v>210.54</v>
      </c>
      <c r="I511" t="n">
        <v>223.42</v>
      </c>
      <c r="J511" t="n">
        <v>239.94</v>
      </c>
      <c r="K511" t="n">
        <v>2.62</v>
      </c>
      <c r="L511" t="inlineStr">
        <is>
          <t>Price (215.70) retesting broken resistance (219.83) as support. Breakout on 2026-05-21 with 1.1× avg volume. Entry at 215.70, stop at 210.54.</t>
        </is>
      </c>
      <c r="M511" t="inlineStr">
        <is>
          <t>HOLD</t>
        </is>
      </c>
      <c r="N511" t="inlineStr">
        <is>
          <t>HOLD: Existing simulated position remains open. NEUTRAL regime recorded.</t>
        </is>
      </c>
      <c r="O511" t="inlineStr">
        <is>
          <t>HON
Breakout + Retest
0.45
score
Price
215.70
R/R
2.62x
Grade
B
Quality
72%
Buy Zone
213.64 - 219.83
Stop
210.54
Targets
223.42 / 239.94
Tradable if trigger confirms
Mixed
Relative Strength
Leadership
100%
Trend Quality
Messy
28%
Liquidity
Institutional liquidity
100%
Volume
Neutral
65%
Trigger
Close above 215.81 or reclaim of broken resistance.
Invalidation
Exit if price closes below 210.54 or setup support fails.
Trend quality is not clean.
Market regime: Mixed.
Relative strength: Leadership.
Price (215.70) retesting broken resistance (219.83) as support. Breakout on 2026-05-21 with 1.1× avg volume. Entry at 215.70, stop at 210.54.
Fib 61.8
222.36
Fib Zone
220.82 - 223.91
Swing Low
211.50
Swing High
239.94
Save setup
Click chart to open full size</t>
        </is>
      </c>
      <c r="P511" t="inlineStr">
        <is>
          <t>agent_results/charts/market_lens_agent_20260609_221351_hon.png</t>
        </is>
      </c>
      <c r="Q511" t="inlineStr">
        <is>
          <t>Smart Universe: broad liquid US universe, diversified by sector | Sector: Industrials - Strong (68/100); XLI sector regime is strong: 3.9% 3m return, -5.4% vs SPY | Setup: Breakout + Retest; score 0.45; R/R 2.62x; price 215.70 | Market: NEUTRAL; Sector regime: STRONG; Net R/R: 2.16; Factors: Industrials | Agent action: HOLD - HOLD: Existing simulated position remains open. NEUTRAL regime recorded.</t>
        </is>
      </c>
      <c r="R511" t="inlineStr">
        <is>
          <t>{"adjusted_cash_out": 0.0, "adjusted_position_size": 0, "adjusted_risk_amount": 0.0, "ask": 0.0, "bid": 0.0, "buy_zone_high": 219.83, "buy_zone_low": 213.64, "cash_available": 93936.04, "company_name": "Honeywell International Inc.", "correlation_warning": false, "days_to_earnings": 32, "earnings_blackout": false, "earnings_date": "2026-07-23T00:00:00", "estimated_fees": 0.0, "estimated_slippage": 0.7334, "estimated_spread": 0.0647, "executable_entry": 215.7, "execution_liquidity_bucket": "large_liquid", "factor_exposure_after": {}, "factor_exposure_before": {}, "factor_exposure_cap": 7000.0, "factor_exposure_limit_exceeded": false, "factor_tags": ["Industrials"], "final_action": "HOLD", "gross_reward_1_per_share": 7.72, "gross_reward_2_per_share": 24.24, "gross_risk_per_share": 5.16, "gross_rr": 2.6167, "gross_rr_1": 1.4961, "gross_rr_2": 4.6977, "gross_rr_decision": 2.6167, "highest_correlation_ticker": "", "highest_correlation_value": null, "initial_action": "HOLD", "market_cap": 136678975834.54,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216.099, "net_reward_1_per_share": 7.1053, "net_reward_2_per_share": 23.6253, "net_risk_per_share": 5.9581, "net_rr": 2.163, "net_rr_1": 1.1925, "net_rr_2": 3.9652, "net_stop_assumption": 210.141, "net_target_1_assumption": 223.2043, "net_target_2_assumption": 239.7243, "normalized_atr_score": 100.0, "normalized_liquidity_score": 68.4, "normalized_momentum_score": 18.23, "normalized_quality_score": 53.72,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215.7, "prior_high_20": 239.94, "prior_high_63": 243.9195,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68.41, "setup_score": 0.45, "setup_type": "Breakout + Retest", "sizing_adjustment_reason": "", "spread_source": "liquidity_fallback", "stock_score": 0.45, "stop_loss": 210.54, "target_1": 223.42, "target_1_atr_distance": 1.2464, "target_2": 239.94, "target_2_atr_distance": 3.9137, "target_feasibility_status": "OK", "theoretical_entry": 213.64, "ticker": "HON", "timestamp": "2026-06-09T22:17:12", "warnings": []}</t>
        </is>
      </c>
    </row>
    <row r="512">
      <c r="A512" t="inlineStr">
        <is>
          <t>2026-06-09T22:17:12</t>
        </is>
      </c>
      <c r="B512" t="inlineStr">
        <is>
          <t>PFE</t>
        </is>
      </c>
      <c r="C512" t="inlineStr">
        <is>
          <t>Fib 61.8 Confluence Buy Zone</t>
        </is>
      </c>
      <c r="D512" t="n">
        <v>0.4</v>
      </c>
      <c r="E512" t="n">
        <v>25.7</v>
      </c>
      <c r="F512" t="n">
        <v>25.58</v>
      </c>
      <c r="G512" t="n">
        <v>25.83</v>
      </c>
      <c r="H512" t="n">
        <v>25.43</v>
      </c>
      <c r="I512" t="n">
        <v>25.86</v>
      </c>
      <c r="J512" t="n">
        <v>27.57</v>
      </c>
      <c r="K512" t="n">
        <v>2.83</v>
      </c>
      <c r="L512" t="inlineStr">
        <is>
          <t>Price at 61.8% fib retracement (25.71) with confluence at VWAP. Planned entry at zone low 25.58; executable entry 25.70, stop below fib 78.6% at 25.43. Structural confluence: swing low at 25.19 aligns with VAL (25.31).</t>
        </is>
      </c>
      <c r="M512" t="inlineStr">
        <is>
          <t>WATCH</t>
        </is>
      </c>
      <c r="N512" t="inlineStr">
        <is>
          <t>WATCH: Neutral market requires stronger setup score (0.40 &lt; 0.45).</t>
        </is>
      </c>
      <c r="O512" t="inlineStr">
        <is>
          <t>PFE
Fib 61.8 Confluence Buy Zone
0.40
score
Price
25.70
R/R
2.83x
Grade
B
Quality
67%
Buy Zone
25.58 - 25.83
Stop
25.43
Targets
25.86 / 27.57
Tradable if trigger confirms
Mixed
Relative Strength
Leadership
100%
Trend Quality
Messy
0%
Liquidity
Institutional liquidity
100%
Volume
Neutral
65%
Trigger
Break above prior-day high at 26.22 after holding buy zone.
Invalidation
Exit if price closes below 25.43 or setup support fails.
Trend quality is not clean.
Market regime: Mixed.
Relative strength: Leadership.
Price at 61.8% fib retracement (25.71) with confluence at VWAP. Planned entry at zone low 25.58; executable entry 25.70, stop below fib 78.6% at 25.43. Structural confluence: swing low at 25.19 aligns with VAL (25.31).
Fib 61.8
25.71
Fib Zone
25.58 - 25.83
Swing Low
25.19
Swing High
26.54
Save setup
Click chart to open full size</t>
        </is>
      </c>
      <c r="P512" t="inlineStr">
        <is>
          <t>agent_results/charts/market_lens_agent_20260609_221351_pfe.png</t>
        </is>
      </c>
      <c r="Q512" t="inlineStr">
        <is>
          <t>Smart Universe: broad liquid US universe, diversified by sector | Sector: Healthcare - Strong (68/100); XLV sector regime is strong: 1.5% 3m return, -7.7% vs SPY | Setup: Fib 61.8 Confluence Buy Zone; score 0.40; R/R 2.83x; price 25.70 | Market: NEUTRAL; Sector regime: STRONG; Net R/R: 2.31; Factors: Defensive, Healthcare | Agent action: WATCH - WATCH: Neutral market requires stronger setup score (0.40 &lt; 0.45).</t>
        </is>
      </c>
      <c r="R512" t="inlineStr">
        <is>
          <t>{"adjusted_cash_out": 5988.1, "adjusted_position_size": 233, "adjusted_risk_amount": 62.91, "ask": 0.0, "bid": 0.0, "buy_zone_high": 25.83, "buy_zone_low": 25.58, "cash_available": 93936.04, "company_name": "Pfizer Inc.", "correlation_warning": false, "days_to_earnings": 36, "earnings_blackout": false, "earnings_date": "2026-07-29T00:00:00", "estimated_fees": 0.0, "estimated_slippage": 0.036, "estimated_spread": 0.0077, "executable_entry": 25.7, "execution_liquidity_bucket": "large_liquid", "factor_exposure_after": {"Defensive": 5988.1, "Healthcare": 5988.1, "Industrials": 5823.9}, "factor_exposure_before": {"Industrials": 5823.9}, "factor_exposure_cap": 7000.0, "factor_exposure_limit_exceeded": false, "factor_tags": ["Defensive", "Healthcare"], "final_action": "WATCH", "gross_reward_1_per_share": 0.16, "gross_reward_2_per_share": 1.87, "gross_risk_per_share": 0.27, "gross_rr": 2.8093, "gross_rr_1": 0.5926, "gross_rr_2": 6.9259, "gross_rr_decision": 2.8093, "highest_correlation_ticker": "HON", "highest_correlation_value": 0.3115, "initial_action": "BUY_SIMULATED", "market_cap": 146475719491.63,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25.7218, "net_reward_1_per_share": 0.1253, "net_reward_2_per_share": 1.8353, "net_risk_per_share": 0.3137, "net_rr": 2.3074, "net_rr_1": 0.3995, "net_rr_2": 5.8507, "net_stop_assumption": 25.4082, "net_target_1_assumption": 25.8471, "net_target_2_assumption": 27.5572, "normalized_atr_score": 100.0, "normalized_liquidity_score": 61.48, "normalized_momentum_score": 35.54, "normalized_quality_score": 59.44, "original_cash_out": 9997.3, "original_position_size": 389, "original_risk_amount": 105.03, "portfolio_exposure_after": 5823.09, "portfolio_exposure_before": 5823.09, "position_size": 0, "position_size_adjusted": true, "position_sizing_explanation": "Base position sizing produced a candidate trade, but the risk transparency layer blocked the new buy. Candidate size: 233 shares, cash 5988.10, risk 62.91.", "previous_resistance": 26.54, "price": 25.7, "prior_high_20": 26.54, "prior_high_63": 28.2831, "reason": "WATCH: Neutral market requires stronger setup score (0.40 &lt; 0.45).", "risk_amount": 0.0, "scan_source": "Smart Universe: broad liquid US universe filtered and diversified by the Market Lens UI.", "sector": "Healthcare", "sector_etf": "XLV", "sector_exposure_after": 5988.1, "sector_exposure_before": 0.0, "sector_exposure_cap": 6000.0, "sector_exposure_limit_exceeded": false, "sector_regime": "STRONG", "sector_score": 68.48, "setup_score": 0.4, "setup_type": "Fib 61.8 Confluence Buy Zone", "sizing_adjustment_reason": "Position size reduced by Healthcare sector exposure cap (389 -&gt; 233 shares).", "spread_source": "liquidity_fallback", "stock_score": 0.4, "stop_loss": 25.43, "target_1": 25.86, "target_1_atr_distance": 0.3281, "target_2": 27.57, "target_2_atr_distance": 3.8351, "target_feasibility_status": "LOW_REWARD_DISTANCE", "theoretical_entry": 25.58, "ticker": "PFE", "timestamp": "2026-06-09T22:17:12", "warnings": ["Target 1 is close versus daily ATR.", "Position size reduced by Healthcare sector exposure cap (389 -&gt; 233 shares)."]}</t>
        </is>
      </c>
    </row>
    <row r="513">
      <c r="A513" t="inlineStr">
        <is>
          <t>2026-06-09T22:17:12</t>
        </is>
      </c>
      <c r="B513" t="inlineStr">
        <is>
          <t>DHR</t>
        </is>
      </c>
      <c r="C513" t="inlineStr">
        <is>
          <t>Fib 61.8 Confluence Buy Zone</t>
        </is>
      </c>
      <c r="D513" t="n">
        <v>0.36</v>
      </c>
      <c r="E513" t="n">
        <v>188.41</v>
      </c>
      <c r="F513" t="n">
        <v>187.14</v>
      </c>
      <c r="G513" t="n">
        <v>189.77</v>
      </c>
      <c r="H513" t="n">
        <v>184.65</v>
      </c>
      <c r="I513" t="n">
        <v>190.75</v>
      </c>
      <c r="J513" t="n">
        <v>200.5</v>
      </c>
      <c r="K513" t="n">
        <v>1.53</v>
      </c>
      <c r="L513" t="inlineStr">
        <is>
          <t>Price at 61.8% fib retracement (188.46) with confluence at VWAP. Planned entry at zone low 187.14; executable entry 188.41, stop below fib 78.6% at 184.65.</t>
        </is>
      </c>
      <c r="M513" t="inlineStr">
        <is>
          <t>WATCH</t>
        </is>
      </c>
      <c r="N513" t="inlineStr">
        <is>
          <t>WATCH: Technical setup detected, but weighted risk/reward 1.53 is below minimum 2.00. Market regime NEUTRAL; sector STRONG; net R/R 1.35.</t>
        </is>
      </c>
      <c r="O513" t="inlineStr">
        <is>
          <t>DHR
Fib 61.8 Confluence Buy Zone
0.36
score
Price
188.41
R/R
1.53x
Grade
A
Quality
81%
Buy Zone
187.14 - 189.77
Stop
184.65
Targets
190.75 / 200.50
High-quality watchlist candidate
Mixed
Relative Strength
Leadership
100%
Trend Quality
Constructive
68%
Liquidity
Institutional liquidity
100%
Volume
Confirmed
85%
Trigger
Break above prior-day high at 188.41 after holding buy zone.
Invalidation
Exit if price closes below 184.65 or setup support fails.
Market regime: Mixed.
Relative strength: Leadership.
Price at 61.8% fib retracement (188.46) with confluence at VWAP. Planned entry at zone low 187.14; executable entry 188.41, stop below fib 78.6% at 184.65.
Fib 61.8
188.46
Fib Zone
187.14 - 189.77
Swing Low
181.01
Swing High
200.50
Save setup
Click chart to open full size</t>
        </is>
      </c>
      <c r="P513" t="inlineStr">
        <is>
          <t>agent_results/charts/market_lens_agent_20260609_221351_dhr.png</t>
        </is>
      </c>
      <c r="Q513" t="inlineStr">
        <is>
          <t>Smart Universe: broad liquid US universe, diversified by sector | Sector: Healthcare - Strong (68/100); XLV sector regime is strong: 1.5% 3m return, -7.7% vs SPY | Setup: Fib 61.8 Confluence Buy Zone; score 0.36; R/R 1.53x; price 188.41 | Market: NEUTRAL; Sector regime: STRONG; Net R/R: 1.35; Factors: Defensive, Healthcare | Agent action: WATCH - WATCH: Technical setup detected, but weighted risk/reward 1.53 is below minimum 2.00. Market regime NEUTRAL; sector STRONG; net R/R 1.35.</t>
        </is>
      </c>
      <c r="R513" t="inlineStr">
        <is>
          <t>{"adjusted_cash_out": 0.0, "adjusted_position_size": 0, "adjusted_risk_amount": 0.0, "ask": 0.0, "bid": 0.0, "buy_zone_high": 189.77, "buy_zone_low": 187.14, "cash_available": 93936.04, "company_name": "Danaher Corporation", "correlation_warning": false, "days_to_earnings": 30, "earnings_blackout": false, "earnings_date": "2026-07-21T00:00:00", "estimated_fees": 0.0, "estimated_slippage": 0.2638, "estimated_spread": 0.0565, "executable_entry": 188.41, "execution_liquidity_bucket": "large_liquid", "factor_exposure_after": {"Industrials": 5823.9}, "factor_exposure_before": {"Industrials": 5823.9}, "factor_exposure_cap": 7000.0, "factor_exposure_limit_exceeded": false, "factor_tags": ["Defensive", "Healthcare"], "final_action": "WATCH", "gross_reward_1_per_share": 2.34, "gross_reward_2_per_share": 12.09, "gross_risk_per_share": 3.76, "gross_rr": 1.5299, "gross_rr_1": 0.6223, "gross_rr_2": 3.2154, "gross_rr_decision": 1.5299, "highest_correlation_ticker": "HON", "highest_correlation_value": 0.2026, "initial_action": "WATCH", "market_cap": 133351066425.0,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188.5701, "net_reward_1_per_share": 2.0856, "net_reward_2_per_share": 11.8356, "net_risk_per_share": 4.0803, "net_rr": 1.3475, "net_rr_1": 0.5112, "net_rr_2": 2.9007, "net_stop_assumption": 184.4899, "net_target_1_assumption": 190.6558, "net_target_2_assumption": 200.4058, "normalized_atr_score": 100.0, "normalized_liquidity_score": 60.03, "normalized_momentum_score": 60.78, "normalized_quality_score": 70.36,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188.75, "price": 188.41, "prior_high_20": 188.75, "prior_high_63": 200.5, "reason": "WATCH: Technical setup detected, but weighted risk/reward 1.53 is below minimum 2.00. Market regime NEUTRAL; sector STRONG; net R/R 1.35.",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0.36, "setup_type": "Fib 61.8 Confluence Buy Zone", "sizing_adjustment_reason": "", "spread_source": "liquidity_fallback", "stock_score": 0.36, "stop_loss": 184.65, "target_1": 190.75, "target_1_atr_distance": 0.4436, "target_2": 200.5, "target_2_atr_distance": 2.2922, "target_feasibility_status": "LOW_REWARD_DISTANCE", "theoretical_entry": 187.14, "ticker": "DHR", "timestamp": "2026-06-09T22:17:12", "warnings": ["Target 1 is close versus daily ATR."]}</t>
        </is>
      </c>
    </row>
    <row r="514">
      <c r="A514" t="inlineStr">
        <is>
          <t>2026-06-09T22:17:12</t>
        </is>
      </c>
      <c r="B514" t="inlineStr">
        <is>
          <t>DLR</t>
        </is>
      </c>
      <c r="C514" t="inlineStr">
        <is>
          <t>Swing Low + Volume Support Buy Zone</t>
        </is>
      </c>
      <c r="D514" t="n">
        <v>0.34</v>
      </c>
      <c r="E514" t="n">
        <v>184.93</v>
      </c>
      <c r="F514" t="n">
        <v>183.66</v>
      </c>
      <c r="G514" t="n">
        <v>187.11</v>
      </c>
      <c r="H514" t="n">
        <v>178.48</v>
      </c>
      <c r="I514" t="n">
        <v>191.4</v>
      </c>
      <c r="J514" t="n">
        <v>201.34</v>
      </c>
      <c r="K514" t="n">
        <v>1.54</v>
      </c>
      <c r="L514" t="inlineStr">
        <is>
          <t>Price is pulling into a recent swing-low support (184.95) that overlaps with a high-volume area (HVN at 184.59), creating structural + volume confluence. Liquidity sweep below swing low detected — wick and reclaim. Stop below 178.48.</t>
        </is>
      </c>
      <c r="M514" t="inlineStr">
        <is>
          <t>WATCH</t>
        </is>
      </c>
      <c r="N514" t="inlineStr">
        <is>
          <t>WATCH: Technical setup detected, but weighted risk/reward 1.54 is below minimum 2.00. Market regime NEUTRAL; sector STRONG; net R/R 1.31.</t>
        </is>
      </c>
      <c r="O514" t="inlineStr">
        <is>
          <t>DLR
Swing Low + Volume Support Buy Zone
0.34
score
Price
184.93
R/R
1.54x
Grade
C
Quality
61%
Buy Zone
183.66 - 187.11
Stop
178.48
Targets
191.40 / 201.34
Watch only; needs confirmation
Mixed
Relative Strength
Leadership
100%
Trend Quality
Messy
0%
Liquidity
Institutional liquidity
100%
Volume
Neutral
50%
Trigger
Break above prior-day high at 187.95 after holding buy zone.
Invalidation
Exit if price closes below 178.48 or setup support fails.
Trend quality is not clean.
Market regime: Mixed.
Relative strength: Leadership.
Price is pulling into a recent swing-low support (184.95) that overlaps with a high-volume area (HVN at 184.59), creating structural + volume confluence. Liquidity sweep below swing low detected — wick and reclaim. Stop below 178.48.
Fib 61.8
188.75
Fib Zone
187.67 - 189.83
Swing Low
184.95
Swing High
194.89
Save setup
Click chart to open full size</t>
        </is>
      </c>
      <c r="P514" t="inlineStr">
        <is>
          <t>agent_results/charts/market_lens_agent_20260609_221351_dlr.png</t>
        </is>
      </c>
      <c r="Q514" t="inlineStr">
        <is>
          <t>Smart Universe: broad liquid US universe, diversified by sector | Sector: Real Estate - Strong (72/100); XLRE sector regime is strong: 6.7% 3m return, -2.5% vs SPY | Setup: Swing Low + Volume Support Buy Zone; score 0.34; R/R 1.54x; price 184.93 | Market: NEUTRAL; Sector regime: STRONG; Net R/R: 1.31; Factors: Real Estate | Agent action: WATCH - WATCH: Technical setup detected, but weighted risk/reward 1.54 is below minimum 2.00. Market regime NEUTRAL; sector STRONG; net R/R 1.31.</t>
        </is>
      </c>
      <c r="R514" t="inlineStr">
        <is>
          <t>{"adjusted_cash_out": 0.0, "adjusted_position_size": 0, "adjusted_risk_amount": 0.0, "ask": 0.0, "bid": 0.0, "buy_zone_high": 187.11, "buy_zone_low": 183.66, "cash_available": 93936.04, "company_name": "Digital Realty", "correlation_warning": false, "days_to_earnings": 32, "earnings_blackout": false, "earnings_date": "2026-07-23T00:00:00", "estimated_fees": 0.0, "estimated_slippage": 0.5548, "estimated_spread": 0.1479, "executable_entry": 184.93, "execution_liquidity_bucket": "mid_liquid", "factor_exposure_after": {"Industrials": 5823.9}, "factor_exposure_before": {"Industrials": 5823.9}, "factor_exposure_cap": 7000.0, "factor_exposure_limit_exceeded": false, "factor_tags": ["Real Estate"], "final_action": "WATCH", "gross_reward_1_per_share": 6.47, "gross_reward_2_per_share": 16.41, "gross_risk_per_share": 6.45, "gross_rr": 1.5425, "gross_rr_1": 1.0031, "gross_rr_2": 2.5442, "gross_rr_decision": 1.5425, "highest_correlation_ticker": "HON", "highest_correlation_value": 0.4622, "initial_action": "WATCH", "market_cap": 64985521951.33,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185.2814, "net_reward_1_per_share": 5.906, "net_reward_2_per_share": 15.846, "net_risk_per_share": 7.1527, "net_rr": 1.3121, "net_rr_1": 0.8257, "net_rr_2": 2.2154, "net_stop_assumption": 178.1286, "net_target_1_assumption": 191.1873, "net_target_2_assumption": 201.1273, "normalized_atr_score": 100.0, "normalized_liquidity_score": 41.67, "normalized_momentum_score": 50.7, "normalized_quality_score": 60.32,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197.54, "price": 184.93, "prior_high_20": 197.54, "prior_high_63": 208.14, "reason": "WATCH: Technical setup detected, but weighted risk/reward 1.54 is below minimum 2.00. Market regime NEUTRAL; sector STRONG; net R/R 1.31.",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71.72, "setup_score": 0.34, "setup_type": "Swing Low + Volume Support Buy Zone", "sizing_adjustment_reason": "", "spread_source": "liquidity_fallback", "stock_score": 0.34, "stop_loss": 178.48, "target_1": 191.4, "target_1_atr_distance": 1.4997, "target_2": 201.34, "target_2_atr_distance": 3.8037, "target_feasibility_status": "OK", "theoretical_entry": 183.66, "ticker": "DLR", "timestamp": "2026-06-09T22:17:12", "warnings": []}</t>
        </is>
      </c>
    </row>
    <row r="515">
      <c r="A515" t="inlineStr">
        <is>
          <t>2026-06-09T22:17:12</t>
        </is>
      </c>
      <c r="B515" t="inlineStr">
        <is>
          <t>NOW</t>
        </is>
      </c>
      <c r="C515" t="inlineStr">
        <is>
          <t>Breakout + Retest</t>
        </is>
      </c>
      <c r="D515" t="n">
        <v>0.33</v>
      </c>
      <c r="E515" t="n">
        <v>106.97</v>
      </c>
      <c r="F515" t="n">
        <v>103.03</v>
      </c>
      <c r="G515" t="n">
        <v>110.83</v>
      </c>
      <c r="H515" t="n">
        <v>99.13</v>
      </c>
      <c r="I515" t="n">
        <v>113.25</v>
      </c>
      <c r="J515" t="n">
        <v>133.24</v>
      </c>
      <c r="K515" t="n">
        <v>1.69</v>
      </c>
      <c r="L515" t="inlineStr">
        <is>
          <t>Price (106.97) retesting broken resistance (110.83) as support. Breakout on 2026-05-29 with 2.4× avg volume. Volume confirmed breakout. Entry at 106.97, stop at 99.13.</t>
        </is>
      </c>
      <c r="M515" t="inlineStr">
        <is>
          <t>WATCH</t>
        </is>
      </c>
      <c r="N515" t="inlineStr">
        <is>
          <t>WATCH: Technical setup detected, but weighted risk/reward 1.69 is below minimum 2.00. Market regime NEUTRAL; sector STRONG; net R/R 1.56.</t>
        </is>
      </c>
      <c r="O515" t="inlineStr">
        <is>
          <t>NOW
Breakout + Retest
0.33
score
Price
106.97
R/R
1.69x
Grade
B
Quality
73%
Buy Zone
103.03 - 110.83
Stop
99.13
Targets
113.25 / 133.24
Tradable if trigger confirms
Mixed
Relative Strength
Leadership
100%
Trend Quality
Constructive
68%
Liquidity
Institutional liquidity
100%
Volume
Confirmed
80%
Trigger
Close above 115.36 or reclaim of broken resistance.
Invalidation
Exit if price closes below 99.13 or setup support fails.
Recent large gap increases volatility risk.
Market regime: Mixed.
Relative strength: Leadership.
Price (106.97) retesting broken resistance (110.83) as support. Breakout on 2026-05-29 with 2.4× avg volume. Volume confirmed breakout. Entry at 106.97, stop at 99.13.
Fib 61.8
95.14
Fib Zone
93.19 - 97.09
Swing Low
85.44
Swing High
110.83
Save setup
Click chart to open full size</t>
        </is>
      </c>
      <c r="P515" t="inlineStr">
        <is>
          <t>agent_results/charts/market_lens_agent_20260609_221351_now.png</t>
        </is>
      </c>
      <c r="Q515" t="inlineStr">
        <is>
          <t>Smart Universe: broad liquid US universe, diversified by sector | Sector: Technology - Strong (75/100); XLK sector regime is strong: 28.9% 3m return, 19.6% vs SPY | Setup: Breakout + Retest; score 0.33; R/R 1.69x; price 106.97 | Market: NEUTRAL; Sector regime: STRONG; Net R/R: 1.56; Factors: High Beta Growth, Technology | Agent action: WATCH - WATCH: Technical setup detected, but weighted risk/reward 1.69 is below minimum 2.00. Market regime NEUTRAL; sector STRONG; net R/R 1.56.</t>
        </is>
      </c>
      <c r="R515" t="inlineStr">
        <is>
          <t>{"adjusted_cash_out": 0.0, "adjusted_position_size": 0, "adjusted_risk_amount": 0.0, "ask": 0.0, "bid": 0.0, "buy_zone_high": 110.83, "buy_zone_low": 103.03, "cash_available": 93936.04, "company_name": "ServiceNow, Inc.", "correlation_warning": false, "days_to_earnings": 31, "earnings_blackout": false, "earnings_date": "2026-07-22T00:00:00", "estimated_fees": 0.0, "estimated_slippage": 0.4183, "estimated_spread": 0.0321, "executable_entry": 106.97, "execution_liquidity_bucket": "large_liquid", "factor_exposure_after": {"Industrials": 5823.9}, "factor_exposure_before": {"Industrials": 5823.9}, "factor_exposure_cap": 7000.0, "factor_exposure_limit_exceeded": false, "factor_tags": ["High Beta Growth", "Technology"], "final_action": "WATCH", "gross_reward_1_per_share": 6.28, "gross_reward_2_per_share": 26.27, "gross_risk_per_share": 7.84, "gross_rr": 1.6934, "gross_rr_1": 0.801, "gross_rr_2": 3.3508, "gross_rr_decision": 1.6934, "highest_correlation_ticker": "HON", "highest_correlation_value": 0.0543, "initial_action": "WATCH", "market_cap": 110319018018.92,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107.1952, "net_reward_1_per_share": 5.9342, "net_reward_2_per_share": 25.9242, "net_risk_per_share": 8.2903, "net_rr": 1.5597, "net_rr_1": 0.7158, "net_rr_2": 3.127, "net_stop_assumption": 98.9048, "net_target_1_assumption": 113.1294, "net_target_2_assumption": 133.1194, "normalized_atr_score": 83.71, "normalized_liquidity_score": 100, "normalized_momentum_score": 53.11, "normalized_quality_score": 74.83,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139.2, "price": 106.97, "prior_high_20": 139.2, "prior_high_63": 139.2, "reason": "WATCH: Technical setup detected, but weighted risk/reward 1.69 is below minimum 2.00. Market regime NEUTRAL; sector STRONG; net R/R 1.56.",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74.6, "setup_score": 0.33, "setup_type": "Breakout + Retest", "sizing_adjustment_reason": "", "spread_source": "liquidity_fallback", "stock_score": 0.33, "stop_loss": 99.13, "target_1": 113.25, "target_1_atr_distance": 0.8051, "target_2": 133.24, "target_2_atr_distance": 3.3679, "target_feasibility_status": "OK", "theoretical_entry": 103.03, "ticker": "NOW", "timestamp": "2026-06-09T22:17:12", "warnings": []}</t>
        </is>
      </c>
    </row>
    <row r="516">
      <c r="A516" t="inlineStr">
        <is>
          <t>2026-06-09T22:17:12</t>
        </is>
      </c>
      <c r="B516" t="inlineStr">
        <is>
          <t>GILD</t>
        </is>
      </c>
      <c r="C516" t="inlineStr">
        <is>
          <t>Swing Low + Volume Support Buy Zone</t>
        </is>
      </c>
      <c r="D516" t="n">
        <v>0.3</v>
      </c>
      <c r="E516" t="n">
        <v>125.5</v>
      </c>
      <c r="F516" t="n">
        <v>127.31</v>
      </c>
      <c r="G516" t="n">
        <v>130.06</v>
      </c>
      <c r="H516" t="n">
        <v>123.18</v>
      </c>
      <c r="I516" t="n">
        <v>133.5</v>
      </c>
      <c r="J516" t="n">
        <v>140.73</v>
      </c>
      <c r="K516" t="n">
        <v>1.49</v>
      </c>
      <c r="L516" t="inlineStr">
        <is>
          <t>Price is pulling into a recent swing-low support (128.34) that overlaps with a high-volume area (POC at 129.12), creating structural + volume confluence. Liquidity sweep below swing low detected — wick and reclaim. Stop below 123.18.</t>
        </is>
      </c>
      <c r="M516" t="inlineStr">
        <is>
          <t>WATCH</t>
        </is>
      </c>
      <c r="N516" t="inlineStr">
        <is>
          <t>WATCH: Technical setup detected, but weighted risk/reward 1.49 is below minimum 2.00. Market regime NEUTRAL; sector STRONG; net R/R 1.97.</t>
        </is>
      </c>
      <c r="O516" t="inlineStr">
        <is>
          <t>GILD
Swing Low + Volume Support Buy Zone
0.30
score
Price
125.50
R/R
1.49x
Grade
C
Quality
58%
Buy Zone
127.31 - 130.06
Stop
123.18
Targets
133.50 / 140.73
Watch only; needs confirmation
Mixed
Relative Strength
Leadership
100%
Trend Quality
Messy
0%
Liquidity
Institutional liquidity
100%
Volume
Distribution risk
30%
Trigger
Break above prior-day high at 130.80 after holding buy zone.
Invalidation
Exit if price closes below 123.18 or setup support fails.
Trend quality is not clean.
Recent volume shows distribution risk.
Market regime: Mixed.
Relative strength: Leadership.
Price is pulling into a recent swing-low support (128.34) that overlaps with a high-volume area (POC at 129.12), creating structural + volume confluence. Liquidity sweep below swing low detected — wick and reclaim. Stop below 123.18.
Fib 61.8
131.72
Fib Zone
130.86 - 132.59
Swing Low
128.34
Swing High
137.20
Save setup
Click chart to open full size</t>
        </is>
      </c>
      <c r="P516" t="inlineStr">
        <is>
          <t>agent_results/charts/market_lens_agent_20260609_221351_gild.png</t>
        </is>
      </c>
      <c r="Q516" t="inlineStr">
        <is>
          <t>Smart Universe: broad liquid US universe, diversified by sector | Sector: Healthcare - Strong (68/100); XLV sector regime is strong: 1.5% 3m return, -7.7% vs SPY | Setup: Swing Low + Volume Support Buy Zone; score 0.30; R/R 1.49x; price 125.50 | Market: NEUTRAL; Sector regime: STRONG; Net R/R: 1.97; Factors: Defensive, Healthcare | Agent action: WATCH - WATCH: Technical setup detected, but weighted risk/reward 1.49 is below minimum 2.00. Market regime NEUTRAL; sector STRONG; net R/R 1.97.</t>
        </is>
      </c>
      <c r="R516" t="inlineStr">
        <is>
          <t>{"adjusted_cash_out": 0.0, "adjusted_position_size": 0, "adjusted_risk_amount": 0.0, "ask": 0.0, "bid": 0.0, "buy_zone_high": 130.06, "buy_zone_low": 127.31, "cash_available": 93936.04, "company_name": "Gilead Sciences, Inc.", "correlation_warning": false, "days_to_earnings": 42, "earnings_blackout": false, "earnings_date": "2026-08-06T00:00:00", "estimated_fees": 0.0, "estimated_slippage": 0.1782, "estimated_spread": 0.0382, "executable_entry": 127.31, "execution_liquidity_bucket": "large_liquid", "factor_exposure_after": {"Industrials": 5823.9}, "factor_exposure_before": {"Industrials": 5823.9}, "factor_exposure_cap": 7000.0, "factor_exposure_limit_exceeded": false, "factor_tags": ["Defensive", "Healthcare"], "final_action": "WATCH", "gross_reward_1_per_share": 6.19, "gross_reward_2_per_share": 13.42, "gross_risk_per_share": 4.13, "gross_rr": 2.1115, "gross_rr_1": 1.4988, "gross_rr_2": 3.2494, "gross_rr_decision": 2.1115, "highest_correlation_ticker": "HON", "highest_correlation_value": 0.3909, "initial_action": "WATCH", "market_cap": 155817019187.0,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"SUPPORTED_BY_20D_RESISTANCE", "minimum_net_rr_required": 2.2, "net_entry": 127.4182, "net_reward_1_per_share": 6.0181, "net_reward_2_per_share": 13.2481, "net_risk_per_share": 4.3464, "net_rr": 1.9668, "net_rr_1": 1.3846, "net_rr_2": 3.0481, "net_stop_assumption": 123.0718, "net_target_1_assumption": 133.4363, "net_target_2_assumption": 140.6663, "normalized_atr_score": 100.0, "normalized_liquidity_score": 66.35, "normalized_momentum_score": 0, "normalized_quality_score": 44.91,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125.5, "prior_high_20": 137.5, "prior_high_63": 148.5365, "reason": "WATCH: Technical setup detected, but weighted risk/reward 1.49 is below minimum 2.00. Market regime NEUTRAL; sector STRONG; net R/R 1.97.",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68.48, "setup_score": 0.3, "setup_type": "Swing Low + Volume Support Buy Zone", "sizing_adjustment_reason": "", "spread_source": "liquidity_fallback", "stock_score": 0.3, "stop_loss": 123.18, "target_1": 133.5, "target_1_atr_distance": 2.3236, "target_2": 140.73, "target_2_atr_distance": 4.4236, "target_feasibility_status": "OK", "theoretical_entry": 127.31, "ticker": "GILD", "timestamp": "2026-06-09T22:17:12", "warnings": []}</t>
        </is>
      </c>
    </row>
    <row r="517">
      <c r="A517" t="inlineStr">
        <is>
          <t>2026-06-09T22:17:12</t>
        </is>
      </c>
      <c r="B517" t="inlineStr">
        <is>
          <t>MKC</t>
        </is>
      </c>
      <c r="C517" t="inlineStr">
        <is>
          <t>Breakout + Retest</t>
        </is>
      </c>
      <c r="D517" t="n">
        <v>0.3</v>
      </c>
      <c r="E517" t="n">
        <v>48.63</v>
      </c>
      <c r="F517" t="n">
        <v>47.02</v>
      </c>
      <c r="G517" t="n">
        <v>48.45</v>
      </c>
      <c r="H517" t="n">
        <v>46.31</v>
      </c>
      <c r="I517" t="n">
        <v>50.07</v>
      </c>
      <c r="J517" t="n">
        <v>54.03</v>
      </c>
      <c r="K517" t="n">
        <v>1.22</v>
      </c>
      <c r="L517" t="inlineStr">
        <is>
          <t>Price (48.63) retesting broken resistance (48.45) as support. Breakout on 2026-06-09 with 1.0× avg volume. Entry at 48.63, stop at 46.31.</t>
        </is>
      </c>
      <c r="M517" t="inlineStr">
        <is>
          <t>WATCH</t>
        </is>
      </c>
      <c r="N517" t="inlineStr">
        <is>
          <t>WATCH: Technical setup detected, but weighted risk/reward 1.22 is below minimum 2.00. Market regime NEUTRAL; sector NEUTRAL; net R/R 1.00.</t>
        </is>
      </c>
      <c r="O517" t="inlineStr">
        <is>
          <t>MKC
Breakout + Retest
0.30
score
Price
48.63
R/R
1.22x
Grade
B
Quality
66%
Buy Zone
47.02 - 48.45
Stop
46.31
Targets
50.07 / 54.03
Tradable if trigger confirms
Mixed
Relative Strength
Leadership
100%
Trend Quality
Messy
18%
Liquidity
Institutional liquidity
100%
Volume
Neutral
65%
Trigger
Close above 48.63 or reclaim of broken resistance.
Invalidation
Exit if price closes below 46.31 or setup support fails.
Trend quality is not clean.
Market regime: Mixed.
Relative strength: Leadership.
Price (48.63) retesting broken resistance (48.45) as support. Breakout on 2026-06-09 with 1.0× avg volume. Entry at 48.63, stop at 46.31.
Fib 61.8
46.21
Fib Zone
45.85 - 46.56
Swing Low
44.82
Swing High
48.45
Save setup
Click chart to open full size</t>
        </is>
      </c>
      <c r="P517" t="inlineStr">
        <is>
          <t>agent_results/charts/market_lens_agent_20260609_221351_mkc.png</t>
        </is>
      </c>
      <c r="Q517" t="inlineStr">
        <is>
          <t>Smart Universe: broad liquid US universe, diversified by sector | Sector: Consumer Defensive - Neutral (56/100); XLP sector regime is neutral: -0.0% 3m return, -9.3% vs SPY | Setup: Breakout + Retest; score 0.30; R/R 1.22x; price 48.63 | Market: NEUTRAL; Sector regime: NEUTRAL; Net R/R: 1.00; Factors: Consumer Defensive, Defensive, Low Volatility | Agent action: WATCH - WATCH: Technical setup detected, but weighted risk/reward 1.22 is below minimum 2.00. Market regime NEUTRAL; sector NEUTRAL; net R/R 1.00.</t>
        </is>
      </c>
      <c r="R517" t="inlineStr">
        <is>
          <t>{"adjusted_cash_out": 0.0, "adjusted_position_size": 0, "adjusted_risk_amount": 0.0, "ask": 0.0, "bid": 0.0, "buy_zone_high": 48.45, "buy_zone_low": 47.02, "cash_available": 93936.04, "company_name": "McCormick &amp; Company", "correlation_warning": false, "days_to_earnings": 12, "earnings_blackout": false, "earnings_date": "2026-06-25T00:00:00", "estimated_fees": 0.0, "estimated_slippage": 0.2432, "estimated_spread": 0.0389, "executable_entry": 48.63, "execution_liquidity_bucket": "mid_liquid", "factor_exposure_after": {"Industrials": 5823.9}, "factor_exposure_before": {"Industrials": 5823.9}, "factor_exposure_cap": 7000.0, "factor_exposure_limit_exceeded": false, "factor_tags": ["Consumer Defensive", "Defensive", "Low Volatility"], "final_action": "WATCH", "gross_reward_1_per_share": 1.44, "gross_reward_2_per_share": 5.4, "gross_risk_per_share": 2.32, "gross_rr": 1.2181, "gross_rr_1": 0.6207, "gross_rr_2": 2.3276, "gross_rr_decision": 1.2181, "highest_correlation_ticker": "HON", "highest_correlation_value": 0.1631, "initial_action": "WATCH", "market_cap": 13073844860.01, "market_cap_bucket": "Large Cap", "market_regime": "NEUTRAL", "market_regime_indicators": {"DXY": {"ema20": 99.2942, "ema200": 98.8369, "ema50": 98.9934, "price": 99.995, "return_1m": 2.1, "return_3m": 0.77, "trend": "bullish"}, "IWM": {"ema20": 284.7893, "ema200": 267.9198, "ema50": 277.468, "price": 285.02, "return_1m": -0.11, "return_3m": 12.92, "trend": "bullish"}, "QQQ": {"ema20": 716.5162, "ema200": 652.2513, "ema50": 685.3183, "price": 707.83, "return_1m": -0.77, "return_3m": 16.63, "trend": "mixed"}, "SPY": {"ema20": 742.6635, "ema200": 703.9929, "ema50": 724.2728, "price": 737.05, "return_1m": -0.3, "return_3m": 9.28, "trend": "mixed"}, "US10Y": {"ema20": 4.4925, "ema200": 4.3206, "ema50": 4.4213, "price": 4.528, "return_1m": 2.68, "return_3m": 7.6, "trend": "bullish"}, "VIX": {"ema20": 17.6095, "ema200": 18.8385, "ema50": 18.4664, "price": 19.87, "return_1m": 10.45, "return_3m": -27.19, "trend": "mixed"}}, "market_regime_reason": "Market regime is mixed; use lower exposure and higher net R/R.", "market_regime_score": 0.52, "market_structure_status": "SUPPORTED_BY_63D_RESISTANCE", "minimum_net_rr_required": 2.5, "net_entry": 48.771, "net_reward_1_per_share": 1.2187, "net_reward_2_per_share": 5.1787, "net_risk_per_share": 2.6021, "net_rr": 1.001, "net_rr_1": 0.4684, "net_rr_2": 1.9902, "net_stop_assumption": 46.169, "net_target_1_assumption": 49.9898, "net_target_2_assumption": 53.9498, "normalized_atr_score": 100.0, "normalized_liquidity_score": 25.16, "normalized_momentum_score": 0, "normalized_quality_score": 32.55,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48.93, "price": 48.63, "prior_high_20": 48.93, "prior_high_63": 63.8707, "reason": "WATCH: Technical setup detected, but weighted risk/reward 1.22 is below minimum 2.00. Market regime NEUTRAL; sector NEUTRAL; net R/R 1.00.",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56.24, "setup_score": 0.3, "setup_type": "Breakout + Retest", "sizing_adjustment_reason": "", "spread_source": "liquidity_fallback", "stock_score": 0.3, "stop_loss": 46.31, "target_1": 50.07, "target_1_atr_distance": 1.0092, "target_2": 54.03, "target_2_atr_distance": 3.7844, "target_feasibility_status": "OK", "theoretical_entry": 47.02, "ticker": "MKC", "timestamp": "2026-06-09T22:17:12", "warnings": []}</t>
        </is>
      </c>
    </row>
    <row r="518">
      <c r="A518" t="inlineStr">
        <is>
          <t>2026-06-10T13:39:21</t>
        </is>
      </c>
      <c r="B518" t="inlineStr">
        <is>
          <t>HON</t>
        </is>
      </c>
      <c r="C518" t="inlineStr">
        <is>
          <t>Fib 61.8 Confluence Buy Zone</t>
        </is>
      </c>
      <c r="D518" t="n">
        <v>0.52</v>
      </c>
      <c r="E518" t="n">
        <v>211.12</v>
      </c>
      <c r="F518" t="n">
        <v>209.58</v>
      </c>
      <c r="G518" t="n">
        <v>212.64</v>
      </c>
      <c r="H518" t="n">
        <v>201.8</v>
      </c>
      <c r="I518" t="n">
        <v>212.18</v>
      </c>
      <c r="J518" t="n">
        <v>243.08</v>
      </c>
      <c r="K518" t="n">
        <v>1.27</v>
      </c>
      <c r="L518" t="inlineStr">
        <is>
          <t>Price at 61.8% fib retracement (211.11) with confluence at VAL, VWAP. Planned entry at zone low 209.58; executable entry 211.12, stop below fib 78.6% at 201.80. Structural confluence: swing low at 211.50 aligns with VAL (211.66).</t>
        </is>
      </c>
      <c r="M518" t="inlineStr">
        <is>
          <t>HOLD</t>
        </is>
      </c>
      <c r="N518" t="inlineStr">
        <is>
          <t>HOLD: Existing simulated position remains open. NEUTRAL regime recorded.</t>
        </is>
      </c>
      <c r="O518" t="inlineStr">
        <is>
          <t>HON
Fib 61.8 Confluence Buy Zone
0.52
score
Price
211.12
R/R
1.27x
Grade
B
Quality
71%
Buy Zone
209.58 - 212.64
Stop
201.80
Targets
212.18 / 243.08
Tradable if trigger confirms
Mixed
Relative Strength
Leadership
99%
Trend Quality
Messy
28%
Liquidity
Institutional liquidity
100%
Volume
Confirmed
80%
Trigger
Break above prior-day high at 216.21 after holding buy zone.
Invalidation
Exit if price closes below 201.80 or setup support fails.
Trend quality is not clean.
Market regime: Mixed.
Relative strength: Leadership.
Price at 61.8% fib retracement (211.11) with confluence at VAL, VWAP. Planned entry at zone low 209.58; executable entry 211.12, stop below fib 78.6% at 201.80. Structural confluence: swing low at 211.50 aligns with VAL (211.66).
Fib 61.8
211.11
Fib Zone
209.58 - 212.64
Swing Low
191.34
Swing High
243.08
Save setup
Click chart to open full size</t>
        </is>
      </c>
      <c r="P518" t="inlineStr">
        <is>
          <t>agent_results/charts/market_lens_agent_20260610_133231_hon.png</t>
        </is>
      </c>
      <c r="Q518"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R518"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row r="519">
      <c r="A519" t="inlineStr">
        <is>
          <t>2026-06-10T13:39:21</t>
        </is>
      </c>
      <c r="B519" t="inlineStr">
        <is>
          <t>MDB</t>
        </is>
      </c>
      <c r="C519" t="inlineStr">
        <is>
          <t>Fib 61.8 Confluence Buy Zone</t>
        </is>
      </c>
      <c r="D519" t="n">
        <v>0.48</v>
      </c>
      <c r="E519" t="n">
        <v>341.63</v>
      </c>
      <c r="F519" t="n">
        <v>332.26</v>
      </c>
      <c r="G519" t="n">
        <v>344.31</v>
      </c>
      <c r="H519" t="n">
        <v>315.84</v>
      </c>
      <c r="I519" t="n">
        <v>352.36</v>
      </c>
      <c r="J519" t="n">
        <v>412</v>
      </c>
      <c r="K519" t="n">
        <v>1.23</v>
      </c>
      <c r="L519" t="inlineStr">
        <is>
          <t>Price at 61.8% fib retracement (338.29) with confluence at VWAP. Planned entry at zone low 332.26; executable entry 341.62, stop below fib 78.6% at 315.84.</t>
        </is>
      </c>
      <c r="M519" t="inlineStr">
        <is>
          <t>WATCH</t>
        </is>
      </c>
      <c r="N519" t="inlineStr">
        <is>
          <t>WATCH: Technical setup detected, but weighted risk/reward 1.23 is below minimum 2.00. Market regime NEUTRAL; sector STRONG; net R/R 1.18.</t>
        </is>
      </c>
      <c r="O519" t="inlineStr">
        <is>
          <t>MDB
Fib 61.8 Confluence Buy Zone
0.48
score
Price
341.63
R/R
1.23x
Grade
B
Quality
75%
Buy Zone
332.26 - 344.31
Stop
315.84
Targets
352.36 / 412.00
Tradable if trigger confirms
Mixed
Relative Strength
Leadership
100%
Trend Quality
Clean uptrend
86%
Liquidity
Institutional liquidity
100%
Volume
Confirmed
80%
Trigger
Break above prior-day high at 356.46 after holding buy zone.
Invalidation
Exit if price closes below 315.84 or setup support fails.
Recent large gap increases volatility risk.
Market regime: Mixed.
Relative strength: Leadership.
Price at 61.8% fib retracement (338.29) with confluence at VWAP. Planned entry at zone low 332.26; executable entry 341.62, stop below fib 78.6% at 315.84.
Fib 61.8
338.29
Fib Zone
332.26 - 344.31
Swing Low
292.72
Swing High
412.00
Save setup
Click chart to open full size</t>
        </is>
      </c>
      <c r="P519" t="inlineStr">
        <is>
          <t>agent_results/charts/market_lens_agent_20260610_133231_mdb.png</t>
        </is>
      </c>
      <c r="Q519" t="inlineStr">
        <is>
          <t>Smart Universe: broad liquid US universe, diversified by sector | Sector: Technology - Strong (75/100); XLK sector regime is strong: 30.4% 3m return, 19.8% vs SPY | Setup: Fib 61.8 Confluence Buy Zone; score 0.48; R/R 1.23x; price 341.63 | Market: NEUTRAL; Sector regime: STRONG; Net R/R: 1.18; Factors: Technology | Agent action: WATCH - WATCH: Technical setup detected, but weighted risk/reward 1.23 is below minimum 2.00. Market regime NEUTRAL; sector STRONG; net R/R 1.18.</t>
        </is>
      </c>
      <c r="R519" t="inlineStr">
        <is>
          <t>{"adjusted_cash_out": 0.0, "adjusted_position_size": 0, "adjusted_risk_amount": 0.0, "ask": 0.0, "bid": 0.0, "buy_zone_high": 344.31, "buy_zone_low": 332.26, "cash_available": 93936.04, "company_name": "MongoDB Inc.", "correlation_warning": false, "days_to_earnings": null, "earnings_blackout": false, "earnings_date": "", "estimated_fees": 0.0, "estimated_slippage": 0.55, "estimated_spread": 0.1025, "executable_entry": 341.63, "execution_liquidity_bucket": "large_liquid", "factor_exposure_after": {"Industrials": 5700.24}, "factor_exposure_before": {"Industrials": 5700.24}, "factor_exposure_cap": 7000.0, "factor_exposure_limit_exceeded": false, "factor_tags": ["Technology"], "final_action": "WATCH", "gross_reward_1_per_share": 10.73, "gross_reward_2_per_share": 70.37, "gross_risk_per_share": 25.79, "gross_rr": 1.2254, "gross_rr_1": 0.4161, "gross_rr_2": 2.7286, "gross_rr_decision": 1.2254, "highest_correlation_ticker": "HON", "highest_correlation_value": 0.0562, "initial_action": "WATCH", "market_cap": 27613084662.0,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341.9563, "net_reward_1_per_share": 10.215, "net_reward_2_per_share": 69.855, "net_risk_per_share": 26.4425, "net_rr": 1.1757, "net_rr_1": 0.3863, "net_rr_2": 2.6418, "net_stop_assumption": 315.5137, "net_target_1_assumption": 352.1712, "net_target_2_assumption": 411.8112, "normalized_atr_score": 85.96, "normalized_liquidity_score": 66.25, "normalized_momentum_score": 100, "normalized_quality_score": 86.36,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412.0, "price": 341.63, "prior_high_20": 412.0, "prior_high_63": 412.0, "reason": "WATCH: Technical setup detected, but weighted risk/reward 1.23 is below minimum 2.00. Market regime NEUTRAL; sector STRONG; net R/R 1.18.",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0.48, "setup_type": "Fib 61.8 Confluence Buy Zone", "sizing_adjustment_reason": "", "spread_source": "liquidity_fallback", "stock_score": 0.48, "stop_loss": 315.84, "target_1": 352.36, "target_1_atr_distance": 0.4437, "target_2": 412.0, "target_2_atr_distance": 2.9097, "target_feasibility_status": "LOW_REWARD_DISTANCE", "theoretical_entry": 332.26, "ticker": "MDB", "timestamp": "2026-06-10T13:39:21", "warnings": ["SPY data unavailable: Too Many Requests. Rate limited. Try after a while.", "Earnings data unavailable.", "Target 1 is close versus daily ATR."]}</t>
        </is>
      </c>
    </row>
    <row r="520">
      <c r="A520" t="inlineStr">
        <is>
          <t>2026-06-10T13:39:21</t>
        </is>
      </c>
      <c r="B520" t="inlineStr">
        <is>
          <t>ORCL</t>
        </is>
      </c>
      <c r="C520" t="inlineStr">
        <is>
          <t>Breakout + Retest</t>
        </is>
      </c>
      <c r="D520" t="n">
        <v>0.44</v>
      </c>
      <c r="E520" t="n">
        <v>201.17</v>
      </c>
      <c r="F520" t="n">
        <v>188.03</v>
      </c>
      <c r="G520" t="n">
        <v>200.71</v>
      </c>
      <c r="H520" t="n">
        <v>181.69</v>
      </c>
      <c r="I520" t="n">
        <v>219.06</v>
      </c>
      <c r="J520" t="n">
        <v>250.25</v>
      </c>
      <c r="K520" t="n">
        <v>1.48</v>
      </c>
      <c r="L520" t="inlineStr">
        <is>
          <t>Price (201.17) retesting broken resistance (200.71) as support. Breakout on 2026-05-28 with 1.3× avg volume. Entry at 201.17, stop at 181.69.</t>
        </is>
      </c>
      <c r="M520" t="inlineStr">
        <is>
          <t>WATCH</t>
        </is>
      </c>
      <c r="N520" t="inlineStr">
        <is>
          <t>WATCH: Technical setup detected, but weighted risk/reward 1.48 is below minimum 2.00. Market regime NEUTRAL; sector STRONG; net R/R 1.39.</t>
        </is>
      </c>
      <c r="O520" t="inlineStr">
        <is>
          <t>ORCL
Breakout + Retest
0.44
score
Price
201.17
R/R
1.48x
Grade
A
Quality
80%
Buy Zone
188.03 - 200.71
Stop
181.69
Targets
219.06 / 250.25
High-quality watchlist candidate
Mixed
Relative Strength
Leadership
100%
Trend Quality
Constructive
68%
Liquidity
Institutional liquidity
100%
Volume
Confirmed
80%
Trigger
Close above 220.50 or reclaim of broken resistance.
Invalidation
Exit if price closes below 181.69 or setup support fails.
Market regime: Mixed.
Relative strength: Leadership.
Price (201.17) retesting broken resistance (200.71) as support. Breakout on 2026-05-28 with 1.3× avg volume. Entry at 201.17, stop at 181.69.
Fib 61.8
206.09
Fib Zone
202.92 - 209.26
Swing Low
178.80
Swing High
250.25
Save setup
Click chart to open full size</t>
        </is>
      </c>
      <c r="P520" t="inlineStr">
        <is>
          <t>agent_results/charts/market_lens_agent_20260610_133231_orcl.png</t>
        </is>
      </c>
      <c r="Q520" t="inlineStr">
        <is>
          <t>Smart Universe: broad liquid US universe, diversified by sector | Sector: Technology - Strong (75/100); XLK sector regime is strong: 30.4% 3m return, 19.8% vs SPY | Setup: Breakout + Retest; score 0.44; R/R 1.48x; price 201.17 | Market: NEUTRAL; Sector regime: STRONG; Net R/R: 1.39; Factors: Technology | Agent action: WATCH - WATCH: Technical setup detected, but weighted risk/reward 1.48 is below minimum 2.00. Market regime NEUTRAL; sector STRONG; net R/R 1.39.</t>
        </is>
      </c>
      <c r="R520" t="inlineStr">
        <is>
          <t>{"adjusted_cash_out": 0.0, "adjusted_position_size": 0, "adjusted_risk_amount": 0.0, "ask": 0.0, "bid": 0.0, "buy_zone_high": 200.71, "buy_zone_low": 188.03, "cash_available": 93936.04, "company_name": "Oracle Corporation", "correlation_warning": false, "days_to_earnings": null, "earnings_blackout": false, "earnings_date": "", "estimated_fees": 0.0, "estimated_slippage": 0.7866, "estimated_spread": 0.0604, "executable_entry": 201.17, "execution_liquidity_bucket": "large_liquid", "factor_exposure_after": {"Industrials": 5700.24}, "factor_exposure_before": {"Industrials": 5700.24}, "factor_exposure_cap": 7000.0, "factor_exposure_limit_exceeded": false, "factor_tags": ["Technology"], "final_action": "WATCH", "gross_reward_1_per_share": 17.89, "gross_reward_2_per_share": 49.08, "gross_risk_per_share": 19.48, "gross_rr": 1.4788, "gross_rr_1": 0.9184, "gross_rr_2": 2.5195, "gross_rr_decision": 1.4788, "highest_correlation_ticker": "HON", "highest_correlation_value": 0.12, "initial_action": "WATCH", "market_cap": 584297515892.4,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201.5935, "net_reward_1_per_share": 17.2397, "net_reward_2_per_share": 48.4297, "net_risk_per_share": 20.3269, "net_rr": 1.3852, "net_rr_1": 0.8481, "net_rr_2": 2.3825, "net_stop_assumption": 181.2665, "net_target_1_assumption": 218.8332, "net_target_2_assumption": 250.0232, "normalized_atr_score": 84.99, "normalized_liquidity_score": 74.71, "normalized_momentum_score": 100, "normalized_quality_score": 88.66,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250.25, "price": 201.17, "prior_high_20": 250.25, "prior_high_63": 250.25, "reason": "WATCH: Technical setup detected, but weighted risk/reward 1.48 is below minimum 2.00. Market regime NEUTRAL; sector STRONG; net R/R 1.39.",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0.44, "setup_type": "Breakout + Retest", "sizing_adjustment_reason": "", "spread_source": "liquidity_fallback", "stock_score": 0.44, "stop_loss": 181.69, "target_1": 219.06, "target_1_atr_distance": 1.4111, "target_2": 250.25, "target_2_atr_distance": 3.8712, "target_feasibility_status": "OK", "theoretical_entry": 188.03, "ticker": "ORCL", "timestamp": "2026-06-10T13:39:21", "warnings": ["SPY data unavailable: Too Many Requests. Rate limited. Try after a while.", "Earnings data unavailable."]}</t>
        </is>
      </c>
    </row>
    <row r="521">
      <c r="A521" t="inlineStr">
        <is>
          <t>2026-06-10T13:39:21</t>
        </is>
      </c>
      <c r="B521" t="inlineStr">
        <is>
          <t>GLW</t>
        </is>
      </c>
      <c r="C521" t="inlineStr">
        <is>
          <t>Breakout + Retest</t>
        </is>
      </c>
      <c r="D521" t="n">
        <v>0.42</v>
      </c>
      <c r="E521" t="n">
        <v>174.84</v>
      </c>
      <c r="F521" t="n">
        <v>164.97</v>
      </c>
      <c r="G521" t="n">
        <v>178.81</v>
      </c>
      <c r="H521" t="n">
        <v>158.05</v>
      </c>
      <c r="I521" t="n">
        <v>186.92</v>
      </c>
      <c r="J521" t="n">
        <v>208.57</v>
      </c>
      <c r="K521" t="n">
        <v>1.17</v>
      </c>
      <c r="L521" t="inlineStr">
        <is>
          <t>Price (174.84) retesting broken resistance (178.81) as support. Breakout on 2026-05-06 with 3.1× avg volume. Volume confirmed breakout. Entry at 174.84, stop at 158.05.</t>
        </is>
      </c>
      <c r="M521" t="inlineStr">
        <is>
          <t>WATCH</t>
        </is>
      </c>
      <c r="N521" t="inlineStr">
        <is>
          <t>WATCH: Technical setup detected, but weighted risk/reward 1.17 is below minimum 2.00. Market regime NEUTRAL; sector STRONG; net R/R 1.09.</t>
        </is>
      </c>
      <c r="O521" t="inlineStr">
        <is>
          <t>GLW
Breakout + Retest
0.42
score
Price
174.84
R/R
1.17x
Grade
C
Quality
58%
Buy Zone
164.97 - 178.81
Stop
158.05
Targets
186.92 / 208.57
Watch only; needs confirmation
Mixed
Relative Strength
Leadership
100%
Trend Quality
Messy
28%
Liquidity
Institutional liquidity
100%
Volume
Distribution risk
45%
Trigger
Close above 190.41 or reclaim of broken resistance.
Invalidation
Exit if price closes below 158.05 or setup support fails.
Trend quality is not clean.
Recent volume shows distribution risk.
Recent large gap increases volatility risk.
Market regime: Mixed.
Relative strength: Leadership.
Price (174.84) retesting broken resistance (178.81) as support. Breakout on 2026-05-06 with 3.1× avg volume. Volume confirmed breakout. Entry at 174.84, stop at 158.05.
Fib 61.8
184.45
Fib Zone
180.99 - 187.91
Swing Low
169.54
Swing High
208.57
Save setup
Click chart to open full size</t>
        </is>
      </c>
      <c r="P521" t="inlineStr">
        <is>
          <t>agent_results/charts/market_lens_agent_20260610_133231_glw.png</t>
        </is>
      </c>
      <c r="Q521" t="inlineStr">
        <is>
          <t>Smart Universe: broad liquid US universe, diversified by sector | Sector: Technology - Strong (75/100); XLK sector regime is strong: 30.4% 3m return, 19.8% vs SPY | Setup: Breakout + Retest; score 0.42; R/R 1.17x; price 174.84 | Market: NEUTRAL; Sector regime: STRONG; Net R/R: 1.09; Factors: Technology | Agent action: WATCH - WATCH: Technical setup detected, but weighted risk/reward 1.17 is below minimum 2.00. Market regime NEUTRAL; sector STRONG; net R/R 1.09.</t>
        </is>
      </c>
      <c r="R521" t="inlineStr">
        <is>
          <t>{"adjusted_cash_out": 0.0, "adjusted_position_size": 0, "adjusted_risk_amount": 0.0, "ask": 0.0, "bid": 0.0, "buy_zone_high": 178.81, "buy_zone_low": 164.97, "cash_available": 93936.04, "company_name": "Corning Inc.", "correlation_warning": false, "days_to_earnings": null, "earnings_blackout": false, "earnings_date": "", "estimated_fees": 0.0, "estimated_slippage": 0.6836, "estimated_spread": 0.0525, "executable_entry": 174.84, "execution_liquidity_bucket": "large_liquid", "factor_exposure_after": {"Industrials": 5700.24}, "factor_exposure_before": {"Industrials": 5700.24}, "factor_exposure_cap": 7000.0, "factor_exposure_limit_exceeded": false, "factor_tags": ["Technology"], "final_action": "WATCH", "gross_reward_1_per_share": 12.08, "gross_reward_2_per_share": 33.73, "gross_risk_per_share": 16.79, "gross_rr": 1.1708, "gross_rr_1": 0.7195, "gross_rr_2": 2.0089, "gross_rr_decision": 1.1708, "highest_correlation_ticker": "HON", "highest_correlation_value": 0.3934, "initial_action": "WATCH", "market_cap": 152229622688.33,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175.208, "net_reward_1_per_share": 11.5148, "net_reward_2_per_share": 33.1648, "net_risk_per_share": 17.5261, "net_rr": 1.0894, "net_rr_1": 0.657, "net_rr_2": 1.8923, "net_stop_assumption": 157.682, "net_target_1_assumption": 186.7229, "net_target_2_assumption": 208.3729, "normalized_atr_score": 78.19, "normalized_liquidity_score": 92.31, "normalized_momentum_score": 100, "normalized_quality_score": 92.24,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211.4659, "price": 174.84, "prior_high_20": 211.4659, "prior_high_63": 211.4659, "reason": "WATCH: Technical setup detected, but weighted risk/reward 1.17 is below minimum 2.00. Market regime NEUTRAL; sector STRONG; net R/R 1.09.",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0.42, "setup_type": "Breakout + Retest", "sizing_adjustment_reason": "", "spread_source": "liquidity_fallback", "stock_score": 0.42, "stop_loss": 158.05, "target_1": 186.92, "target_1_atr_distance": 0.8646, "target_2": 208.57, "target_2_atr_distance": 2.414, "target_feasibility_status": "OK", "theoretical_entry": 164.97, "ticker": "GLW", "timestamp": "2026-06-10T13:39:21", "warnings": ["SPY data unavailable: Too Many Requests. Rate limited. Try after a while.", "Earnings data unavailable."]}</t>
        </is>
      </c>
    </row>
    <row r="522">
      <c r="A522" t="inlineStr">
        <is>
          <t>2026-06-10T13:39:21</t>
        </is>
      </c>
      <c r="B522" t="inlineStr">
        <is>
          <t>SLB</t>
        </is>
      </c>
      <c r="C522" t="inlineStr">
        <is>
          <t>Breakout + Retest</t>
        </is>
      </c>
      <c r="D522" t="n">
        <v>0.37</v>
      </c>
      <c r="E522" t="n">
        <v>55.65</v>
      </c>
      <c r="F522" t="n">
        <v>55.14</v>
      </c>
      <c r="G522" t="n">
        <v>56.9</v>
      </c>
      <c r="H522" t="n">
        <v>54.26</v>
      </c>
      <c r="I522" t="n">
        <v>57.26</v>
      </c>
      <c r="J522" t="n">
        <v>58.51</v>
      </c>
      <c r="K522" t="n">
        <v>1.47</v>
      </c>
      <c r="L522" t="inlineStr">
        <is>
          <t>Price (55.65) retesting broken resistance (56.90) as support. Breakout on 2026-05-20 with 0.9× avg volume. Entry at 55.65, stop at 54.26.</t>
        </is>
      </c>
      <c r="M522" t="inlineStr">
        <is>
          <t>WATCH</t>
        </is>
      </c>
      <c r="N522" t="inlineStr">
        <is>
          <t>WATCH: Technical setup detected, but weighted risk/reward 1.47 is below minimum 2.00. Market regime NEUTRAL; sector NEUTRAL; net R/R 1.18.</t>
        </is>
      </c>
      <c r="O522" t="inlineStr">
        <is>
          <t>SLB
Breakout + Retest
0.37
score
Price
55.65
R/R
1.47x
Grade
B
Quality
72%
Buy Zone
55.14 - 56.90
Stop
54.26
Targets
57.26 / 58.51
Tradable if trigger confirms
Mixed
Relative Strength
Leadership
85%
Trend Quality
Constructive
68%
Liquidity
Institutional liquidity
100%
Volume
Distribution risk
45%
Trigger
Close above 56.90 or reclaim of broken resistance.
Invalidation
Exit if price closes below 54.26 or setup support fails.
Recent volume shows distribution risk.
Market regime: Mixed.
Relative strength: Leadership.
Price (55.65) retesting broken resistance (56.90) as support. Breakout on 2026-05-20 with 0.9× avg volume. Entry at 55.65, stop at 54.26.
Fib 61.8
54.77
Fib Zone
54.33 - 55.21
Swing Low
52.45
Swing High
58.51
Save setup
Click chart to open full size</t>
        </is>
      </c>
      <c r="P522" t="inlineStr">
        <is>
          <t>agent_results/charts/market_lens_agent_20260610_133231_slb.png</t>
        </is>
      </c>
      <c r="Q522" t="inlineStr">
        <is>
          <t>Smart Universe: broad liquid US universe, diversified by sector | Sector: Energy - Neutral (65/100); XLE sector regime is neutral: 1.6% 3m return, -9.0% vs SPY | Setup: Breakout + Retest; score 0.37; R/R 1.47x; price 55.65 | Market: NEUTRAL; Sector regime: NEUTRAL; Net R/R: 1.18; Factors: Energy | Agent action: WATCH - WATCH: Technical setup detected, but weighted risk/reward 1.47 is below minimum 2.00. Market regime NEUTRAL; sector NEUTRAL; net R/R 1.18.</t>
        </is>
      </c>
      <c r="R522" t="inlineStr">
        <is>
          <t>{"adjusted_cash_out": 0.0, "adjusted_position_size": 0, "adjusted_risk_amount": 0.0, "ask": 0.0, "bid": 0.0, "buy_zone_high": 56.9, "buy_zone_low": 55.14, "cash_available": 93936.04, "company_name": "Schlumberger Limited", "correlation_warning": false, "days_to_earnings": null, "earnings_blackout": false, "earnings_date": "", "estimated_fees": 0.0, "estimated_slippage": 0.1892, "estimated_spread": 0.0167, "executable_entry": 55.65, "execution_liquidity_bucket": "large_liquid", "factor_exposure_after": {"Industrials": 5700.24}, "factor_exposure_before": {"Industrials": 5700.24}, "factor_exposure_cap": 7000.0, "factor_exposure_limit_exceeded": false, "factor_tags": ["Energy"], "final_action": "WATCH", "gross_reward_1_per_share": 1.61, "gross_reward_2_per_share": 2.86, "gross_risk_per_share": 1.39, "gross_rr": 1.473, "gross_rr_1": 1.1583, "gross_rr_2": 2.0576, "gross_rr_decision": 1.473, "highest_correlation_ticker": "HON", "highest_correlation_value": 0.22, "initial_action": "WATCH", "market_cap": 83783032691.21,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2.5, "net_entry": 55.753, "net_reward_1_per_share": 1.4514, "net_reward_2_per_share": 2.7014, "net_risk_per_share": 1.5959, "net_rr": 1.1836, "net_rr_1": 0.9095, "net_rr_2": 1.6927, "net_stop_assumption": 54.157, "net_target_1_assumption": 57.2043, "net_target_2_assumption": 58.4543, "normalized_atr_score": 100.0, "normalized_liquidity_score": 56.62, "normalized_momentum_score": 100, "normalized_quality_score": 86.99,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58.5132, "price": 55.65, "prior_high_20": 58.5132, "prior_high_63": 58.5132, "reason": "WATCH: Technical setup detected, but weighted risk/reward 1.47 is below minimum 2.00. Market regime NEUTRAL; sector NEUTRAL; net R/R 1.18.",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0.37, "setup_type": "Breakout + Retest", "sizing_adjustment_reason": "", "spread_source": "liquidity_fallback", "stock_score": 0.37, "stop_loss": 54.26, "target_1": 57.26, "target_1_atr_distance": 0.9031, "target_2": 58.51, "target_2_atr_distance": 1.6043, "target_feasibility_status": "OK", "theoretical_entry": 55.14, "ticker": "SLB", "timestamp": "2026-06-10T13:39:21", "warnings": ["SPY data unavailable: Too Many Requests. Rate limited. Try after a while.", "Earnings data unavailable."]}</t>
        </is>
      </c>
    </row>
    <row r="523">
      <c r="A523" t="inlineStr">
        <is>
          <t>2026-06-10T13:39:21</t>
        </is>
      </c>
      <c r="B523" t="inlineStr">
        <is>
          <t>V</t>
        </is>
      </c>
      <c r="C523" t="inlineStr">
        <is>
          <t>Fib 61.8 Confluence Buy Zone</t>
        </is>
      </c>
      <c r="D523" t="n">
        <v>0.36</v>
      </c>
      <c r="E523" t="n">
        <v>322.22</v>
      </c>
      <c r="F523" t="n">
        <v>321.27</v>
      </c>
      <c r="G523" t="n">
        <v>324.77</v>
      </c>
      <c r="H523" t="n">
        <v>319.01</v>
      </c>
      <c r="I523" t="n">
        <v>323.78</v>
      </c>
      <c r="J523" t="n">
        <v>338.49</v>
      </c>
      <c r="K523" t="n">
        <v>2.09</v>
      </c>
      <c r="L523" t="inlineStr">
        <is>
          <t>Price at 61.8% fib retracement (323.02) with confluence at POC, VWAP. Planned entry at zone low 321.27; executable entry 322.22, stop below fib 78.6% at 319.01.</t>
        </is>
      </c>
      <c r="M523" t="inlineStr">
        <is>
          <t>WATCH</t>
        </is>
      </c>
      <c r="N523" t="inlineStr">
        <is>
          <t>WATCH: Neutral market requires stronger setup score (0.36 &lt; 0.45).</t>
        </is>
      </c>
      <c r="O523" t="inlineStr">
        <is>
          <t>V
Fib 61.8 Confluence Buy Zone
0.36
score
Price
322.22
R/R
2.09x
Grade
B
Quality
68%
Buy Zone
321.27 - 324.77
Stop
319.01
Targets
323.78 / 338.49
Tradable if trigger confirms
Mixed
Relative Strength
Leadership
78%
Trend Quality
Constructive
58%
Liquidity
Institutional liquidity
100%
Volume
Distribution risk
30%
Trigger
Break above prior-day high at 325.49 after holding buy zone.
Invalidation
Exit if price closes below 319.01 or setup support fails.
Recent volume shows distribution risk.
Market regime: Mixed.
Relative strength: Leadership.
Price at 61.8% fib retracement (323.02) with confluence at POC, VWAP. Planned entry at zone low 321.27; executable entry 322.22, stop below fib 78.6% at 319.01.
Fib 61.8
323.02
Fib Zone
321.27 - 324.77
Swing Low
315.51
Swing High
335.17
Save setup
Click chart to open full size</t>
        </is>
      </c>
      <c r="P523" t="inlineStr">
        <is>
          <t>agent_results/charts/market_lens_agent_20260610_133231_v.png</t>
        </is>
      </c>
      <c r="Q523" t="inlineStr">
        <is>
          <t>Smart Universe: broad liquid US universe, diversified by sector | Sector: Financials - Strong (72/100); XLF sector regime is strong: 7.9% 3m return, -2.7% vs SPY | Setup: Fib 61.8 Confluence Buy Zone; score 0.36; R/R 2.09x; price 322.22 | Market: NEUTRAL; Sector regime: STRONG; Net R/R: 1.67; Factors: Financials | Agent action: WATCH - WATCH: Neutral market requires stronger setup score (0.36 &lt; 0.45).</t>
        </is>
      </c>
      <c r="R523" t="inlineStr">
        <is>
          <t>{"adjusted_cash_out": 5799.96, "adjusted_position_size": 18, "adjusted_risk_amount": 57.78, "ask": 0.0, "bid": 0.0, "buy_zone_high": 324.77, "buy_zone_low": 321.27, "cash_available": 93936.04, "company_name": "Visa Inc.", "correlation_warning": false, "days_to_earnings": null, "earnings_blackout": false, "earnings_date": "", "estimated_fees": 0.0, "estimated_slippage": 0.4511, "estimated_spread": 0.0967, "executable_entry": 322.22, "execution_liquidity_bucket": "large_liquid", "factor_exposure_after": {"Financials": 5799.96, "Industrials": 5700.24}, "factor_exposure_before": {"Industrials": 5700.24}, "factor_exposure_cap": 7000.0, "factor_exposure_limit_exceeded": false, "factor_tags": ["Financials"], "final_action": "WATCH", "gross_reward_1_per_share": 1.56, "gross_reward_2_per_share": 16.27, "gross_risk_per_share": 3.21, "gross_rr": 2.0899, "gross_rr_1": 0.486, "gross_rr_2": 5.0685, "gross_rr_decision": 2.0899, "highest_correlation_ticker": "HON", "highest_correlation_value": 0.1143, "initial_action": "BUY_SIMULATED", "market_cap": 615104778317.36,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322.4939, "net_reward_1_per_share": 1.125, "net_reward_2_per_share": 15.835, "net_risk_per_share": 3.7578, "net_rr": 1.6695, "net_rr_1": 0.2994, "net_rr_2": 4.2139, "net_stop_assumption": 318.7361, "net_target_1_assumption": 323.6189, "net_target_2_assumption": 338.3289, "normalized_atr_score": 100.0, "normalized_liquidity_score": 58.31, "normalized_momentum_score": 69.23, "normalized_quality_score": 73.65, "original_cash_out": 9988.82, "original_position_size": 31, "original_risk_amount": 99.51, "portfolio_exposure_after": 5823.09, "portfolio_exposure_before": 5823.09, "position_size": 0, "position_size_adjusted": true, "position_sizing_explanation": "Base position sizing produced a candidate trade, but the risk transparency layer blocked the new buy. Candidate size: 18 shares, cash 5799.96, risk 57.78.", "previous_resistance": 335.17, "price": 322.22, "prior_high_20": 335.17, "prior_high_63": 341.2725, "reason": "WATCH: Neutral market requires stronger setup score (0.36 &lt; 0.45).", "risk_amount": 0.0, "scan_source": "Smart Universe: broad liquid US universe filtered and diversified by the Market Lens UI.", "sector": "Financials", "sector_etf": "XLF", "sector_exposure_after": 5799.96, "sector_exposure_before": 0.0, "sector_exposure_cap": 6000.0, "sector_exposure_limit_exceeded": false, "sector_regime": "STRONG", "sector_score": 71.96, "setup_score": 0.36, "setup_type": "Fib 61.8 Confluence Buy Zone", "sizing_adjustment_reason": "Position size reduced by Financials sector exposure cap (31 -&gt; 18 shares).", "spread_source": "liquidity_fallback", "stock_score": 0.36, "stop_loss": 319.01, "target_1": 323.78, "target_1_atr_distance": 0.2229, "target_2": 338.49, "target_2_atr_distance": 2.3244, "target_feasibility_status": "LOW_REWARD_DISTANCE", "theoretical_entry": 321.27, "ticker": "V", "timestamp": "2026-06-10T13:39:21", "warnings": ["SPY data unavailable: Too Many Requests. Rate limited. Try after a while.", "Earnings data unavailable.", "Target 1 is close versus daily ATR.", "Position size reduced by Financials sector exposure cap (31 -&gt; 18 shares).", "Gross R/R is valid, but Net R/R 1.67 failed minimum 2.20 after slippage/spread adjustment.", "Target 1 is too close versus daily ATR."]}</t>
        </is>
      </c>
    </row>
    <row r="524">
      <c r="A524" t="inlineStr">
        <is>
          <t>2026-06-10T13:39:21</t>
        </is>
      </c>
      <c r="B524" t="inlineStr">
        <is>
          <t>NOW</t>
        </is>
      </c>
      <c r="C524" t="inlineStr">
        <is>
          <t>Breakout + Retest</t>
        </is>
      </c>
      <c r="D524" t="n">
        <v>0.33</v>
      </c>
      <c r="E524" t="n">
        <v>106.12</v>
      </c>
      <c r="F524" t="n">
        <v>103.43</v>
      </c>
      <c r="G524" t="n">
        <v>110.83</v>
      </c>
      <c r="H524" t="n">
        <v>99.73</v>
      </c>
      <c r="I524" t="n">
        <v>112.15</v>
      </c>
      <c r="J524" t="n">
        <v>133.24</v>
      </c>
      <c r="K524" t="n">
        <v>2.1</v>
      </c>
      <c r="L524" t="inlineStr">
        <is>
          <t>Price (106.12) retesting broken resistance (110.83) as support. Breakout on 2026-05-29 with 2.4× avg volume. Volume confirmed breakout. Entry at 106.12, stop at 99.73.</t>
        </is>
      </c>
      <c r="M524" t="inlineStr">
        <is>
          <t>WATCH</t>
        </is>
      </c>
      <c r="N524" t="inlineStr">
        <is>
          <t>WATCH: Neutral market requires stronger setup score (0.33 &lt; 0.45).</t>
        </is>
      </c>
      <c r="O524" t="inlineStr">
        <is>
          <t>NOW
Breakout + Retest
0.33
score
Price
106.12
R/R
2.10x
Grade
B
Quality
74%
Buy Zone
103.43 - 110.83
Stop
99.73
Targets
112.15 / 133.24
Tradable if trigger confirms
Mixed
Relative Strength
Leadership
100%
Trend Quality
Constructive
68%
Liquidity
Institutional liquidity
100%
Volume
Confirmed
80%
Trigger
Close above 112.39 or reclaim of broken resistance.
Invalidation
Exit if price closes below 99.73 or setup support fails.
Recent large gap increases volatility risk.
Market regime: Mixed.
Relative strength: Leadership.
Price (106.12) retesting broken resistance (110.83) as support. Breakout on 2026-05-29 with 2.4× avg volume. Volume confirmed breakout. Entry at 106.12, stop at 99.73.
Fib 61.8
95.14
Fib Zone
93.29 - 96.99
Swing Low
85.44
Swing High
110.83
Save setup
Click chart to open full size</t>
        </is>
      </c>
      <c r="P524" t="inlineStr">
        <is>
          <t>agent_results/charts/market_lens_agent_20260610_133231_now.png</t>
        </is>
      </c>
      <c r="Q524" t="inlineStr">
        <is>
          <t>Smart Universe: broad liquid US universe, diversified by sector | Sector: Technology - Strong (75/100); XLK sector regime is strong: 30.4% 3m return, 19.8% vs SPY | Setup: Breakout + Retest; score 0.33; R/R 2.10x; price 106.12 | Market: NEUTRAL; Sector regime: STRONG; Net R/R: 1.91; Factors: High Beta Growth, Technology | Agent action: WATCH - WATCH: Neutral market requires stronger setup score (0.33 &lt; 0.45).</t>
        </is>
      </c>
      <c r="R524" t="inlineStr">
        <is>
          <t>{"adjusted_cash_out": 5942.72, "adjusted_position_size": 56, "adjusted_risk_amount": 357.84, "ask": 0.0, "bid": 0.0, "buy_zone_high": 110.83, "buy_zone_low": 103.43, "cash_available": 93936.04, "company_name": "ServiceNow, Inc.", "correlation_warning": false, "days_to_earnings": null, "earnings_blackout": false, "earnings_date": "", "estimated_fees": 0.0, "estimated_slippage": 0.4149, "estimated_spread": 0.0318, "executable_entry": 106.12, "execution_liquidity_bucket": "large_liquid", "factor_exposure_after": {"High Beta Growth": 5942.72, "Industrials": 5700.24, "Technology": 5942.72}, "factor_exposure_before": {"Industrials": 5700.24}, "factor_exposure_cap": 7000.0, "factor_exposure_limit_exceeded": false, "factor_tags": ["High Beta Growth", "Technology"], "final_action": "WATCH", "gross_reward_1_per_share": 6.03, "gross_reward_2_per_share": 27.12, "gross_risk_per_share": 6.39, "gross_rr": 2.0988, "gross_rr_1": 0.9437, "gross_rr_2": 4.2441, "gross_rr_decision": 2.0988, "highest_correlation_ticker": "HON", "highest_correlation_value": 0.053, "initial_action": "BUY_SIMULATED", "market_cap": 110617067541.63,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106.3434, "net_reward_1_per_share": 5.687, "net_reward_2_per_share": 26.777, "net_risk_per_share": 6.8368, "net_rr": 1.9115, "net_rr_1": 0.8318, "net_rr_2": 3.9166, "net_stop_assumption": 99.5066, "net_target_1_assumption": 112.0303, "net_target_2_assumption": 133.1203, "normalized_atr_score": 87.06, "normalized_liquidity_score": 100, "normalized_momentum_score": 66.65, "normalized_quality_score": 81.76, "original_cash_out": 9975.28, "original_position_size": 94, "original_risk_amount": 600.66, "portfolio_exposure_after": 5823.09, "portfolio_exposure_before": 5823.09, "position_size": 0, "position_size_adjusted": true, "position_sizing_explanation": "Base position sizing produced a candidate trade, but the risk transparency layer blocked the new buy. Candidate size: 56 shares, cash 5942.72, risk 357.84.", "previous_resistance": 139.2, "price": 106.12, "prior_high_20": 139.2, "prior_high_63": 139.2, "reason": "WATCH: Neutral market requires stronger setup score (0.33 &lt; 0.45).", "risk_amount": 0.0, "scan_source": "Smart Universe: broad liquid US universe filtered and diversified by the Market Lens UI.", "sector": "Technology", "sector_etf": "XLK", "sector_exposure_after": 5942.72, "sector_exposure_before": 0.0, "sector_exposure_cap": 6000.0, "sector_exposure_limit_exceeded": false, "sector_regime": "STRONG", "sector_score": 75.16, "setup_score": 0.33, "setup_type": "Breakout + Retest", "sizing_adjustment_reason": "Position size reduced by Technology sector exposure cap (94 -&gt; 56 shares).", "spread_source": "liquidity_fallback", "stock_score": 0.33, "stop_loss": 99.73, "target_1": 112.15, "target_1_atr_distance": 0.812, "target_2": 133.24, "target_2_atr_distance": 3.6518, "target_feasibility_status": "OK", "theoretical_entry": 103.43, "ticker": "NOW", "timestamp": "2026-06-10T13:39:21", "warnings": ["SPY data unavailable: Too Many Requests. Rate limited. Try after a while.", "Earnings data unavailable.", "Position size reduced by Technology sector exposure cap (94 -&gt; 56 shares).", "Gross R/R is valid, but Net R/R 1.91 failed minimum 2.20 after slippage/spread adjustment."]}</t>
        </is>
      </c>
    </row>
    <row r="525">
      <c r="A525" t="inlineStr">
        <is>
          <t>2026-06-10T13:39:21</t>
        </is>
      </c>
      <c r="B525" t="inlineStr">
        <is>
          <t>DLR</t>
        </is>
      </c>
      <c r="C525" t="inlineStr">
        <is>
          <t>Swing Low + Volume Support Buy Zone</t>
        </is>
      </c>
      <c r="D525" t="n">
        <v>0.31</v>
      </c>
      <c r="E525" t="n">
        <v>184.46</v>
      </c>
      <c r="F525" t="n">
        <v>183.73</v>
      </c>
      <c r="G525" t="n">
        <v>186.98</v>
      </c>
      <c r="H525" t="n">
        <v>178.87</v>
      </c>
      <c r="I525" t="n">
        <v>184.5</v>
      </c>
      <c r="J525" t="n">
        <v>201.34</v>
      </c>
      <c r="K525" t="n">
        <v>1.06</v>
      </c>
      <c r="L525" t="inlineStr">
        <is>
          <t>Price is pulling into a recent swing-low support (184.95) that overlaps with a high-volume area (HVN at 184.59), creating structural + volume confluence. Liquidity sweep below swing low detected — wick and reclaim. Stop below 178.87.</t>
        </is>
      </c>
      <c r="M525" t="inlineStr">
        <is>
          <t>WATCH</t>
        </is>
      </c>
      <c r="N525" t="inlineStr">
        <is>
          <t>WATCH: Technical setup detected, but weighted risk/reward 1.06 is below minimum 2.00. Market regime NEUTRAL; sector STRONG; net R/R 0.91.</t>
        </is>
      </c>
      <c r="O525" t="inlineStr">
        <is>
          <t>DLR
Swing Low + Volume Support Buy Zone
0.31
score
Price
184.46
R/R
1.06x
Grade
C
Quality
59%
Buy Zone
183.73 - 186.98
Stop
178.87
Targets
184.50 / 201.34
Watch only; needs confirmation
Mixed
Relative Strength
Leadership
100%
Trend Quality
Messy
0%
Liquidity
Institutional liquidity
100%
Volume
Distribution risk
45%
Trigger
Break above prior-day high at 186.08 after holding buy zone.
Invalidation
Exit if price closes below 178.87 or setup support fails.
Trend quality is not clean.
Recent volume shows distribution risk.
Market regime: Mixed.
Relative strength: Leadership.
Price is pulling into a recent swing-low support (184.95) that overlaps with a high-volume area (HVN at 184.59), creating structural + volume confluence. Liquidity sweep below swing low detected — wick and reclaim. Stop below 178.87.
Fib 61.8
188.75
Fib Zone
187.73 - 189.76
Swing Low
184.95
Swing High
194.89
Save setup
Click chart to open full size</t>
        </is>
      </c>
      <c r="P525" t="inlineStr">
        <is>
          <t>agent_results/charts/market_lens_agent_20260610_133231_dlr.png</t>
        </is>
      </c>
      <c r="Q525" t="inlineStr">
        <is>
          <t>Smart Universe: broad liquid US universe, diversified by sector | Sector: Real Estate - Strong (71/100); XLRE sector regime is strong: 7.6% 3m return, -3.0% vs SPY | Setup: Swing Low + Volume Support Buy Zone; score 0.31; R/R 1.06x; price 184.46 | Market: NEUTRAL; Sector regime: STRONG; Net R/R: 0.91; Factors: Real Estate | Agent action: WATCH - WATCH: Technical setup detected, but weighted risk/reward 1.06 is below minimum 2.00. Market regime NEUTRAL; sector STRONG; net R/R 0.91.</t>
        </is>
      </c>
      <c r="R525" t="inlineStr">
        <is>
          <t>{"adjusted_cash_out": 0.0, "adjusted_position_size": 0, "adjusted_risk_amount": 0.0, "ask": 0.0, "bid": 0.0, "buy_zone_high": 186.98, "buy_zone_low": 183.73, "cash_available": 93936.04, "company_name": "Digital Realty", "correlation_warning": false, "days_to_earnings": null, "earnings_blackout": false, "earnings_date": "", "estimated_fees": 0.0, "estimated_slippage": 0.5534, "estimated_spread": 0.1476, "executable_entry": 184.46, "execution_liquidity_bucket": "mid_liquid", "factor_exposure_after": {"Industrials": 5700.24}, "factor_exposure_before": {"Industrials": 5700.24}, "factor_exposure_cap": 7000.0, "factor_exposure_limit_exceeded": false, "factor_tags": ["Real Estate"], "final_action": "WATCH", "gross_reward_1_per_share": 0.04, "gross_reward_2_per_share": 16.88, "gross_risk_per_share": 5.59, "gross_rr": 1.0615, "gross_rr_1": 0.0072, "gross_rr_2": 3.0197, "gross_rr_decision": 1.0615, "highest_correlation_ticker": "HON", "highest_correlation_value": 0.4626, "initial_action": "WATCH", "market_cap": 64932813185.64,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184.8105, "net_reward_1_per_share": 0.0, "net_reward_2_per_share": 16.3174, "net_risk_per_share": 6.2909, "net_rr": 0.9078, "net_rr_1": 0.0, "net_rr_2": 2.5938, "net_stop_assumption": 178.5195, "net_target_1_assumption": 184.2879, "net_target_2_assumption": 201.1279, "normalized_atr_score": 100.0, "normalized_liquidity_score": 40.87, "normalized_momentum_score": 51.41, "normalized_quality_score": 60.4,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195.97, "price": 184.46, "prior_high_20": 195.97, "prior_high_63": 208.14, "reason": "WATCH: Technical setup detected, but weighted risk/reward 1.06 is below minimum 2.00. Market regime NEUTRAL; sector STRONG; net R/R 0.91.",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0.31, "setup_type": "Swing Low + Volume Support Buy Zone", "sizing_adjustment_reason": "", "spread_source": "liquidity_fallback", "stock_score": 0.31, "stop_loss": 178.87, "target_1": 184.5, "target_1_atr_distance": 0.0097, "target_2": 201.34, "target_2_atr_distance": 4.1084, "target_feasibility_status": "LOW_REWARD_DISTANCE", "theoretical_entry": 183.73, "ticker": "DLR", "timestamp": "2026-06-10T13:39:21", "warnings": ["SPY data unavailable: Too Many Requests. Rate limited. Try after a while.", "Earnings data unavailable.", "Target 1 is close versus daily ATR."]}</t>
        </is>
      </c>
    </row>
    <row r="526">
      <c r="A526" t="inlineStr">
        <is>
          <t>2026-06-10T13:39:21</t>
        </is>
      </c>
      <c r="B526" t="inlineStr">
        <is>
          <t>PFE</t>
        </is>
      </c>
      <c r="C526" t="inlineStr">
        <is>
          <t>Fib 61.8 Confluence Buy Zone</t>
        </is>
      </c>
      <c r="D526" t="n">
        <v>0.29</v>
      </c>
      <c r="E526" t="n">
        <v>25.8</v>
      </c>
      <c r="F526" t="n">
        <v>25.59</v>
      </c>
      <c r="G526" t="n">
        <v>25.82</v>
      </c>
      <c r="H526" t="n">
        <v>25.43</v>
      </c>
      <c r="I526" t="n">
        <v>25.86</v>
      </c>
      <c r="J526" t="n">
        <v>27.57</v>
      </c>
      <c r="K526" t="n">
        <v>1.84</v>
      </c>
      <c r="L526" t="inlineStr">
        <is>
          <t>Price at 61.8% fib retracement (25.71) with confluence at VWAP. Planned entry at zone low 25.59; executable entry 25.80, stop below fib 78.6% at 25.43.</t>
        </is>
      </c>
      <c r="M526" t="inlineStr">
        <is>
          <t>WATCH</t>
        </is>
      </c>
      <c r="N526" t="inlineStr">
        <is>
          <t>WATCH: Technical setup detected, but weighted risk/reward 1.84 is below minimum 2.00. Market regime NEUTRAL; sector STRONG; net R/R 1.51.</t>
        </is>
      </c>
      <c r="O526" t="inlineStr">
        <is>
          <t>PFE
Fib 61.8 Confluence Buy Zone
0.29
score
Price
25.80
R/R
1.84x
Grade
C
Quality
51%
Buy Zone
25.59 - 25.82
Stop
25.43
Targets
25.86 / 27.57
Watch only; needs confirmation
Mixed
Relative Strength
Lagging
24%
Trend Quality
Messy
18%
Liquidity
Institutional liquidity
100%
Volume
Neutral
65%
Trigger
Break above prior-day high at 25.88 after holding buy zone.
Invalidation
Exit if price closes below 25.43 or setup support fails.
Ticker is lagging major indices.
Trend quality is not clean.
Market regime: Mixed.
Price at 61.8% fib retracement (25.71) with confluence at VWAP. Planned entry at zone low 25.59; executable entry 25.80, stop below fib 78.6% at 25.43.
Fib 61.8
25.71
Fib Zone
25.59 - 25.82
Swing Low
25.19
Swing High
26.54
Save setup
Click chart to open full size</t>
        </is>
      </c>
      <c r="P526" t="inlineStr">
        <is>
          <t>agent_results/charts/market_lens_agent_20260610_133231_pfe.png</t>
        </is>
      </c>
      <c r="Q526" t="inlineStr">
        <is>
          <t>Smart Universe: broad liquid US universe, diversified by sector | Sector: Healthcare - Strong (68/100); XLV sector regime is strong: 3.2% 3m return, -7.4% vs SPY | Setup: Fib 61.8 Confluence Buy Zone; score 0.29; R/R 1.84x; price 25.80 | Market: NEUTRAL; Sector regime: STRONG; Net R/R: 1.51; Factors: Defensive, Healthcare | Agent action: WATCH - WATCH: Technical setup detected, but weighted risk/reward 1.84 is below minimum 2.00. Market regime NEUTRAL; sector STRONG; net R/R 1.51.</t>
        </is>
      </c>
      <c r="R526" t="inlineStr">
        <is>
          <t>{"adjusted_cash_out": 0.0, "adjusted_position_size": 0, "adjusted_risk_amount": 0.0, "ask": 0.0, "bid": 0.0, "buy_zone_high": 25.82, "buy_zone_low": 25.59, "cash_available": 93936.04, "company_name": "Pfizer Inc.", "correlation_warning": false, "days_to_earnings": null, "earnings_blackout": false, "earnings_date": "", "estimated_fees": 0.0, "estimated_slippage": 0.0361, "estimated_spread": 0.0077, "executable_entry": 25.8, "execution_liquidity_bucket": "large_liquid", "factor_exposure_after": {"Industrials": 5700.24}, "factor_exposure_before": {"Industrials": 5700.24}, "factor_exposure_cap": 7000.0, "factor_exposure_limit_exceeded": false, "factor_tags": ["Defensive", "Healthcare"], "final_action": "WATCH", "gross_reward_1_per_share": 0.06, "gross_reward_2_per_share": 1.77, "gross_risk_per_share": 0.37, "gross_rr": 1.7797, "gross_rr_1": 0.1622, "gross_rr_2": 4.7838, "gross_rr_decision": 1.7797, "highest_correlation_ticker": "HON", "highest_correlation_value": 0.3081, "initial_action": "WATCH", "market_cap": 146703691605.56,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25.8219, "net_reward_1_per_share": 0.0252, "net_reward_2_per_share": 1.7352, "net_risk_per_share": 0.4139, "net_rr": 1.507, "net_rr_1": 0.0608, "net_rr_2": 4.1926, "net_stop_assumption": 25.4081, "net_target_1_assumption": 25.8471, "net_target_2_assumption": 27.5571, "normalized_atr_score": 100.0, "normalized_liquidity_score": 60.8, "normalized_momentum_score": 40.91, "normalized_quality_score": 61.65,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26.54, "price": 25.8, "prior_high_20": 26.54, "prior_high_63": 28.2831, "reason": "WATCH: Technical setup detected, but weighted risk/reward 1.84 is below minimum 2.00. Market regime NEUTRAL; sector STRONG; net R/R 1.51.",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0.29, "setup_type": "Fib 61.8 Confluence Buy Zone", "sizing_adjustment_reason": "", "spread_source": "liquidity_fallback", "stock_score": 0.29, "stop_loss": 25.43, "target_1": 25.86, "target_1_atr_distance": 0.1288, "target_2": 27.57, "target_2_atr_distance": 3.8007, "target_feasibility_status": "LOW_REWARD_DISTANCE", "theoretical_entry": 25.59, "ticker": "PFE", "timestamp": "2026-06-10T13:39:21", "warnings": ["SPY data unavailable: Too Many Requests. Rate limited. Try after a while.", "Earnings data unavailable.", "Target 1 is close versus daily ATR."]}</t>
        </is>
      </c>
    </row>
    <row r="527">
      <c r="A527" t="inlineStr">
        <is>
          <t>2026-06-10T13:39:21</t>
        </is>
      </c>
      <c r="B527" t="inlineStr">
        <is>
          <t>GILD</t>
        </is>
      </c>
      <c r="C527" t="inlineStr">
        <is>
          <t>Swing Low + Volume Support Buy Zone</t>
        </is>
      </c>
      <c r="D527" t="n">
        <v>0.28</v>
      </c>
      <c r="E527" t="n">
        <v>124.13</v>
      </c>
      <c r="F527" t="n">
        <v>127.35</v>
      </c>
      <c r="G527" t="n">
        <v>129.99</v>
      </c>
      <c r="H527" t="n">
        <v>123.38</v>
      </c>
      <c r="I527" t="n">
        <v>133.3</v>
      </c>
      <c r="J527" t="n">
        <v>139.42</v>
      </c>
      <c r="K527" t="n">
        <v>1.43</v>
      </c>
      <c r="L527" t="inlineStr">
        <is>
          <t>Price is pulling into a recent swing-low support (128.34) that overlaps with a high-volume area (VAL at 128.26), creating structural + volume confluence. Liquidity sweep below swing low detected — wick and reclaim. Stop below 123.38.</t>
        </is>
      </c>
      <c r="M527" t="inlineStr">
        <is>
          <t>WATCH</t>
        </is>
      </c>
      <c r="N527" t="inlineStr">
        <is>
          <t>WATCH: Technical setup detected, but weighted risk/reward 1.43 is below minimum 2.00. Market regime NEUTRAL; sector STRONG; net R/R 1.89.</t>
        </is>
      </c>
      <c r="O527" t="inlineStr">
        <is>
          <t>GILD
Swing Low + Volume Support Buy Zone
0.28
score
Price
124.13
R/R
1.43x
Grade
C
Quality
58%
Buy Zone
127.35 - 129.99
Stop
123.38
Targets
133.30 / 139.42
Watch only; needs confirmation
Mixed
Relative Strength
Leadership
100%
Trend Quality
Messy
0%
Liquidity
Institutional liquidity
100%
Volume
Distribution risk
30%
Trigger
Break above prior-day high at 129.00 after holding buy zone.
Invalidation
Exit if price closes below 123.38 or setup support fails.
Trend quality is not clean.
Recent volume shows distribution risk.
Market regime: Mixed.
Relative strength: Leadership.
Price is pulling into a recent swing-low support (128.34) that overlaps with a high-volume area (VAL at 128.26), creating structural + volume confluence. Liquidity sweep below swing low detected — wick and reclaim. Stop below 123.38.
Fib 61.8
131.72
Fib Zone
130.90 - 132.55
Swing Low
128.34
Swing High
137.20
Save setup
Click chart to open full size</t>
        </is>
      </c>
      <c r="P527" t="inlineStr">
        <is>
          <t>agent_results/charts/market_lens_agent_20260610_133231_gild.png</t>
        </is>
      </c>
      <c r="Q527" t="inlineStr">
        <is>
          <t>Smart Universe: broad liquid US universe, diversified by sector | Sector: Healthcare - Strong (68/100); XLV sector regime is strong: 3.2% 3m return, -7.4% vs SPY | Setup: Swing Low + Volume Support Buy Zone; score 0.28; R/R 1.43x; price 124.13 | Market: NEUTRAL; Sector regime: STRONG; Net R/R: 1.89; Factors: Defensive, Healthcare | Agent action: WATCH - WATCH: Technical setup detected, but weighted risk/reward 1.43 is below minimum 2.00. Market regime NEUTRAL; sector STRONG; net R/R 1.89.</t>
        </is>
      </c>
      <c r="R527" t="inlineStr">
        <is>
          <t>{"adjusted_cash_out": 0.0, "adjusted_position_size": 0, "adjusted_risk_amount": 0.0, "ask": 0.0, "bid": 0.0, "buy_zone_high": 129.99, "buy_zone_low": 127.35, "cash_available": 93936.04, "company_name": "Gilead Sciences, Inc.", "correlation_warning": false, "days_to_earnings": null, "earnings_blackout": false, "earnings_date": "", "estimated_fees": 0.0, "estimated_slippage": 0.1783, "estimated_spread": 0.0382, "executable_entry": 127.35, "execution_liquidity_bucket": "large_liquid", "factor_exposure_after": {"Industrials": 5700.24}, "factor_exposure_before": {"Industrials": 5700.24}, "factor_exposure_cap": 7000.0, "factor_exposure_limit_exceeded": false, "factor_tags": ["Defensive", "Healthcare"], "final_action": "WATCH", "gross_reward_1_per_share": 5.95, "gross_reward_2_per_share": 12.07, "gross_risk_per_share": 3.97, "gross_rr": 2.0383, "gross_rr_1": 1.4987, "gross_rr_2": 3.0403, "gross_rr_decision": 2.0383, "highest_correlation_ticker": "HON", "highest_correlation_value": 0.3953, "initial_action": "WATCH", "market_cap": 154438875869.07,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127.4582, "net_reward_1_per_share": 5.7781, "net_reward_2_per_share": 11.8981, "net_risk_per_share": 4.1865, "net_rr": 1.8918, "net_rr_1": 1.3802, "net_rr_2": 2.842, "net_stop_assumption": 123.2718, "net_target_1_assumption": 133.2363, "net_target_2_assumption": 139.3563, "normalized_atr_score": 100.0, "normalized_liquidity_score": 65.32, "normalized_momentum_score": 0, "normalized_quality_score": 44.6,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137.5, "price": 124.13, "prior_high_20": 137.5, "prior_high_63": 148.4569, "reason": "WATCH: Technical setup detected, but weighted risk/reward 1.43 is below minimum 2.00. Market regime NEUTRAL; sector STRONG; net R/R 1.89.",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0.28, "setup_type": "Swing Low + Volume Support Buy Zone", "sizing_adjustment_reason": "", "spread_source": "liquidity_fallback", "stock_score": 0.28, "stop_loss": 123.38, "target_1": 133.3, "target_1_atr_distance": 2.7753, "target_2": 139.42, "target_2_atr_distance": 4.6276, "target_feasibility_status": "OK", "theoretical_entry": 127.35, "ticker": "GILD", "timestamp": "2026-06-10T13:39:21", "warnings": ["SPY data unavailable: Too Many Requests. Rate limited. Try after a while.", "Earnings data unavailable."]}</t>
        </is>
      </c>
    </row>
    <row r="528">
      <c r="A528" t="inlineStr">
        <is>
          <t>2026-06-10T13:39:21</t>
        </is>
      </c>
      <c r="B528" t="inlineStr">
        <is>
          <t>AMAT</t>
        </is>
      </c>
      <c r="C528" t="inlineStr">
        <is>
          <t>No Trade</t>
        </is>
      </c>
      <c r="D528" t="n">
        <v>0</v>
      </c>
      <c r="E528" t="n">
        <v>509.1</v>
      </c>
      <c r="H528" t="n">
        <v>0</v>
      </c>
      <c r="K528" t="n">
        <v>0</v>
      </c>
      <c r="L528" t="inlineStr">
        <is>
          <t>No clean technical setup detected. Price in middle of value area or poor risk/reward.</t>
        </is>
      </c>
      <c r="M528" t="inlineStr">
        <is>
          <t>SKIP</t>
        </is>
      </c>
      <c r="N528" t="inlineStr">
        <is>
          <t>SKIP: No Trade result. Market regime NEUTRAL; sector STRONG; net R/R 0.00.</t>
        </is>
      </c>
      <c r="O528" t="inlineStr">
        <is>
          <t>AMAT
No Trade
0.00
score
Price
509.10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403.84
Fib Zone
397.43 - 410.24
Swing Low
376.60
Swing High
447.89
Click chart to open full size</t>
        </is>
      </c>
      <c r="P528" t="inlineStr">
        <is>
          <t>agent_results/charts/market_lens_agent_20260610_133231_amat.png</t>
        </is>
      </c>
      <c r="Q528" t="inlineStr">
        <is>
          <t>Smart Universe: broad liquid US universe, diversified by sector | Sector: Semiconductors - Strong (100/100); SMH sector regime is strong: 51.2% 3m return, 40.6% vs SPY | Setup: No Trade; score 0.00; R/R 0.00x; price 509.10 | Market: NEUTRAL; Sector regime: STRONG; Net R/R: 0.00; Factors: AI / Semiconductors, Semiconductors | Agent action: SKIP - SKIP: No Trade result. Market regime NEUTRAL; sector STRONG; net R/R 0.00.</t>
        </is>
      </c>
      <c r="R528" t="inlineStr">
        <is>
          <t>{"adjusted_cash_out": 0.0, "adjusted_position_size": 0, "adjusted_risk_amount": 0.0, "ask": 0.0, "bid": 0.0, "buy_zone_high": null, "buy_zone_low": null, "cash_available": 93936.04, "company_name": "Applied Materials, Inc.", "correlation_warning": false, "days_to_earnings": null, "earnings_blackout": false, "earnings_date": "", "estimated_fees": 0.0, "estimated_slippage": 0.7127, "estimated_spread": 0.1527, "executable_entry": 509.1,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509.1, "gross_rr": 0.0, "gross_rr_1": 0.0, "gross_rr_2": 0.0, "gross_rr_decision": 0.0, "highest_correlation_ticker": "HON", "highest_correlation_value": 0.2151, "initial_action": "SKIP", "market_cap": 406705718017.5,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509.5327, "net_reward_1_per_share": 0.0, "net_reward_2_per_share": 0.0, "net_risk_per_share": 509.9655, "net_rr": 0.0, "net_rr_1": 0.0, "net_rr_2": 0.0, "net_stop_assumption": -0.4327, "net_target_1_assumption": -0.2545, "net_target_2_assumption": -0.2545, "normalized_atr_score": 97.19, "normalized_liquidity_score": 69.58, "normalized_momentum_score": 100, "normalized_quality_score": 90.17,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509.1,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509.1, "ticker": "AMAT", "timestamp": "2026-06-10T13:39:21", "warnings": ["SPY data unavailable: Too Many Requests. Rate limited. Try after a while.", "Earnings data unavailable.", "Target ATR feasibility unavailable."]}</t>
        </is>
      </c>
    </row>
    <row r="529">
      <c r="A529" t="inlineStr">
        <is>
          <t>2026-06-10T13:39:21</t>
        </is>
      </c>
      <c r="B529" t="inlineStr">
        <is>
          <t>LRCX</t>
        </is>
      </c>
      <c r="C529" t="inlineStr">
        <is>
          <t>No Trade</t>
        </is>
      </c>
      <c r="D529" t="n">
        <v>0</v>
      </c>
      <c r="E529" t="n">
        <v>328.58</v>
      </c>
      <c r="H529" t="n">
        <v>0</v>
      </c>
      <c r="K529" t="n">
        <v>0</v>
      </c>
      <c r="L529" t="inlineStr">
        <is>
          <t>No clean technical setup detected. Price in middle of value area or poor risk/reward.</t>
        </is>
      </c>
      <c r="M529" t="inlineStr">
        <is>
          <t>SKIP</t>
        </is>
      </c>
      <c r="N529" t="inlineStr">
        <is>
          <t>SKIP: No Trade result. Market regime NEUTRAL; sector STRONG; net R/R 0.00.</t>
        </is>
      </c>
      <c r="O529" t="inlineStr">
        <is>
          <t>LRCX
No Trade
0.00
score
Price
328.58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227.21
Fib Zone
222.76 - 231.66
Swing Low
198.60
Swing High
273.50
Click chart to open full size</t>
        </is>
      </c>
      <c r="P529" t="inlineStr">
        <is>
          <t>agent_results/charts/market_lens_agent_20260610_133231_lrcx.png</t>
        </is>
      </c>
      <c r="Q529" t="inlineStr">
        <is>
          <t>Smart Universe: broad liquid US universe, diversified by sector | Sector: Semiconductors - Strong (100/100); SMH sector regime is strong: 51.2% 3m return, 40.6% vs SPY | Setup: No Trade; score 0.00; R/R 0.00x; price 328.58 | Market: NEUTRAL; Sector regime: STRONG; Net R/R: 0.00; Factors: AI / Semiconductors, Semiconductors | Agent action: SKIP - SKIP: No Trade result. Market regime NEUTRAL; sector STRONG; net R/R 0.00.</t>
        </is>
      </c>
      <c r="R529" t="inlineStr">
        <is>
          <t>{"adjusted_cash_out": 0.0, "adjusted_position_size": 0, "adjusted_risk_amount": 0.0, "ask": 0.0, "bid": 0.0, "buy_zone_high": null, "buy_zone_low": null, "cash_available": 93936.04, "company_name": "Lam Research Corporation", "correlation_warning": false, "days_to_earnings": null, "earnings_blackout": false, "earnings_date": "", "estimated_fees": 0.0, "estimated_slippage": 0.46, "estimated_spread": 0.0986, "executable_entry": 328.58,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328.58, "gross_rr": 0.0, "gross_rr_1": 0.0, "gross_rr_2": 0.0, "gross_rr_decision": 0.0, "highest_correlation_ticker": "HON", "highest_correlation_value": 0.3236, "initial_action": "SKIP", "market_cap": 416935953768.46,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328.8593, "net_reward_1_per_share": 0.0, "net_reward_2_per_share": 0.0, "net_risk_per_share": 329.1386, "net_rr": 0.0, "net_rr_1": 0.0, "net_rr_2": 0.0, "net_stop_assumption": -0.2793, "net_target_1_assumption": -0.1643, "net_target_2_assumption": -0.1643, "normalized_atr_score": 93.06, "normalized_liquidity_score": 61.27, "normalized_momentum_score": 100, "normalized_quality_score": 86.65,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328.58,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328.58, "ticker": "LRCX", "timestamp": "2026-06-10T13:39:21", "warnings": ["SPY data unavailable: Too Many Requests. Rate limited. Try after a while.", "Earnings data unavailable.", "Target ATR feasibility unavailable."]}</t>
        </is>
      </c>
    </row>
    <row r="530">
      <c r="A530" t="inlineStr">
        <is>
          <t>2026-06-10T13:39:21</t>
        </is>
      </c>
      <c r="B530" t="inlineStr">
        <is>
          <t>KLAC</t>
        </is>
      </c>
      <c r="C530" t="inlineStr">
        <is>
          <t>No Trade</t>
        </is>
      </c>
      <c r="D530" t="n">
        <v>0</v>
      </c>
      <c r="E530" t="n">
        <v>2170</v>
      </c>
      <c r="H530" t="n">
        <v>0</v>
      </c>
      <c r="K530" t="n">
        <v>0</v>
      </c>
      <c r="L530" t="inlineStr">
        <is>
          <t>No clean technical setup detected. Price in middle of value area or poor risk/reward.</t>
        </is>
      </c>
      <c r="M530" t="inlineStr">
        <is>
          <t>SKIP</t>
        </is>
      </c>
      <c r="N530" t="inlineStr">
        <is>
          <t>SKIP: No Trade result. Market regime NEUTRAL; sector STRONG; net R/R 0.00.</t>
        </is>
      </c>
      <c r="O530" t="inlineStr">
        <is>
          <t>KLAC
No Trade
0.00
score
Price
2170.00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1745.04
Fib Zone
1717.60 - 1772.49
Swing Low
1643.90
Swing High
1908.67
Click chart to open full size</t>
        </is>
      </c>
      <c r="P530" t="inlineStr">
        <is>
          <t>agent_results/charts/market_lens_agent_20260610_133231_klac.png</t>
        </is>
      </c>
      <c r="Q530" t="inlineStr">
        <is>
          <t>Smart Universe: broad liquid US universe, diversified by sector | Sector: Semiconductors - Strong (100/100); SMH sector regime is strong: 51.2% 3m return, 40.6% vs SPY | Setup: No Trade; score 0.00; R/R 0.00x; price 2170.00 | Market: NEUTRAL; Sector regime: STRONG; Net R/R: 0.00; Factors: AI / Semiconductors, Semiconductors | Agent action: SKIP - SKIP: No Trade result. Market regime NEUTRAL; sector STRONG; net R/R 0.00.</t>
        </is>
      </c>
      <c r="R530" t="inlineStr">
        <is>
          <t>{"adjusted_cash_out": 0.0, "adjusted_position_size": 0, "adjusted_risk_amount": 0.0, "ask": 0.0, "bid": 0.0, "buy_zone_high": null, "buy_zone_low": null, "cash_available": 93936.04, "company_name": "KLA Corporation", "correlation_warning": false, "days_to_earnings": null, "earnings_blackout": false, "earnings_date": "", "estimated_fees": 0.0, "estimated_slippage": 3.038, "estimated_spread": 0.651, "executable_entry": 2170.0,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2170.0, "gross_rr": 0.0, "gross_rr_1": 0.0, "gross_rr_2": 0.0, "gross_rr_decision": 0.0, "highest_correlation_ticker": "HON", "highest_correlation_value": 0.2091, "initial_action": "SKIP", "market_cap": 288008872229.97,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2171.8445, "net_reward_1_per_share": 0.0, "net_reward_2_per_share": 0.0, "net_risk_per_share": 2173.689, "net_rr": 0.0, "net_rr_1": 0.0, "net_rr_2": 0.0, "net_stop_assumption": -1.8445, "net_target_1_assumption": -1.085, "net_target_2_assumption": -1.085, "normalized_atr_score": 96.77, "normalized_liquidity_score": 51.46, "normalized_momentum_score": 100, "normalized_quality_score": 84.63,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2170.0,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2170.0, "ticker": "KLAC", "timestamp": "2026-06-10T13:39:21", "warnings": ["SPY data unavailable: Too Many Requests. Rate limited. Try after a while.", "Earnings data unavailable.", "Target ATR feasibility unavailable."]}</t>
        </is>
      </c>
    </row>
    <row r="531">
      <c r="A531" t="inlineStr">
        <is>
          <t>2026-06-10T13:39:21</t>
        </is>
      </c>
      <c r="B531" t="inlineStr">
        <is>
          <t>MU</t>
        </is>
      </c>
      <c r="C531" t="inlineStr">
        <is>
          <t>No Trade</t>
        </is>
      </c>
      <c r="D531" t="n">
        <v>0</v>
      </c>
      <c r="E531" t="n">
        <v>907.95</v>
      </c>
      <c r="H531" t="n">
        <v>0</v>
      </c>
      <c r="K531" t="n">
        <v>0</v>
      </c>
      <c r="L531" t="inlineStr">
        <is>
          <t>No clean technical setup detected. Price in middle of value area or poor risk/reward.</t>
        </is>
      </c>
      <c r="M531" t="inlineStr">
        <is>
          <t>SKIP</t>
        </is>
      </c>
      <c r="N531" t="inlineStr">
        <is>
          <t>SKIP: No Trade result. Market regime NEUTRAL; sector STRONG; net R/R 0.00.</t>
        </is>
      </c>
      <c r="O531" t="inlineStr">
        <is>
          <t>MU
No Trade
0.00
score
Price
907.95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819.17
Fib Zone
801.66 - 836.69
Swing Low
652.21
Swing High
1089.29
Click chart to open full size</t>
        </is>
      </c>
      <c r="P531" t="inlineStr">
        <is>
          <t>agent_results/charts/market_lens_agent_20260610_133231_mu.png</t>
        </is>
      </c>
      <c r="Q531" t="inlineStr">
        <is>
          <t>Smart Universe: broad liquid US universe, diversified by sector | Sector: Semiconductors - Strong (100/100); SMH sector regime is strong: 51.2% 3m return, 40.6% vs SPY | Setup: No Trade; score 0.00; R/R 0.00x; price 907.95 | Market: NEUTRAL; Sector regime: STRONG; Net R/R: 0.00; Factors: AI / Semiconductors, Semiconductors | Agent action: SKIP - SKIP: No Trade result. Market regime NEUTRAL; sector STRONG; net R/R 0.00.</t>
        </is>
      </c>
      <c r="R531" t="inlineStr">
        <is>
          <t>{"adjusted_cash_out": 0.0, "adjusted_position_size": 0, "adjusted_risk_amount": 0.0, "ask": 0.0, "bid": 0.0, "buy_zone_high": null, "buy_zone_low": null, "cash_available": 93936.04, "company_name": "Micron Technology, Inc.", "correlation_warning": false, "days_to_earnings": null, "earnings_blackout": false, "earnings_date": "", "estimated_fees": 0.0, "estimated_slippage": 1.4618, "estimated_spread": 0.2724, "executable_entry": 907.95,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907.95, "gross_rr": 0.0, "gross_rr_1": 0.0, "gross_rr_2": 0.0, "gross_rr_decision": 0.0, "highest_correlation_ticker": "HON", "highest_correlation_value": 0.1693, "initial_action": "SKIP", "market_cap": 1027399447858.77,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908.8171, "net_reward_1_per_share": 0.0, "net_reward_2_per_share": 0.0, "net_risk_per_share": 909.6842, "net_rr": 0.0, "net_rr_1": 0.0, "net_rr_2": 0.0, "net_stop_assumption": -0.8671, "net_target_1_assumption": -0.5016, "net_target_2_assumption": -0.5016, "normalized_atr_score": 69.61, "normalized_liquidity_score": 100, "normalized_momentum_score": 100, "normalized_quality_score": 92.4,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907.95,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907.95, "ticker": "MU", "timestamp": "2026-06-10T13:39:21", "warnings": ["SPY data unavailable: Too Many Requests. Rate limited. Try after a while.", "Earnings data unavailable.", "Target ATR feasibility unavailable."]}</t>
        </is>
      </c>
    </row>
    <row r="532">
      <c r="A532" t="inlineStr">
        <is>
          <t>2026-06-10T13:39:21</t>
        </is>
      </c>
      <c r="B532" t="inlineStr">
        <is>
          <t>ASML</t>
        </is>
      </c>
      <c r="C532" t="inlineStr">
        <is>
          <t>No Trade</t>
        </is>
      </c>
      <c r="D532" t="n">
        <v>0</v>
      </c>
      <c r="E532" t="n">
        <v>1768.99</v>
      </c>
      <c r="H532" t="n">
        <v>0</v>
      </c>
      <c r="K532" t="n">
        <v>0</v>
      </c>
      <c r="L532" t="inlineStr">
        <is>
          <t>No clean technical setup detected. Price in middle of value area or poor risk/reward.</t>
        </is>
      </c>
      <c r="M532" t="inlineStr">
        <is>
          <t>SKIP</t>
        </is>
      </c>
      <c r="N532" t="inlineStr">
        <is>
          <t>SKIP: No Trade result. Market regime NEUTRAL; sector STRONG; net R/R 0.00.</t>
        </is>
      </c>
      <c r="O532" t="inlineStr">
        <is>
          <t>ASML
No Trade
0.00
score
Price
1768.99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1455.99
Fib Zone
1437.11 - 1474.87
Swing Low
1364.81
Swing High
1603.49
Click chart to open full size</t>
        </is>
      </c>
      <c r="P532" t="inlineStr">
        <is>
          <t>agent_results/charts/market_lens_agent_20260610_133231_asml.png</t>
        </is>
      </c>
      <c r="Q532" t="inlineStr">
        <is>
          <t>Smart Universe: broad liquid US universe, diversified by sector | Sector: Semiconductors - Strong (100/100); SMH sector regime is strong: 51.2% 3m return, 40.6% vs SPY | Setup: No Trade; score 0.00; R/R 0.00x; price 1768.99 | Market: NEUTRAL; Sector regime: STRONG; Net R/R: 0.00; Factors: AI / Semiconductors, Semiconductors | Agent action: SKIP - SKIP: No Trade result. Market regime NEUTRAL; sector STRONG; net R/R 0.00.</t>
        </is>
      </c>
      <c r="R532" t="inlineStr">
        <is>
          <t>{"adjusted_cash_out": 0.0, "adjusted_position_size": 0, "adjusted_risk_amount": 0.0, "ask": 0.0, "bid": 0.0, "buy_zone_high": null, "buy_zone_low": null, "cash_available": 93936.04, "company_name": "ASML Holding N.V.", "correlation_warning": false, "days_to_earnings": null, "earnings_blackout": false, "earnings_date": "", "estimated_fees": 0.0, "estimated_slippage": 2.4766, "estimated_spread": 0.5307, "executable_entry": 1768.99,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1768.99, "gross_rr": 0.0, "gross_rr_1": 0.0, "gross_rr_2": 0.0, "gross_rr_decision": 0.0, "highest_correlation_ticker": "HON", "highest_correlation_value": 0.3389, "initial_action": "SKIP", "market_cap": 685033651299.62,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1770.4936, "net_reward_1_per_share": 0.0, "net_reward_2_per_share": 0.0, "net_risk_per_share": 1771.9973, "net_rr": 0.0, "net_rr_1": 0.0, "net_rr_2": 0.0, "net_stop_assumption": -1.5036, "net_target_1_assumption": -0.8845, "net_target_2_assumption": -0.8845, "normalized_atr_score": 100.0, "normalized_liquidity_score": 60.2, "normalized_momentum_score": 100, "normalized_quality_score": 88.06,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1768.99,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1768.99, "ticker": "ASML", "timestamp": "2026-06-10T13:39:21", "warnings": ["SPY data unavailable: Too Many Requests. Rate limited. Try after a while.", "Earnings data unavailable.", "Target ATR feasibility unavailable."]}</t>
        </is>
      </c>
    </row>
    <row r="533">
      <c r="A533" t="inlineStr">
        <is>
          <t>2026-06-10T13:39:21</t>
        </is>
      </c>
      <c r="B533" t="inlineStr">
        <is>
          <t>UNH</t>
        </is>
      </c>
      <c r="C533" t="inlineStr">
        <is>
          <t>No Trade</t>
        </is>
      </c>
      <c r="D533" t="n">
        <v>0</v>
      </c>
      <c r="E533" t="n">
        <v>415.56</v>
      </c>
      <c r="H533" t="n">
        <v>0</v>
      </c>
      <c r="K533" t="n">
        <v>0</v>
      </c>
      <c r="L533" t="inlineStr">
        <is>
          <t>No clean technical setup detected. Price in middle of value area or poor risk/reward.</t>
        </is>
      </c>
      <c r="M533" t="inlineStr">
        <is>
          <t>SKIP</t>
        </is>
      </c>
      <c r="N533" t="inlineStr">
        <is>
          <t>SKIP: No Trade result. Market regime NEUTRAL; sector STRONG; net R/R 0.00.</t>
        </is>
      </c>
      <c r="O533" t="inlineStr">
        <is>
          <t>UNH
No Trade
0.00
score
Price
415.56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312.57
Fib Zone
310.21 - 314.94
Swing Low
255.97
Swing High
404.15
Click chart to open full size</t>
        </is>
      </c>
      <c r="P533" t="inlineStr">
        <is>
          <t>agent_results/charts/market_lens_agent_20260610_133231_unh.png</t>
        </is>
      </c>
      <c r="Q533" t="inlineStr">
        <is>
          <t>Smart Universe: broad liquid US universe, diversified by sector | Sector: Healthcare - Strong (68/100); XLV sector regime is strong: 3.2% 3m return, -7.4% vs SPY | Setup: No Trade; score 0.00; R/R 0.00x; price 415.56 | Market: NEUTRAL; Sector regime: STRONG; Net R/R: 0.00; Factors: Defensive, Healthcare | Agent action: SKIP - SKIP: No Trade result. Market regime NEUTRAL; sector STRONG; net R/R 0.00.</t>
        </is>
      </c>
      <c r="R533" t="inlineStr">
        <is>
          <t>{"adjusted_cash_out": 0.0, "adjusted_position_size": 0, "adjusted_risk_amount": 0.0, "ask": 0.0, "bid": 0.0, "buy_zone_high": null, "buy_zone_low": null, "cash_available": 93936.04, "company_name": "UnitedHealth Group Incorporated", "correlation_warning": false, "days_to_earnings": null, "earnings_blackout": false, "earnings_date": "", "estimated_fees": 0.0, "estimated_slippage": 0.5818, "estimated_spread": 0.1247, "executable_entry": 415.56,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415.56, "gross_rr": 0.0, "gross_rr_1": 0.0, "gross_rr_2": 0.0, "gross_rr_decision": 0.0, "highest_correlation_ticker": "HON", "highest_correlation_value": -0.0867, "initial_action": "SKIP", "market_cap": 371131385777.0,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415.9132, "net_reward_1_per_share": 0.0, "net_reward_2_per_share": 0.0, "net_risk_per_share": 416.2665, "net_rr": 0.0, "net_rr_1": 0.0, "net_rr_2": 0.0, "net_stop_assumption": -0.3532, "net_target_1_assumption": -0.2078, "net_target_2_assumption": -0.2078, "normalized_atr_score": 100.0, "normalized_liquidity_score": 60.41, "normalized_momentum_score": 100, "normalized_quality_score": 88.12,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415.56,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415.56, "ticker": "UNH", "timestamp": "2026-06-10T13:39:21", "warnings": ["SPY data unavailable: Too Many Requests. Rate limited. Try after a while.", "Earnings data unavailable.", "Target ATR feasibility unavailable."]}</t>
        </is>
      </c>
    </row>
    <row r="534">
      <c r="A534" t="inlineStr">
        <is>
          <t>2026-06-10T13:39:21</t>
        </is>
      </c>
      <c r="B534" t="inlineStr">
        <is>
          <t>MS</t>
        </is>
      </c>
      <c r="C534" t="inlineStr">
        <is>
          <t>No Trade</t>
        </is>
      </c>
      <c r="D534" t="n">
        <v>0</v>
      </c>
      <c r="E534" t="n">
        <v>209.86</v>
      </c>
      <c r="H534" t="n">
        <v>0</v>
      </c>
      <c r="K534" t="n">
        <v>0</v>
      </c>
      <c r="L534" t="inlineStr">
        <is>
          <t>No clean technical setup detected. Price in middle of value area or poor risk/reward.</t>
        </is>
      </c>
      <c r="M534" t="inlineStr">
        <is>
          <t>SKIP</t>
        </is>
      </c>
      <c r="N534" t="inlineStr">
        <is>
          <t>SKIP: No Trade result. Market regime NEUTRAL; sector STRONG; net R/R 0.00.</t>
        </is>
      </c>
      <c r="O534" t="inlineStr">
        <is>
          <t>MS
No Trade
0.00
score
Price
209.86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167.86
Fib Zone
166.55 - 169.18
Swing Low
151.98
Swing High
193.55
Click chart to open full size</t>
        </is>
      </c>
      <c r="P534" t="inlineStr">
        <is>
          <t>agent_results/charts/market_lens_agent_20260610_133231_ms.png</t>
        </is>
      </c>
      <c r="Q534" t="inlineStr">
        <is>
          <t>Smart Universe: broad liquid US universe, diversified by sector | Sector: Financials - Strong (72/100); XLF sector regime is strong: 7.9% 3m return, -2.7% vs SPY | Setup: No Trade; score 0.00; R/R 0.00x; price 209.86 | Market: NEUTRAL; Sector regime: STRONG; Net R/R: 0.00; Factors: Financials | Agent action: SKIP - SKIP: No Trade result. Market regime NEUTRAL; sector STRONG; net R/R 0.00.</t>
        </is>
      </c>
      <c r="R534" t="inlineStr">
        <is>
          <t>{"adjusted_cash_out": 0.0, "adjusted_position_size": 0, "adjusted_risk_amount": 0.0, "ask": 0.0, "bid": 0.0, "buy_zone_high": null, "buy_zone_low": null, "cash_available": 93936.04, "company_name": "Morgan Stanley", "correlation_warning": false, "days_to_earnings": null, "earnings_blackout": false, "earnings_date": "", "estimated_fees": 0.0, "estimated_slippage": 0.2938, "estimated_spread": 0.063, "executable_entry": 209.86,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209.86, "gross_rr": 0.0, "gross_rr_1": 0.0, "gross_rr_2": 0.0, "gross_rr_decision": 0.0, "highest_correlation_ticker": "HON", "highest_correlation_value": 0.2485, "initial_action": "SKIP", "market_cap": 328619407123.26,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210.0384, "net_reward_1_per_share": 0.0, "net_reward_2_per_share": 0.0, "net_risk_per_share": 210.2168, "net_rr": 0.0, "net_rr_1": 0.0, "net_rr_2": 0.0, "net_stop_assumption": -0.1784, "net_target_1_assumption": -0.1049, "net_target_2_assumption": -0.1049, "normalized_atr_score": 100.0, "normalized_liquidity_score": 39.03, "normalized_momentum_score": 100, "normalized_quality_score": 81.71,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209.86,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209.86, "ticker": "MS", "timestamp": "2026-06-10T13:39:21", "warnings": ["SPY data unavailable: Too Many Requests. Rate limited. Try after a while.", "Earnings data unavailable.", "Target ATR feasibility unavailable."]}</t>
        </is>
      </c>
    </row>
    <row r="535">
      <c r="A535" t="inlineStr">
        <is>
          <t>2026-06-10T13:39:21</t>
        </is>
      </c>
      <c r="B535" t="inlineStr">
        <is>
          <t>PANW</t>
        </is>
      </c>
      <c r="C535" t="inlineStr">
        <is>
          <t>No Trade</t>
        </is>
      </c>
      <c r="D535" t="n">
        <v>0</v>
      </c>
      <c r="E535" t="n">
        <v>258.25</v>
      </c>
      <c r="H535" t="n">
        <v>0</v>
      </c>
      <c r="K535" t="n">
        <v>0</v>
      </c>
      <c r="L535" t="inlineStr">
        <is>
          <t>No clean technical setup detected. Price in middle of value area or poor risk/reward.</t>
        </is>
      </c>
      <c r="M535" t="inlineStr">
        <is>
          <t>SKIP</t>
        </is>
      </c>
      <c r="N535" t="inlineStr">
        <is>
          <t>SKIP: No Trade result. Market regime NEUTRAL; sector STRONG; net R/R 0.00.</t>
        </is>
      </c>
      <c r="O535" t="inlineStr">
        <is>
          <t>PANW
No Trade
0.00
score
Price
258.25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209.22
Fib Zone
206.15 - 212.28
Swing Low
151.28
Swing High
302.95
Click chart to open full size</t>
        </is>
      </c>
      <c r="P535" t="inlineStr">
        <is>
          <t>agent_results/charts/market_lens_agent_20260610_133231_panw.png</t>
        </is>
      </c>
      <c r="Q535" t="inlineStr">
        <is>
          <t>Smart Universe: broad liquid US universe, diversified by sector | Sector: Technology - Strong (75/100); XLK sector regime is strong: 30.4% 3m return, 19.8% vs SPY | Setup: No Trade; score 0.00; R/R 0.00x; price 258.25 | Market: NEUTRAL; Sector regime: STRONG; Net R/R: 0.00; Factors: High Beta Growth, Technology | Agent action: SKIP - SKIP: No Trade result. Market regime NEUTRAL; sector STRONG; net R/R 0.00.</t>
        </is>
      </c>
      <c r="R535" t="inlineStr">
        <is>
          <t>{"adjusted_cash_out": 0.0, "adjusted_position_size": 0, "adjusted_risk_amount": 0.0, "ask": 0.0, "bid": 0.0, "buy_zone_high": null, "buy_zone_low": null, "cash_available": 93936.04, "company_name": "Palo Alto Networks, Inc.", "correlation_warning": false, "days_to_earnings": null, "earnings_blackout": false, "earnings_date": "", "estimated_fees": 0.0, "estimated_slippage": 0.3615, "estimated_spread": 0.0775, "executable_entry": 258.25,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258.25, "gross_rr": 0.0, "gross_rr_1": 0.0, "gross_rr_2": 0.0, "gross_rr_decision": 0.0, "highest_correlation_ticker": "HON", "highest_correlation_value": 0.1077, "initial_action": "SKIP", "market_cap": 212543856964.11,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258.4695, "net_reward_1_per_share": 0.0, "net_reward_2_per_share": 0.0, "net_risk_per_share": 258.689, "net_rr": 0.0, "net_rr_1": 0.0, "net_rr_2": 0.0, "net_stop_assumption": -0.2195, "net_target_1_assumption": -0.1291, "net_target_2_assumption": -0.1291, "normalized_atr_score": 100.0, "normalized_liquidity_score": 58.66, "normalized_momentum_score": 100, "normalized_quality_score": 87.6,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258.25,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258.25, "ticker": "PANW", "timestamp": "2026-06-10T13:39:21", "warnings": ["SPY data unavailable: Too Many Requests. Rate limited. Try after a while.", "Earnings data unavailable.", "Target ATR feasibility unavailable."]}</t>
        </is>
      </c>
    </row>
    <row r="536">
      <c r="A536" t="inlineStr">
        <is>
          <t>2026-06-10T13:39:21</t>
        </is>
      </c>
      <c r="B536" t="inlineStr">
        <is>
          <t>GS</t>
        </is>
      </c>
      <c r="C536" t="inlineStr">
        <is>
          <t>No Trade</t>
        </is>
      </c>
      <c r="D536" t="n">
        <v>0</v>
      </c>
      <c r="E536" t="n">
        <v>1031.78</v>
      </c>
      <c r="H536" t="n">
        <v>0</v>
      </c>
      <c r="K536" t="n">
        <v>0</v>
      </c>
      <c r="L536" t="inlineStr">
        <is>
          <t>No clean technical setup detected. Price in middle of value area or poor risk/reward.</t>
        </is>
      </c>
      <c r="M536" t="inlineStr">
        <is>
          <t>SKIP</t>
        </is>
      </c>
      <c r="N536" t="inlineStr">
        <is>
          <t>SKIP: No Trade result. Market regime NEUTRAL; sector STRONG; net R/R 0.00.</t>
        </is>
      </c>
      <c r="O536" t="inlineStr">
        <is>
          <t>GS
No Trade
0.00
score
Price
1031.78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842.30
Fib Zone
834.41 - 850.20
Swing Low
777.08
Swing High
947.83
Click chart to open full size</t>
        </is>
      </c>
      <c r="P536" t="inlineStr">
        <is>
          <t>agent_results/charts/market_lens_agent_20260610_133231_gs.png</t>
        </is>
      </c>
      <c r="Q536" t="inlineStr">
        <is>
          <t>Smart Universe: broad liquid US universe, diversified by sector | Sector: Financials - Strong (72/100); XLF sector regime is strong: 7.9% 3m return, -2.7% vs SPY | Setup: No Trade; score 0.00; R/R 0.00x; price 1031.78 | Market: NEUTRAL; Sector regime: STRONG; Net R/R: 0.00; Factors: Financials | Agent action: SKIP - SKIP: No Trade result. Market regime NEUTRAL; sector STRONG; net R/R 0.00.</t>
        </is>
      </c>
      <c r="R536" t="inlineStr">
        <is>
          <t>{"adjusted_cash_out": 0.0, "adjusted_position_size": 0, "adjusted_risk_amount": 0.0, "ask": 0.0, "bid": 0.0, "buy_zone_high": null, "buy_zone_low": null, "cash_available": 93936.04, "company_name": "Goldman Sachs Group, Inc.", "correlation_warning": false, "days_to_earnings": null, "earnings_blackout": false, "earnings_date": "", "estimated_fees": 0.0, "estimated_slippage": 1.4445, "estimated_spread": 0.3095, "executable_entry": 1031.78,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1031.78, "gross_rr": 0.0, "gross_rr_1": 0.0, "gross_rr_2": 0.0, "gross_rr_decision": 0.0, "highest_correlation_ticker": "HON", "highest_correlation_value": 0.3112, "initial_action": "SKIP", "market_cap": 304049405655.98,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1032.657, "net_reward_1_per_share": 0.0, "net_reward_2_per_share": 0.0, "net_risk_per_share": 1033.534, "net_rr": 0.0, "net_rr_1": 0.0, "net_rr_2": 0.0, "net_stop_assumption": -0.877, "net_target_1_assumption": -0.5159, "net_target_2_assumption": -0.5159, "normalized_atr_score": 100.0, "normalized_liquidity_score": 54.78, "normalized_momentum_score": 100, "normalized_quality_score": 86.43,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1031.78,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1031.78, "ticker": "GS", "timestamp": "2026-06-10T13:39:21", "warnings": ["SPY data unavailable: Too Many Requests. Rate limited. Try after a while.", "Earnings data unavailable.", "Target ATR feasibility unavailable."]}</t>
        </is>
      </c>
    </row>
    <row r="537">
      <c r="A537" t="inlineStr">
        <is>
          <t>2026-06-10T13:39:21</t>
        </is>
      </c>
      <c r="B537" t="inlineStr">
        <is>
          <t>ELV</t>
        </is>
      </c>
      <c r="C537" t="inlineStr">
        <is>
          <t>No Trade</t>
        </is>
      </c>
      <c r="D537" t="n">
        <v>0</v>
      </c>
      <c r="E537" t="n">
        <v>424.16</v>
      </c>
      <c r="H537" t="n">
        <v>0</v>
      </c>
      <c r="K537" t="n">
        <v>0</v>
      </c>
      <c r="L537" t="inlineStr">
        <is>
          <t>No clean technical setup detected. Price in middle of value area or poor risk/reward.</t>
        </is>
      </c>
      <c r="M537" t="inlineStr">
        <is>
          <t>SKIP</t>
        </is>
      </c>
      <c r="N537" t="inlineStr">
        <is>
          <t>SKIP: No Trade result. Market regime NEUTRAL; sector STRONG; net R/R 0.00.</t>
        </is>
      </c>
      <c r="O537" t="inlineStr">
        <is>
          <t>ELV
No Trade
0.00
score
Price
424.16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330.42
Fib Zone
327.94 - 332.89
Swing Low
282.46
Swing High
408.00
Click chart to open full size</t>
        </is>
      </c>
      <c r="P537" t="inlineStr">
        <is>
          <t>agent_results/charts/market_lens_agent_20260610_133231_elv.png</t>
        </is>
      </c>
      <c r="Q537" t="inlineStr">
        <is>
          <t>Smart Universe: broad liquid US universe, diversified by sector | Sector: Healthcare - Strong (68/100); XLV sector regime is strong: 3.2% 3m return, -7.4% vs SPY | Setup: No Trade; score 0.00; R/R 0.00x; price 424.16 | Market: NEUTRAL; Sector regime: STRONG; Net R/R: 0.00; Factors: Defensive, Healthcare | Agent action: SKIP - SKIP: No Trade result. Market regime NEUTRAL; sector STRONG; net R/R 0.00.</t>
        </is>
      </c>
      <c r="R537" t="inlineStr">
        <is>
          <t>{"adjusted_cash_out": 0.0, "adjusted_position_size": 0, "adjusted_risk_amount": 0.0, "ask": 0.0, "bid": 0.0, "buy_zone_high": null, "buy_zone_low": null, "cash_available": 93936.04, "company_name": "Elevance Health", "correlation_warning": false, "days_to_earnings": null, "earnings_blackout": false, "earnings_date": "", "estimated_fees": 0.0, "estimated_slippage": 0.5938, "estimated_spread": 0.1272, "executable_entry": 424.16,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424.16, "gross_rr": 0.0, "gross_rr_1": 0.0, "gross_rr_2": 0.0, "gross_rr_decision": 0.0, "highest_correlation_ticker": "HON", "highest_correlation_value": -0.0817, "initial_action": "SKIP", "market_cap": 90096329274.76,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424.5205, "net_reward_1_per_share": 0.0, "net_reward_2_per_share": 0.0, "net_risk_per_share": 424.8811, "net_rr": 0.0, "net_rr_1": 0.0, "net_rr_2": 0.0, "net_stop_assumption": -0.3605, "net_target_1_assumption": -0.2121, "net_target_2_assumption": -0.2121, "normalized_atr_score": 100.0, "normalized_liquidity_score": 54.91, "normalized_momentum_score": 100, "normalized_quality_score": 86.47,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424.16,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424.16, "ticker": "ELV", "timestamp": "2026-06-10T13:39:21", "warnings": ["SPY data unavailable: Too Many Requests. Rate limited. Try after a while.", "Earnings data unavailable.", "Target ATR feasibility unavailable."]}</t>
        </is>
      </c>
    </row>
    <row r="538">
      <c r="A538" t="inlineStr">
        <is>
          <t>2026-06-10T13:39:21</t>
        </is>
      </c>
      <c r="B538" t="inlineStr">
        <is>
          <t>URI</t>
        </is>
      </c>
      <c r="C538" t="inlineStr">
        <is>
          <t>No Trade</t>
        </is>
      </c>
      <c r="D538" t="n">
        <v>0</v>
      </c>
      <c r="E538" t="n">
        <v>1085.68</v>
      </c>
      <c r="H538" t="n">
        <v>0</v>
      </c>
      <c r="K538" t="n">
        <v>0</v>
      </c>
      <c r="L538" t="inlineStr">
        <is>
          <t>No clean technical setup detected. Price in middle of value area or poor risk/reward.</t>
        </is>
      </c>
      <c r="M538" t="inlineStr">
        <is>
          <t>SKIP</t>
        </is>
      </c>
      <c r="N538" t="inlineStr">
        <is>
          <t>SKIP: No Trade result. Market regime NEUTRAL; sector STRONG; net R/R 0.00.</t>
        </is>
      </c>
      <c r="O538" t="inlineStr">
        <is>
          <t>URI
No Trade
0.00
score
Price
1085.68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819.18
Fib Zone
811.53 - 826.82
Swing Low
707.99
Swing High
999.06
Click chart to open full size</t>
        </is>
      </c>
      <c r="P538" t="inlineStr">
        <is>
          <t>agent_results/charts/market_lens_agent_20260610_133231_uri.png</t>
        </is>
      </c>
      <c r="Q538" t="inlineStr">
        <is>
          <t>Smart Universe: broad liquid US universe, diversified by sector | Sector: Industrials - Strong (69/100); XLI sector regime is strong: 5.5% 3m return, -5.1% vs SPY | Setup: No Trade; score 0.00; R/R 0.00x; price 1085.68 | Market: NEUTRAL; Sector regime: STRONG; Net R/R: 0.00; Factors: Industrials | Agent action: SKIP - SKIP: No Trade result. Market regime NEUTRAL; sector STRONG; net R/R 0.00.</t>
        </is>
      </c>
      <c r="R538" t="inlineStr">
        <is>
          <t>{"adjusted_cash_out": 0.0, "adjusted_position_size": 0, "adjusted_risk_amount": 0.0, "ask": 0.0, "bid": 0.0, "buy_zone_high": null, "buy_zone_low": null, "cash_available": 93936.04, "company_name": "United Rentals, Inc.", "correlation_warning": false, "days_to_earnings": null, "earnings_blackout": false, "earnings_date": "", "estimated_fees": 0.0, "estimated_slippage": 3.257, "estimated_spread": 0.8685, "executable_entry": 1085.68,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1085.68, "gross_rr": 0.0, "gross_rr_1": 0.0, "gross_rr_2": 0.0, "gross_rr_decision": 0.0, "highest_correlation_ticker": "HON", "highest_correlation_value": 0.0142, "initial_action": "SKIP", "market_cap": 68195159188.68,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1087.7428, "net_reward_1_per_share": 0.0, "net_reward_2_per_share": 0.0, "net_risk_per_share": 1089.8056, "net_rr": 0.0, "net_rr_1": 0.0, "net_rr_2": 0.0, "net_stop_assumption": -2.0628, "net_target_1_assumption": -1.2485, "net_target_2_assumption": -1.2485, "normalized_atr_score": 100.0, "normalized_liquidity_score": 46.29, "normalized_momentum_score": 100, "normalized_quality_score": 83.89,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1085.68,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1085.68, "ticker": "URI", "timestamp": "2026-06-10T13:39:21", "warnings": ["SPY data unavailable: Too Many Requests. Rate limited. Try after a while.", "Earnings data unavailable.", "Target ATR feasibility unavailable."]}</t>
        </is>
      </c>
    </row>
    <row r="539">
      <c r="A539" t="inlineStr">
        <is>
          <t>2026-06-10T13:39:21</t>
        </is>
      </c>
      <c r="B539" t="inlineStr">
        <is>
          <t>C</t>
        </is>
      </c>
      <c r="C539" t="inlineStr">
        <is>
          <t>No Trade</t>
        </is>
      </c>
      <c r="D539" t="n">
        <v>0</v>
      </c>
      <c r="E539" t="n">
        <v>135.83</v>
      </c>
      <c r="H539" t="n">
        <v>0</v>
      </c>
      <c r="K539" t="n">
        <v>0</v>
      </c>
      <c r="L539" t="inlineStr">
        <is>
          <t>No clean technical setup detected. Price in middle of value area or poor risk/reward.</t>
        </is>
      </c>
      <c r="M539" t="inlineStr">
        <is>
          <t>SKIP</t>
        </is>
      </c>
      <c r="N539" t="inlineStr">
        <is>
          <t>SKIP: No Trade result. Market regime NEUTRAL; sector STRONG; net R/R 0.00.</t>
        </is>
      </c>
      <c r="O539" t="inlineStr">
        <is>
          <t>C
No Trade
0.00
score
Price
135.83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114.18
Fib Zone
113.31 - 115.05
Swing Low
101.53
Swing High
134.65
Click chart to open full size</t>
        </is>
      </c>
      <c r="P539" t="inlineStr">
        <is>
          <t>agent_results/charts/market_lens_agent_20260610_133231_c.png</t>
        </is>
      </c>
      <c r="Q539" t="inlineStr">
        <is>
          <t>Smart Universe: broad liquid US universe, diversified by sector | Sector: Financials - Strong (72/100); XLF sector regime is strong: 7.9% 3m return, -2.7% vs SPY | Setup: No Trade; score 0.00; R/R 0.00x; price 135.83 | Market: NEUTRAL; Sector regime: STRONG; Net R/R: 0.00; Factors: Financials | Agent action: SKIP - SKIP: No Trade result. Market regime NEUTRAL; sector STRONG; net R/R 0.00.</t>
        </is>
      </c>
      <c r="R539" t="inlineStr">
        <is>
          <t>{"adjusted_cash_out": 0.0, "adjusted_position_size": 0, "adjusted_risk_amount": 0.0, "ask": 0.0, "bid": 0.0, "buy_zone_high": null, "buy_zone_low": null, "cash_available": 93936.04, "company_name": "Citigroup Inc.", "correlation_warning": false, "days_to_earnings": null, "earnings_blackout": false, "earnings_date": "", "estimated_fees": 0.0, "estimated_slippage": 0.1902, "estimated_spread": 0.0407, "executable_entry": 135.83,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135.83, "gross_rr": 0.0, "gross_rr_1": 0.0, "gross_rr_2": 0.0, "gross_rr_decision": 0.0, "highest_correlation_ticker": "HON", "highest_correlation_value": 0.3049, "initial_action": "SKIP", "market_cap": 229400100447.5,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135.9455, "net_reward_1_per_share": 0.0, "net_reward_2_per_share": 0.0, "net_risk_per_share": 136.0609, "net_rr": 0.0, "net_rr_1": 0.0, "net_rr_2": 0.0, "net_stop_assumption": -0.1155, "net_target_1_assumption": -0.0679, "net_target_2_assumption": -0.0679, "normalized_atr_score": 100.0, "normalized_liquidity_score": 40.82, "normalized_momentum_score": 100, "normalized_quality_score": 82.25,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135.83,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135.83, "ticker": "C", "timestamp": "2026-06-10T13:39:21", "warnings": ["SPY data unavailable: Too Many Requests. Rate limited. Try after a while.", "Earnings data unavailable.", "Target ATR feasibility unavailable."]}</t>
        </is>
      </c>
    </row>
    <row r="540">
      <c r="A540" t="inlineStr">
        <is>
          <t>2026-06-10T13:39:21</t>
        </is>
      </c>
      <c r="B540" t="inlineStr">
        <is>
          <t>CAT</t>
        </is>
      </c>
      <c r="C540" t="inlineStr">
        <is>
          <t>No Trade</t>
        </is>
      </c>
      <c r="D540" t="n">
        <v>0</v>
      </c>
      <c r="E540" t="n">
        <v>900.97</v>
      </c>
      <c r="H540" t="n">
        <v>0</v>
      </c>
      <c r="K540" t="n">
        <v>0</v>
      </c>
      <c r="L540" t="inlineStr">
        <is>
          <t>No clean technical setup detected. Price in middle of value area or poor risk/reward.</t>
        </is>
      </c>
      <c r="M540" t="inlineStr">
        <is>
          <t>SKIP</t>
        </is>
      </c>
      <c r="N540" t="inlineStr">
        <is>
          <t>SKIP: No Trade result. Market regime NEUTRAL; sector STRONG; net R/R 0.00.</t>
        </is>
      </c>
      <c r="O540" t="inlineStr">
        <is>
          <t>CAT
No Trade
0.00
score
Price
900.97
R/R
0.00x
Grade
No Trade
Quality
0%
Buy Zone
-
Stop
0.00
Targets
-
Skip
Mixed
Relative Strength
Lagging
6%
Trend Quality
Clean uptrend
86%
Liquidity
Institutional liquidity
100%
Volume
Distribution risk
45%
No actionable setup detected.
No clean technical setup detected. Price in middle of value area or poor risk/reward.
Fib 61.8
764.64
Fib Zone
756.89 - 772.39
Swing Low
661.59
Swing High
931.35
Click chart to open full size</t>
        </is>
      </c>
      <c r="P540" t="inlineStr">
        <is>
          <t>agent_results/charts/market_lens_agent_20260610_133231_cat.png</t>
        </is>
      </c>
      <c r="Q540" t="inlineStr">
        <is>
          <t>Smart Universe: broad liquid US universe, diversified by sector | Sector: Industrials - Strong (69/100); XLI sector regime is strong: 5.5% 3m return, -5.1% vs SPY | Setup: No Trade; score 0.00; R/R 0.00x; price 900.97 | Market: NEUTRAL; Sector regime: STRONG; Net R/R: 0.00; Factors: Industrials | Agent action: SKIP - SKIP: No Trade result. Market regime NEUTRAL; sector STRONG; net R/R 0.00.</t>
        </is>
      </c>
      <c r="R540" t="inlineStr">
        <is>
          <t>{"adjusted_cash_out": 0.0, "adjusted_position_size": 0, "adjusted_risk_amount": 0.0, "ask": 0.0, "bid": 0.0, "buy_zone_high": null, "buy_zone_low": null, "cash_available": 93936.04, "company_name": "Caterpillar Inc.", "correlation_warning": false, "days_to_earnings": null, "earnings_blackout": false, "earnings_date": "", "estimated_fees": 0.0, "estimated_slippage": 1.2614, "estimated_spread": 0.2703, "executable_entry": 900.97,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900.97, "gross_rr": 0.0, "gross_rr_1": 0.0, "gross_rr_2": 0.0, "gross_rr_decision": 0.0, "highest_correlation_ticker": "HON", "highest_correlation_value": 0.3548, "initial_action": "SKIP", "market_cap": 413597769480.6,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901.7358, "net_reward_1_per_share": 0.0, "net_reward_2_per_share": 0.0, "net_risk_per_share": 902.5016, "net_rr": 0.0, "net_rr_1": 0.0, "net_rr_2": 0.0, "net_stop_assumption": -0.7658, "net_target_1_assumption": -0.4505, "net_target_2_assumption": -0.4505, "normalized_atr_score": 100.0, "normalized_liquidity_score": 56.09, "normalized_momentum_score": 100, "normalized_quality_score": 86.83,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900.97,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900.97, "ticker": "CAT", "timestamp": "2026-06-10T13:39:21", "warnings": ["SPY data unavailable: Too Many Requests. Rate limited. Try after a while.", "Earnings data unavailable.", "Target ATR feasibility unavailable."]}</t>
        </is>
      </c>
    </row>
    <row r="541">
      <c r="A541" t="inlineStr">
        <is>
          <t>2026-06-10T13:39:21</t>
        </is>
      </c>
      <c r="B541" t="inlineStr">
        <is>
          <t>TXN</t>
        </is>
      </c>
      <c r="C541" t="inlineStr">
        <is>
          <t>No Trade</t>
        </is>
      </c>
      <c r="D541" t="n">
        <v>0</v>
      </c>
      <c r="E541" t="n">
        <v>285.33</v>
      </c>
      <c r="H541" t="n">
        <v>0</v>
      </c>
      <c r="K541" t="n">
        <v>0</v>
      </c>
      <c r="L541" t="inlineStr">
        <is>
          <t>No clean technical setup detected. Price in middle of value area or poor risk/reward.</t>
        </is>
      </c>
      <c r="M541" t="inlineStr">
        <is>
          <t>SKIP</t>
        </is>
      </c>
      <c r="N541" t="inlineStr">
        <is>
          <t>SKIP: No Trade result. Market regime NEUTRAL; sector STRONG; net R/R 0.00.</t>
        </is>
      </c>
      <c r="O541" t="inlineStr">
        <is>
          <t>TXN
No Trade
0.00
score
Price
285.33
R/R
0.00x
Grade
No Trade
Quality
0%
Buy Zone
-
Stop
0.00
Targets
-
Skip
Mixed
Relative Strength
Leadership
100%
Trend Quality
Constructive
68%
Liquidity
Institutional liquidity
100%
Volume
Distribution risk
45%
No actionable setup detected.
No clean technical setup detected. Price in middle of value area or poor risk/reward.
Fib 61.8
223.12
Fib Zone
220.02 - 226.21
Swing Low
184.01
Swing High
286.37
Click chart to open full size</t>
        </is>
      </c>
      <c r="P541" t="inlineStr">
        <is>
          <t>agent_results/charts/market_lens_agent_20260610_133231_txn.png</t>
        </is>
      </c>
      <c r="Q541" t="inlineStr">
        <is>
          <t>Smart Universe: broad liquid US universe, diversified by sector | Sector: Technology - Strong (75/100); XLK sector regime is strong: 30.4% 3m return, 19.8% vs SPY | Setup: No Trade; score 0.00; R/R 0.00x; price 285.33 | Market: NEUTRAL; Sector regime: STRONG; Net R/R: 0.00; Factors: AI / Semiconductors, Technology | Agent action: SKIP - SKIP: No Trade result. Market regime NEUTRAL; sector STRONG; net R/R 0.00.</t>
        </is>
      </c>
      <c r="R541" t="inlineStr">
        <is>
          <t>{"adjusted_cash_out": 0.0, "adjusted_position_size": 0, "adjusted_risk_amount": 0.0, "ask": 0.0, "bid": 0.0, "buy_zone_high": null, "buy_zone_low": null, "cash_available": 93936.04, "company_name": "Texas Instruments Incorporated", "correlation_warning": false, "days_to_earnings": null, "earnings_blackout": false, "earnings_date": "", "estimated_fees": 0.0, "estimated_slippage": 0.3995, "estimated_spread": 0.0856, "executable_entry": 285.33, "execution_liquidity_bucket": "large_liquid", "factor_exposure_after": {"Industrials": 5700.24}, "factor_exposure_before": {"Industrials": 5700.24}, "factor_exposure_cap": 7000.0, "factor_exposure_limit_exceeded": false, "factor_tags": ["AI / Semiconductors", "Technology"], "final_action": "SKIP", "gross_reward_1_per_share": 0.0, "gross_reward_2_per_share": 0.0, "gross_risk_per_share": 285.33, "gross_rr": 0.0, "gross_rr_1": 0.0, "gross_rr_2": 0.0, "gross_rr_decision": 0.0, "highest_correlation_ticker": "HON", "highest_correlation_value": 0.1207, "initial_action": "SKIP", "market_cap": 258903207182.26,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285.5725, "net_reward_1_per_share": 0.0, "net_reward_2_per_share": 0.0, "net_risk_per_share": 285.8151, "net_rr": 0.0, "net_rr_1": 0.0, "net_rr_2": 0.0, "net_stop_assumption": -0.2425, "net_target_1_assumption": -0.1427, "net_target_2_assumption": -0.1427, "normalized_atr_score": 100.0, "normalized_liquidity_score": 56.94, "normalized_momentum_score": 100, "normalized_quality_score": 87.08,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285.33,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285.33, "ticker": "TXN", "timestamp": "2026-06-10T13:39:21", "warnings": ["SPY data unavailable: Too Many Requests. Rate limited. Try after a while.", "Earnings data unavailable.", "Target ATR feasibility unavailable."]}</t>
        </is>
      </c>
    </row>
    <row r="542">
      <c r="A542" t="inlineStr">
        <is>
          <t>2026-06-10T13:39:21</t>
        </is>
      </c>
      <c r="B542" t="inlineStr">
        <is>
          <t>AMD</t>
        </is>
      </c>
      <c r="C542" t="inlineStr">
        <is>
          <t>No Trade</t>
        </is>
      </c>
      <c r="D542" t="n">
        <v>0</v>
      </c>
      <c r="E542" t="n">
        <v>468.64</v>
      </c>
      <c r="H542" t="n">
        <v>0</v>
      </c>
      <c r="K542" t="n">
        <v>0</v>
      </c>
      <c r="L542" t="inlineStr">
        <is>
          <t>No clean technical setup detected. Price in middle of value area or poor risk/reward.</t>
        </is>
      </c>
      <c r="M542" t="inlineStr">
        <is>
          <t>SKIP</t>
        </is>
      </c>
      <c r="N542" t="inlineStr">
        <is>
          <t>SKIP: No Trade result. Market regime NEUTRAL; sector STRONG; net R/R 0.00.</t>
        </is>
      </c>
      <c r="O542" t="inlineStr">
        <is>
          <t>AMD
No Trade
0.00
score
Price
468.64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451.84
Fib Zone
444.20 - 459.47
Swing Low
393.36
Swing High
546.44
Click chart to open full size</t>
        </is>
      </c>
      <c r="P542" t="inlineStr">
        <is>
          <t>agent_results/charts/market_lens_agent_20260610_133231_amd.png</t>
        </is>
      </c>
      <c r="Q542" t="inlineStr">
        <is>
          <t>Smart Universe: broad liquid US universe, diversified by sector | Sector: Technology - Strong (75/100); XLK sector regime is strong: 30.4% 3m return, 19.8% vs SPY | Setup: No Trade; score 0.00; R/R 0.00x; price 468.64 | Market: NEUTRAL; Sector regime: STRONG; Net R/R: 0.00; Factors: AI / Semiconductors, High Beta Growth, Technology | Agent action: SKIP - SKIP: No Trade result. Market regime NEUTRAL; sector STRONG; net R/R 0.00.</t>
        </is>
      </c>
      <c r="R542" t="inlineStr">
        <is>
          <t>{"adjusted_cash_out": 0.0, "adjusted_position_size": 0, "adjusted_risk_amount": 0.0, "ask": 0.0, "bid": 0.0, "buy_zone_high": null, "buy_zone_low": null, "cash_available": 93936.04, "company_name": "Advanced Micro Devices, Inc.", "correlation_warning": false, "days_to_earnings": null, "earnings_blackout": false, "earnings_date": "", "estimated_fees": 0.0, "estimated_slippage": 0.7545, "estimated_spread": 0.1406, "executable_entry": 468.64, "execution_liquidity_bucket": "large_liquid", "factor_exposure_after": {"Industrials": 5700.24}, "factor_exposure_before": {"Industrials": 5700.24}, "factor_exposure_cap": 7000.0, "factor_exposure_limit_exceeded": false, "factor_tags": ["AI / Semiconductors", "High Beta Growth", "Technology"], "final_action": "SKIP", "gross_reward_1_per_share": 0.0, "gross_reward_2_per_share": 0.0, "gross_risk_per_share": 468.64, "gross_rr": 0.0, "gross_rr_1": 0.0, "gross_rr_2": 0.0, "gross_rr_decision": 0.0, "highest_correlation_ticker": "HON", "highest_correlation_value": 0.1949, "initial_action": "SKIP", "market_cap": 766398622260.22,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469.0876, "net_reward_1_per_share": 0.0, "net_reward_2_per_share": 0.0, "net_risk_per_share": 469.5351, "net_rr": 0.0, "net_rr_1": 0.0, "net_rr_2": 0.0, "net_stop_assumption": -0.4476, "net_target_1_assumption": -0.2589, "net_target_2_assumption": -0.2589, "normalized_atr_score": 82.3, "normalized_liquidity_score": 100, "normalized_momentum_score": 100, "normalized_quality_score": 95.58,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468.64,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468.64, "ticker": "AMD", "timestamp": "2026-06-10T13:39:21", "warnings": ["SPY data unavailable: Too Many Requests. Rate limited. Try after a while.", "Earnings data unavailable.", "Target ATR feasibility unavailable."]}</t>
        </is>
      </c>
    </row>
    <row r="543">
      <c r="A543" t="inlineStr">
        <is>
          <t>2026-06-10T13:39:21</t>
        </is>
      </c>
      <c r="B543" t="inlineStr">
        <is>
          <t>CRWD</t>
        </is>
      </c>
      <c r="C543" t="inlineStr">
        <is>
          <t>No Trade</t>
        </is>
      </c>
      <c r="D543" t="n">
        <v>0</v>
      </c>
      <c r="E543" t="n">
        <v>642.27</v>
      </c>
      <c r="H543" t="n">
        <v>0</v>
      </c>
      <c r="K543" t="n">
        <v>0</v>
      </c>
      <c r="L543" t="inlineStr">
        <is>
          <t>No clean technical setup detected. Price in middle of value area or poor risk/reward.</t>
        </is>
      </c>
      <c r="M543" t="inlineStr">
        <is>
          <t>SKIP</t>
        </is>
      </c>
      <c r="N543" t="inlineStr">
        <is>
          <t>SKIP: No Trade result. Market regime NEUTRAL; sector STRONG; net R/R 0.00.</t>
        </is>
      </c>
      <c r="O543" t="inlineStr">
        <is>
          <t>CRWD
No Trade
0.00
score
Price
642.27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567.44
Fib Zone
558.95 - 575.93
Swing Low
432.55
Swing High
785.66
Click chart to open full size</t>
        </is>
      </c>
      <c r="P543" t="inlineStr">
        <is>
          <t>agent_results/charts/market_lens_agent_20260610_133231_crwd.png</t>
        </is>
      </c>
      <c r="Q543" t="inlineStr">
        <is>
          <t>Smart Universe: broad liquid US universe, diversified by sector | Sector: Technology - Strong (75/100); XLK sector regime is strong: 30.4% 3m return, 19.8% vs SPY | Setup: No Trade; score 0.00; R/R 0.00x; price 642.27 | Market: NEUTRAL; Sector regime: STRONG; Net R/R: 0.00; Factors: High Beta Growth, Technology | Agent action: SKIP - SKIP: No Trade result. Market regime NEUTRAL; sector STRONG; net R/R 0.00.</t>
        </is>
      </c>
      <c r="R543" t="inlineStr">
        <is>
          <t>{"adjusted_cash_out": 0.0, "adjusted_position_size": 0, "adjusted_risk_amount": 0.0, "ask": 0.0, "bid": 0.0, "buy_zone_high": null, "buy_zone_low": null, "cash_available": 93936.04, "company_name": "CrowdStrike Holdings, Inc.", "correlation_warning": false, "days_to_earnings": null, "earnings_blackout": false, "earnings_date": "", "estimated_fees": 0.0, "estimated_slippage": 0.8992, "estimated_spread": 0.1927, "executable_entry": 642.27, "execution_liquidity_bucket": "large_liquid", "factor_exposure_after": {"Industrials": 5700.24}, "factor_exposure_before": {"Industrials": 5700.24}, "factor_exposure_cap": 7000.0, "factor_exposure_limit_exceeded": false, "factor_tags": ["High Beta Growth", "Technology"], "final_action": "SKIP", "gross_reward_1_per_share": 0.0, "gross_reward_2_per_share": 0.0, "gross_risk_per_share": 642.27, "gross_rr": 0.0, "gross_rr_1": 0.0, "gross_rr_2": 0.0, "gross_rr_decision": 0.0, "highest_correlation_ticker": "HON", "highest_correlation_value": 0.0508, "initial_action": "SKIP", "market_cap": 165062368099.74,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642.8159, "net_reward_1_per_share": 0.0, "net_reward_2_per_share": 0.0, "net_risk_per_share": 643.3619, "net_rr": 0.0, "net_rr_1": 0.0, "net_rr_2": 0.0, "net_stop_assumption": -0.5459, "net_target_1_assumption": -0.3211, "net_target_2_assumption": -0.3211, "normalized_atr_score": 100.0, "normalized_liquidity_score": 93.85, "normalized_momentum_score": 100, "normalized_quality_score": 98.16,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642.27, "prior_high_20": 0.0, "prior_high_63": 0.0, "reason": "SKIP: No Trade result. Market regime NEUTRAL; sector STRONG; net R/R 0.00.", "risk_amount": 0.0, "scan_source": "Smart Universe: broad liquid US universe filtered and diversified by the Market Lens UI.", "sector": "Technology", "sector_etf": "XLK", "sector_exposure_after": 0.0, "sector_exposure_before": 0.0, "sector_exposure_cap": 6000.0, "sector_exposure_limit_exceeded": false, "sector_regime": "STRONG", "sector_score": 75.16, "setup_score": 0.0, "setup_type": "No Trade", "sizing_adjustment_reason": "", "spread_source": "liquidity_fallback", "stock_score": 0.0, "stop_loss": 0.0, "target_1": null, "target_1_atr_distance": 0.0, "target_2": null, "target_2_atr_distance": 0.0, "target_feasibility_status": "UNKNOWN", "theoretical_entry": 642.27, "ticker": "CRWD", "timestamp": "2026-06-10T13:39:21", "warnings": ["SPY data unavailable: Too Many Requests. Rate limited. Try after a while.", "Earnings data unavailable.", "Target ATR feasibility unavailable."]}</t>
        </is>
      </c>
    </row>
    <row r="544">
      <c r="A544" t="inlineStr">
        <is>
          <t>2026-06-10T13:39:21</t>
        </is>
      </c>
      <c r="B544" t="inlineStr">
        <is>
          <t>TSM</t>
        </is>
      </c>
      <c r="C544" t="inlineStr">
        <is>
          <t>No Trade</t>
        </is>
      </c>
      <c r="D544" t="n">
        <v>0</v>
      </c>
      <c r="E544" t="n">
        <v>416.14</v>
      </c>
      <c r="H544" t="n">
        <v>0</v>
      </c>
      <c r="K544" t="n">
        <v>0</v>
      </c>
      <c r="L544" t="inlineStr">
        <is>
          <t>No clean technical setup detected. Price in middle of value area or poor risk/reward.</t>
        </is>
      </c>
      <c r="M544" t="inlineStr">
        <is>
          <t>SKIP</t>
        </is>
      </c>
      <c r="N544" t="inlineStr">
        <is>
          <t>SKIP: No Trade result. Market regime NEUTRAL; sector STRONG; net R/R 0.00.</t>
        </is>
      </c>
      <c r="O544" t="inlineStr">
        <is>
          <t>TSM
No Trade
0.00
score
Price
416.14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409.93
Fib Zone
405.50 - 414.36
Swing Low
385.06
Swing High
450.16
Click chart to open full size</t>
        </is>
      </c>
      <c r="P544" t="inlineStr">
        <is>
          <t>agent_results/charts/market_lens_agent_20260610_133231_tsm.png</t>
        </is>
      </c>
      <c r="Q544" t="inlineStr">
        <is>
          <t>Smart Universe: broad liquid US universe, diversified by sector | Sector: Semiconductors - Strong (100/100); SMH sector regime is strong: 51.2% 3m return, 40.6% vs SPY | Setup: No Trade; score 0.00; R/R 0.00x; price 416.14 | Market: NEUTRAL; Sector regime: STRONG; Net R/R: 0.00; Factors: AI / Semiconductors, Semiconductors | Agent action: SKIP - SKIP: No Trade result. Market regime NEUTRAL; sector STRONG; net R/R 0.00.</t>
        </is>
      </c>
      <c r="R544" t="inlineStr">
        <is>
          <t>{"adjusted_cash_out": 0.0, "adjusted_position_size": 0, "adjusted_risk_amount": 0.0, "ask": 0.0, "bid": 0.0, "buy_zone_high": null, "buy_zone_low": null, "cash_available": 93936.04, "company_name": "Taiwan Semiconductor Manufacturing Company Limited", "correlation_warning": false, "days_to_earnings": null, "earnings_blackout": false, "earnings_date": "", "estimated_fees": 0.0, "estimated_slippage": 0.5826, "estimated_spread": 0.1248, "executable_entry": 416.14, "execution_liquidity_bucket": "large_liquid", "factor_exposure_after": {"Industrials": 5700.24}, "factor_exposure_before": {"Industrials": 5700.24}, "factor_exposure_cap": 7000.0, "factor_exposure_limit_exceeded": false, "factor_tags": ["AI / Semiconductors", "Semiconductors"], "final_action": "SKIP", "gross_reward_1_per_share": 0.0, "gross_reward_2_per_share": 0.0, "gross_risk_per_share": 416.14, "gross_rr": 0.0, "gross_rr_1": 0.0, "gross_rr_2": 0.0, "gross_rr_decision": 0.0, "highest_correlation_ticker": "HON", "highest_correlation_value": 0.3299, "initial_action": "SKIP", "market_cap": 2167634961655.51,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416.4937, "net_reward_1_per_share": 0.0, "net_reward_2_per_share": 0.0, "net_risk_per_share": 416.8474, "net_rr": 0.0, "net_rr_1": 0.0, "net_rr_2": 0.0, "net_stop_assumption": -0.3537, "net_target_1_assumption": -0.2081, "net_target_2_assumption": -0.2081, "normalized_atr_score": 100.0, "normalized_liquidity_score": 78.71, "normalized_momentum_score": 100, "normalized_quality_score": 93.61,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416.14, "prior_high_20": 0.0, "prior_high_63": 0.0, "reason": "SKIP: No Trade result. Market regime NEUTRAL; sector STRONG; net R/R 0.00.", "risk_amount": 0.0, "scan_source": "Smart Universe: broad liquid US universe filtered and diversified by the Market Lens UI.", "sector": "Semiconductors", "sector_etf": "SMH", "sector_exposure_after": 0.0, "sector_exposure_before": 0.0, "sector_exposure_cap": 6000.0, "sector_exposure_limit_exceeded": false, "sector_regime": "STRONG", "sector_score": 100.0, "setup_score": 0.0, "setup_type": "No Trade", "sizing_adjustment_reason": "", "spread_source": "liquidity_fallback", "stock_score": 0.0, "stop_loss": 0.0, "target_1": null, "target_1_atr_distance": 0.0, "target_2": null, "target_2_atr_distance": 0.0, "target_feasibility_status": "UNKNOWN", "theoretical_entry": 416.14, "ticker": "TSM", "timestamp": "2026-06-10T13:39:21", "warnings": ["SPY data unavailable: Too Many Requests. Rate limited. Try after a while.", "Earnings data unavailable.", "Target ATR feasibility unavailable."]}</t>
        </is>
      </c>
    </row>
    <row r="545">
      <c r="A545" t="inlineStr">
        <is>
          <t>2026-06-10T13:39:21</t>
        </is>
      </c>
      <c r="B545" t="inlineStr">
        <is>
          <t>LLY</t>
        </is>
      </c>
      <c r="C545" t="inlineStr">
        <is>
          <t>No Trade</t>
        </is>
      </c>
      <c r="D545" t="n">
        <v>0</v>
      </c>
      <c r="E545" t="n">
        <v>1138.3</v>
      </c>
      <c r="H545" t="n">
        <v>0</v>
      </c>
      <c r="K545" t="n">
        <v>0</v>
      </c>
      <c r="L545" t="inlineStr">
        <is>
          <t>No clean technical setup detected. Price in middle of value area or poor risk/reward.</t>
        </is>
      </c>
      <c r="M545" t="inlineStr">
        <is>
          <t>SKIP</t>
        </is>
      </c>
      <c r="N545" t="inlineStr">
        <is>
          <t>SKIP: No Trade result. Market regime NEUTRAL; sector STRONG; net R/R 0.00.</t>
        </is>
      </c>
      <c r="O545" t="inlineStr">
        <is>
          <t>LLY
No Trade
0.00
score
Price
1138.30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963.67
Fib Zone
954.85 - 972.48
Swing Low
849.05
Swing High
1149.10
Click chart to open full size</t>
        </is>
      </c>
      <c r="P545" t="inlineStr">
        <is>
          <t>agent_results/charts/market_lens_agent_20260610_133231_lly.png</t>
        </is>
      </c>
      <c r="Q545" t="inlineStr">
        <is>
          <t>Smart Universe: broad liquid US universe, diversified by sector | Sector: Healthcare - Strong (68/100); XLV sector regime is strong: 3.2% 3m return, -7.4% vs SPY | Setup: No Trade; score 0.00; R/R 0.00x; price 1138.30 | Market: NEUTRAL; Sector regime: STRONG; Net R/R: 0.00; Factors: Defensive, Healthcare | Agent action: SKIP - SKIP: No Trade result. Market regime NEUTRAL; sector STRONG; net R/R 0.00.</t>
        </is>
      </c>
      <c r="R545" t="inlineStr">
        <is>
          <t>{"adjusted_cash_out": 0.0, "adjusted_position_size": 0, "adjusted_risk_amount": 0.0, "ask": 0.0, "bid": 0.0, "buy_zone_high": null, "buy_zone_low": null, "cash_available": 93936.04, "company_name": "Eli Lilly and Company", "correlation_warning": false, "days_to_earnings": null, "earnings_blackout": false, "earnings_date": "", "estimated_fees": 0.0, "estimated_slippage": 1.5936, "estimated_spread": 0.3415, "executable_entry": 1138.3,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1138.3, "gross_rr": 0.0, "gross_rr_1": 0.0, "gross_rr_2": 0.0, "gross_rr_decision": 0.0, "highest_correlation_ticker": "HON", "highest_correlation_value": 0.258, "initial_action": "SKIP", "market_cap": 1023817212580.04,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1139.2676, "net_reward_1_per_share": 0.0, "net_reward_2_per_share": 0.0, "net_risk_per_share": 1140.2351, "net_rr": 0.0, "net_rr_1": 0.0, "net_rr_2": 0.0, "net_stop_assumption": -0.9676, "net_target_1_assumption": -0.5691, "net_target_2_assumption": -0.5691, "normalized_atr_score": 100.0, "normalized_liquidity_score": 66.54, "normalized_momentum_score": 100, "normalized_quality_score": 89.96,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1138.3,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1138.3, "ticker": "LLY", "timestamp": "2026-06-10T13:39:21", "warnings": ["SPY data unavailable: Too Many Requests. Rate limited. Try after a while.", "Earnings data unavailable.", "Target ATR feasibility unavailable."]}</t>
        </is>
      </c>
    </row>
    <row r="546">
      <c r="A546" t="inlineStr">
        <is>
          <t>2026-06-10T13:39:21</t>
        </is>
      </c>
      <c r="B546" t="inlineStr">
        <is>
          <t>BAC</t>
        </is>
      </c>
      <c r="C546" t="inlineStr">
        <is>
          <t>No Trade</t>
        </is>
      </c>
      <c r="D546" t="n">
        <v>0</v>
      </c>
      <c r="E546" t="n">
        <v>54.59</v>
      </c>
      <c r="H546" t="n">
        <v>0</v>
      </c>
      <c r="K546" t="n">
        <v>0</v>
      </c>
      <c r="L546" t="inlineStr">
        <is>
          <t>No clean technical setup detected. Price in middle of value area or poor risk/reward.</t>
        </is>
      </c>
      <c r="M546" t="inlineStr">
        <is>
          <t>SKIP</t>
        </is>
      </c>
      <c r="N546" t="inlineStr">
        <is>
          <t>SKIP: No Trade result. Market regime NEUTRAL; sector STRONG; net R/R 0.00.</t>
        </is>
      </c>
      <c r="O546" t="inlineStr">
        <is>
          <t>BAC
No Trade
0.00
score
Price
54.59
R/R
0.00x
Grade
No Trade
Quality
0%
Buy Zone
-
Stop
0.00
Targets
-
Skip
Mixed
Relative Strength
Leadership
100%
Trend Quality
Constructive
68%
Liquidity
Institutional liquidity
100%
Volume
Neutral
65%
No actionable setup detected.
No clean technical setup detected. Price in middle of value area or poor risk/reward.
Fib 61.8
49.41
Fib Zone
49.14 - 49.68
Swing Low
45.88
Swing High
55.11
Click chart to open full size</t>
        </is>
      </c>
      <c r="P546" t="inlineStr">
        <is>
          <t>agent_results/charts/market_lens_agent_20260610_133231_bac.png</t>
        </is>
      </c>
      <c r="Q546" t="inlineStr">
        <is>
          <t>Smart Universe: broad liquid US universe, diversified by sector | Sector: Financials - Strong (72/100); XLF sector regime is strong: 7.9% 3m return, -2.7% vs SPY | Setup: No Trade; score 0.00; R/R 0.00x; price 54.59 | Market: NEUTRAL; Sector regime: STRONG; Net R/R: 0.00; Factors: Financials | Agent action: SKIP - SKIP: No Trade result. Market regime NEUTRAL; sector STRONG; net R/R 0.00.</t>
        </is>
      </c>
      <c r="R546" t="inlineStr">
        <is>
          <t>{"adjusted_cash_out": 0.0, "adjusted_position_size": 0, "adjusted_risk_amount": 0.0, "ask": 0.0, "bid": 0.0, "buy_zone_high": null, "buy_zone_low": null, "cash_available": 93936.04, "company_name": "Bank of America Corporation", "correlation_warning": false, "days_to_earnings": null, "earnings_blackout": false, "earnings_date": "", "estimated_fees": 0.0, "estimated_slippage": 0.0764, "estimated_spread": 0.0164, "executable_entry": 54.59,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54.59, "gross_rr": 0.0, "gross_rr_1": 0.0, "gross_rr_2": 0.0, "gross_rr_decision": 0.0, "highest_correlation_ticker": "HON", "highest_correlation_value": 0.2728, "initial_action": "SKIP", "market_cap": 388041578962.39,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54.6364, "net_reward_1_per_share": 0.0, "net_reward_2_per_share": 0.0, "net_risk_per_share": 54.6828, "net_rr": 0.0, "net_rr_1": 0.0, "net_rr_2": 0.0, "net_stop_assumption": -0.0464, "net_target_1_assumption": -0.0273, "net_target_2_assumption": -0.0273, "normalized_atr_score": 100.0, "normalized_liquidity_score": 51.74, "normalized_momentum_score": 100, "normalized_quality_score": 85.52,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54.59,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54.59, "ticker": "BAC", "timestamp": "2026-06-10T13:39:21", "warnings": ["SPY data unavailable: Too Many Requests. Rate limited. Try after a while.", "Earnings data unavailable.", "Target ATR feasibility unavailable."]}</t>
        </is>
      </c>
    </row>
    <row r="547">
      <c r="A547" t="inlineStr">
        <is>
          <t>2026-06-10T13:39:21</t>
        </is>
      </c>
      <c r="B547" t="inlineStr">
        <is>
          <t>FDX</t>
        </is>
      </c>
      <c r="C547" t="inlineStr">
        <is>
          <t>No Trade</t>
        </is>
      </c>
      <c r="D547" t="n">
        <v>0</v>
      </c>
      <c r="E547" t="n">
        <v>324.19</v>
      </c>
      <c r="H547" t="n">
        <v>0</v>
      </c>
      <c r="K547" t="n">
        <v>0</v>
      </c>
      <c r="L547" t="inlineStr">
        <is>
          <t>No clean technical setup detected. Price in middle of value area or poor risk/reward.</t>
        </is>
      </c>
      <c r="M547" t="inlineStr">
        <is>
          <t>SKIP</t>
        </is>
      </c>
      <c r="N547" t="inlineStr">
        <is>
          <t>SKIP: No Trade result. Market regime NEUTRAL; sector STRONG; net R/R 0.00.</t>
        </is>
      </c>
      <c r="O547" t="inlineStr">
        <is>
          <t>FDX
No Trade
0.00
score
Price
324.19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310.14
Fib Zone
307.88 - 312.41
Swing Low
290.98
Swing High
341.14
Click chart to open full size</t>
        </is>
      </c>
      <c r="P547" t="inlineStr">
        <is>
          <t>agent_results/charts/market_lens_agent_20260610_133231_fdx.png</t>
        </is>
      </c>
      <c r="Q547" t="inlineStr">
        <is>
          <t>Smart Universe: broad liquid US universe, diversified by sector | Sector: Industrials - Strong (69/100); XLI sector regime is strong: 5.5% 3m return, -5.1% vs SPY | Setup: No Trade; score 0.00; R/R 0.00x; price 324.19 | Market: NEUTRAL; Sector regime: STRONG; Net R/R: 0.00; Factors: Industrials | Agent action: SKIP - SKIP: No Trade result. Market regime NEUTRAL; sector STRONG; net R/R 0.00.</t>
        </is>
      </c>
      <c r="R547" t="inlineStr">
        <is>
          <t>{"adjusted_cash_out": 0.0, "adjusted_position_size": 0, "adjusted_risk_amount": 0.0, "ask": 0.0, "bid": 0.0, "buy_zone_high": null, "buy_zone_low": null, "cash_available": 93936.04, "company_name": "FedEx", "correlation_warning": false, "days_to_earnings": null, "earnings_blackout": false, "earnings_date": "", "estimated_fees": 0.0, "estimated_slippage": 0.4539, "estimated_spread": 0.0973, "executable_entry": 324.19,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324.19, "gross_rr": 0.0, "gross_rr_1": 0.0, "gross_rr_2": 0.0, "gross_rr_decision": 0.0, "highest_correlation_ticker": "HON", "highest_correlation_value": 0.3921, "initial_action": "SKIP", "market_cap": 77387325969.53,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324.4656, "net_reward_1_per_share": 0.0, "net_reward_2_per_share": 0.0, "net_risk_per_share": 324.7411, "net_rr": 0.0, "net_rr_1": 0.0, "net_rr_2": 0.0, "net_stop_assumption": -0.2756, "net_target_1_assumption": -0.1621, "net_target_2_assumption": -0.1621, "normalized_atr_score": 100.0, "normalized_liquidity_score": 53.13, "normalized_momentum_score": 100, "normalized_quality_score": 85.94,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324.19,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324.19, "ticker": "FDX", "timestamp": "2026-06-10T13:39:21", "warnings": ["SPY data unavailable: Too Many Requests. Rate limited. Try after a while.", "Earnings data unavailable.", "Target ATR feasibility unavailable."]}</t>
        </is>
      </c>
    </row>
    <row r="548">
      <c r="A548" t="inlineStr">
        <is>
          <t>2026-06-10T13:39:21</t>
        </is>
      </c>
      <c r="B548" t="inlineStr">
        <is>
          <t>AIZ</t>
        </is>
      </c>
      <c r="C548" t="inlineStr">
        <is>
          <t>No Trade</t>
        </is>
      </c>
      <c r="D548" t="n">
        <v>0</v>
      </c>
      <c r="E548" t="n">
        <v>252.28</v>
      </c>
      <c r="H548" t="n">
        <v>0</v>
      </c>
      <c r="K548" t="n">
        <v>0</v>
      </c>
      <c r="L548" t="inlineStr">
        <is>
          <t>No clean technical setup detected. Price in middle of value area or poor risk/reward.</t>
        </is>
      </c>
      <c r="M548" t="inlineStr">
        <is>
          <t>SKIP</t>
        </is>
      </c>
      <c r="N548" t="inlineStr">
        <is>
          <t>SKIP: No Trade result. Market regime NEUTRAL; sector STRONG; net R/R 0.00.</t>
        </is>
      </c>
      <c r="O548" t="inlineStr">
        <is>
          <t>AIZ
No Trade
0.00
score
Price
252.28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238.90
Fib Zone
237.62 - 240.17
Swing Low
225.81
Swing High
260.08
Click chart to open full size</t>
        </is>
      </c>
      <c r="P548" t="inlineStr">
        <is>
          <t>agent_results/charts/market_lens_agent_20260610_133231_aiz.png</t>
        </is>
      </c>
      <c r="Q548" t="inlineStr">
        <is>
          <t>Smart Universe: broad liquid US universe, diversified by sector | Sector: Financials - Strong (72/100); XLF sector regime is strong: 7.9% 3m return, -2.7% vs SPY | Setup: No Trade; score 0.00; R/R 0.00x; price 252.28 | Market: NEUTRAL; Sector regime: STRONG; Net R/R: 0.00; Factors: Financials | Agent action: SKIP - SKIP: No Trade result. Market regime NEUTRAL; sector STRONG; net R/R 0.00.</t>
        </is>
      </c>
      <c r="R548" t="inlineStr">
        <is>
          <t>{"adjusted_cash_out": 0.0, "adjusted_position_size": 0, "adjusted_risk_amount": 0.0, "ask": 0.0, "bid": 0.0, "buy_zone_high": null, "buy_zone_low": null, "cash_available": 93936.04, "company_name": "Assurant", "correlation_warning": false, "days_to_earnings": null, "earnings_blackout": false, "earnings_date": "", "estimated_fees": 0.0, "estimated_slippage": 0.7568, "estimated_spread": 0.2018, "executable_entry": 252.28, "execution_liquidity_bucket": "mid_liquid", "factor_exposure_after": {"Industrials": 5700.24}, "factor_exposure_before": {"Industrials": 5700.24}, "factor_exposure_cap": 7000.0, "factor_exposure_limit_exceeded": false, "factor_tags": ["Financials"], "final_action": "SKIP", "gross_reward_1_per_share": 0.0, "gross_reward_2_per_share": 0.0, "gross_risk_per_share": 252.28, "gross_rr": 0.0, "gross_rr_1": 0.0, "gross_rr_2": 0.0, "gross_rr_decision": 0.0, "highest_correlation_ticker": "HON", "highest_correlation_value": 0.1451, "initial_action": "SKIP", "market_cap": 12500125781.99,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252.7593, "net_reward_1_per_share": 0.0, "net_reward_2_per_share": 0.0, "net_risk_per_share": 253.2387, "net_rr": 0.0, "net_rr_1": 0.0, "net_rr_2": 0.0, "net_stop_assumption": -0.4793, "net_target_1_assumption": -0.2901, "net_target_2_assumption": -0.2901, "normalized_atr_score": 100.0, "normalized_liquidity_score": 17.64, "normalized_momentum_score": 100, "normalized_quality_score": 75.29,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252.28,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252.28, "ticker": "AIZ", "timestamp": "2026-06-10T13:39:21", "warnings": ["SPY data unavailable: Too Many Requests. Rate limited. Try after a while.", "Earnings data unavailable.", "Target ATR feasibility unavailable."]}</t>
        </is>
      </c>
    </row>
    <row r="549">
      <c r="A549" t="inlineStr">
        <is>
          <t>2026-06-10T13:39:21</t>
        </is>
      </c>
      <c r="B549" t="inlineStr">
        <is>
          <t>MPC</t>
        </is>
      </c>
      <c r="C549" t="inlineStr">
        <is>
          <t>No Trade</t>
        </is>
      </c>
      <c r="D549" t="n">
        <v>0</v>
      </c>
      <c r="E549" t="n">
        <v>262.32</v>
      </c>
      <c r="H549" t="n">
        <v>0</v>
      </c>
      <c r="K549" t="n">
        <v>0</v>
      </c>
      <c r="L549" t="inlineStr">
        <is>
          <t>No clean technical setup detected. Price in middle of value area or poor risk/reward.</t>
        </is>
      </c>
      <c r="M549" t="inlineStr">
        <is>
          <t>SKIP</t>
        </is>
      </c>
      <c r="N549" t="inlineStr">
        <is>
          <t>SKIP: No Trade result. Market regime NEUTRAL; sector NEUTRAL; net R/R 0.00.</t>
        </is>
      </c>
      <c r="O549" t="inlineStr">
        <is>
          <t>MPC
No Trade
0.00
score
Price
262.32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253.24
Fib Zone
251.12 - 255.36
Swing Low
241.36
Swing High
272.46
Click chart to open full size</t>
        </is>
      </c>
      <c r="P549" t="inlineStr">
        <is>
          <t>agent_results/charts/market_lens_agent_20260610_133231_mpc.png</t>
        </is>
      </c>
      <c r="Q549" t="inlineStr">
        <is>
          <t>Smart Universe: broad liquid US universe, diversified by sector | Sector: Energy - Neutral (65/100); XLE sector regime is neutral: 1.6% 3m return, -9.0% vs SPY | Setup: No Trade; score 0.00; R/R 0.00x; price 262.32 | Market: NEUTRAL; Sector regime: NEUTRAL; Net R/R: 0.00; Factors: Energy | Agent action: SKIP - SKIP: No Trade result. Market regime NEUTRAL; sector NEUTRAL; net R/R 0.00.</t>
        </is>
      </c>
      <c r="R549" t="inlineStr">
        <is>
          <t>{"adjusted_cash_out": 0.0, "adjusted_position_size": 0, "adjusted_risk_amount": 0.0, "ask": 0.0, "bid": 0.0, "buy_zone_high": null, "buy_zone_low": null, "cash_available": 93936.04, "company_name": "Marathon Petroleum Corporation", "correlation_warning": false, "days_to_earnings": null, "earnings_blackout": false, "earnings_date": "", "estimated_fees": 0.0, "estimated_slippage": 0.3672, "estimated_spread": 0.0787, "executable_entry": 262.32,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262.32, "gross_rr": 0.0, "gross_rr_1": 0.0, "gross_rr_2": 0.0, "gross_rr_decision": 0.0, "highest_correlation_ticker": "HON", "highest_correlation_value": -0.2048, "initial_action": "SKIP", "market_cap": 76055328942.89,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262.543, "net_reward_1_per_share": 0.0, "net_reward_2_per_share": 0.0, "net_risk_per_share": 262.7659, "net_rr": 0.0, "net_rr_1": 0.0, "net_rr_2": 0.0, "net_stop_assumption": -0.223, "net_target_1_assumption": -0.1312, "net_target_2_assumption": -0.1312, "normalized_atr_score": 100.0, "normalized_liquidity_score": 51.63, "normalized_momentum_score": 99.78, "normalized_quality_score": 85.39,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262.32,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262.32, "ticker": "MPC", "timestamp": "2026-06-10T13:39:21", "warnings": ["SPY data unavailable: Too Many Requests. Rate limited. Try after a while.", "Earnings data unavailable.", "Target ATR feasibility unavailable."]}</t>
        </is>
      </c>
    </row>
    <row r="550">
      <c r="A550" t="inlineStr">
        <is>
          <t>2026-06-10T13:39:21</t>
        </is>
      </c>
      <c r="B550" t="inlineStr">
        <is>
          <t>KDP</t>
        </is>
      </c>
      <c r="C550" t="inlineStr">
        <is>
          <t>No Trade</t>
        </is>
      </c>
      <c r="D550" t="n">
        <v>0</v>
      </c>
      <c r="E550" t="n">
        <v>31.83</v>
      </c>
      <c r="H550" t="n">
        <v>0</v>
      </c>
      <c r="K550" t="n">
        <v>0</v>
      </c>
      <c r="L550" t="inlineStr">
        <is>
          <t>No clean technical setup detected. Price in middle of value area or poor risk/reward.</t>
        </is>
      </c>
      <c r="M550" t="inlineStr">
        <is>
          <t>SKIP</t>
        </is>
      </c>
      <c r="N550" t="inlineStr">
        <is>
          <t>SKIP: No Trade result. Market regime NEUTRAL; sector NEUTRAL; net R/R 0.00.</t>
        </is>
      </c>
      <c r="O550" t="inlineStr">
        <is>
          <t>KDP
No Trade
0.00
score
Price
31.83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26.68
Fib Zone
26.50 - 26.85
Swing Low
24.88
Swing High
29.58
Click chart to open full size</t>
        </is>
      </c>
      <c r="P550" t="inlineStr">
        <is>
          <t>agent_results/charts/market_lens_agent_20260610_133231_kdp.png</t>
        </is>
      </c>
      <c r="Q550" t="inlineStr">
        <is>
          <t>Smart Universe: broad liquid US universe, diversified by sector | Sector: Consumer Defensive - Neutral (56/100); XLP sector regime is neutral: 1.0% 3m return, -9.6% vs SPY | Setup: No Trade; score 0.00; R/R 0.00x; price 31.83 | Market: NEUTRAL; Sector regime: NEUTRAL; Net R/R: 0.00; Factors: Consumer Defensive, Defensive, Low Volatility | Agent action: SKIP - SKIP: No Trade result. Market regime NEUTRAL; sector NEUTRAL; net R/R 0.00.</t>
        </is>
      </c>
      <c r="R550" t="inlineStr">
        <is>
          <t>{"adjusted_cash_out": 0.0, "adjusted_position_size": 0, "adjusted_risk_amount": 0.0, "ask": 0.0, "bid": 0.0, "buy_zone_high": null, "buy_zone_low": null, "cash_available": 93936.04, "company_name": "Keurig Dr Pepper", "correlation_warning": false, "days_to_earnings": null, "earnings_blackout": false, "earnings_date": "", "estimated_fees": 0.0, "estimated_slippage": 0.0955, "estimated_spread": 0.0255, "executable_entry": 31.83,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31.83, "gross_rr": 0.0, "gross_rr_1": 0.0, "gross_rr_2": 0.0, "gross_rr_decision": 0.0, "highest_correlation_ticker": "HON", "highest_correlation_value": 0.1493, "initial_action": "SKIP", "market_cap": 43245382578.13,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31.8905, "net_reward_1_per_share": 0.0, "net_reward_2_per_share": 0.0, "net_risk_per_share": 31.951, "net_rr": 0.0, "net_rr_1": 0.0, "net_rr_2": 0.0, "net_stop_assumption": -0.0605, "net_target_1_assumption": -0.0366, "net_target_2_assumption": -0.0366, "normalized_atr_score": 100.0, "normalized_liquidity_score": 35.66, "normalized_momentum_score": 100, "normalized_quality_score": 80.7,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31.83,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31.83, "ticker": "KDP", "timestamp": "2026-06-10T13:39:21", "warnings": ["SPY data unavailable: Too Many Requests. Rate limited. Try after a while.", "Earnings data unavailable.", "Target ATR feasibility unavailable."]}</t>
        </is>
      </c>
    </row>
    <row r="551">
      <c r="A551" t="inlineStr">
        <is>
          <t>2026-06-10T13:39:21</t>
        </is>
      </c>
      <c r="B551" t="inlineStr">
        <is>
          <t>JPM</t>
        </is>
      </c>
      <c r="C551" t="inlineStr">
        <is>
          <t>No Trade</t>
        </is>
      </c>
      <c r="D551" t="n">
        <v>0</v>
      </c>
      <c r="E551" t="n">
        <v>312.73</v>
      </c>
      <c r="H551" t="n">
        <v>0</v>
      </c>
      <c r="K551" t="n">
        <v>0</v>
      </c>
      <c r="L551" t="inlineStr">
        <is>
          <t>No clean technical setup detected. Price in middle of value area or poor risk/reward.</t>
        </is>
      </c>
      <c r="M551" t="inlineStr">
        <is>
          <t>SKIP</t>
        </is>
      </c>
      <c r="N551" t="inlineStr">
        <is>
          <t>SKIP: No Trade result. Market regime NEUTRAL; sector STRONG; net R/R 0.00.</t>
        </is>
      </c>
      <c r="O551" t="inlineStr">
        <is>
          <t>JPM
No Trade
0.00
score
Price
312.73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299.88
Fib Zone
298.35 - 301.42
Swing Low
293.67
Swing High
309.93
Click chart to open full size</t>
        </is>
      </c>
      <c r="P551" t="inlineStr">
        <is>
          <t>agent_results/charts/market_lens_agent_20260610_133231_jpm.png</t>
        </is>
      </c>
      <c r="Q551" t="inlineStr">
        <is>
          <t>Smart Universe: broad liquid US universe, diversified by sector | Sector: Financials - Strong (72/100); XLF sector regime is strong: 7.9% 3m return, -2.7% vs SPY | Setup: No Trade; score 0.00; R/R 0.00x; price 312.73 | Market: NEUTRAL; Sector regime: STRONG; Net R/R: 0.00; Factors: Financials | Agent action: SKIP - SKIP: No Trade result. Market regime NEUTRAL; sector STRONG; net R/R 0.00.</t>
        </is>
      </c>
      <c r="R551" t="inlineStr">
        <is>
          <t>{"adjusted_cash_out": 0.0, "adjusted_position_size": 0, "adjusted_risk_amount": 0.0, "ask": 0.0, "bid": 0.0, "buy_zone_high": null, "buy_zone_low": null, "cash_available": 93936.04, "company_name": "JPMorgan Chase &amp; Co.", "correlation_warning": false, "days_to_earnings": null, "earnings_blackout": false, "earnings_date": "", "estimated_fees": 0.0, "estimated_slippage": 0.4378, "estimated_spread": 0.0938, "executable_entry": 312.73, "execution_liquidity_bucket": "large_liquid", "factor_exposure_after": {"Industrials": 5700.24}, "factor_exposure_before": {"Industrials": 5700.24}, "factor_exposure_cap": 7000.0, "factor_exposure_limit_exceeded": false, "factor_tags": ["Financials"], "final_action": "SKIP", "gross_reward_1_per_share": 0.0, "gross_reward_2_per_share": 0.0, "gross_risk_per_share": 312.73, "gross_rr": 0.0, "gross_rr_1": 0.0, "gross_rr_2": 0.0, "gross_rr_decision": 0.0, "highest_correlation_ticker": "HON", "highest_correlation_value": 0.2953, "initial_action": "SKIP", "market_cap": 835096538346.54,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312.9958, "net_reward_1_per_share": 0.0, "net_reward_2_per_share": 0.0, "net_risk_per_share": 313.2616, "net_rr": 0.0, "net_rr_1": 0.0, "net_rr_2": 0.0, "net_stop_assumption": -0.2658, "net_target_1_assumption": -0.1564, "net_target_2_assumption": -0.1564, "normalized_atr_score": 100.0, "normalized_liquidity_score": 58.69, "normalized_momentum_score": 92.2, "normalized_quality_score": 84.1,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312.73, "prior_high_20": 0.0, "prior_high_63": 0.0, "reason": "SKIP: No Trade result. Market regime NEUTRAL; sector STRONG; net R/R 0.00.", "risk_amount": 0.0, "scan_source": "Smart Universe: broad liquid US universe filtered and diversified by the Market Lens UI.", "sector": "Financials", "sector_etf": "XLF", "sector_exposure_after": 0.0, "sector_exposure_before": 0.0, "sector_exposure_cap": 6000.0, "sector_exposure_limit_exceeded": false, "sector_regime": "STRONG", "sector_score": 71.96, "setup_score": 0.0, "setup_type": "No Trade", "sizing_adjustment_reason": "", "spread_source": "liquidity_fallback", "stock_score": 0.0, "stop_loss": 0.0, "target_1": null, "target_1_atr_distance": 0.0, "target_2": null, "target_2_atr_distance": 0.0, "target_feasibility_status": "UNKNOWN", "theoretical_entry": 312.73, "ticker": "JPM", "timestamp": "2026-06-10T13:39:21", "warnings": ["SPY data unavailable: Too Many Requests. Rate limited. Try after a while.", "Earnings data unavailable.", "Target ATR feasibility unavailable."]}</t>
        </is>
      </c>
    </row>
    <row r="552">
      <c r="A552" t="inlineStr">
        <is>
          <t>2026-06-10T13:39:21</t>
        </is>
      </c>
      <c r="B552" t="inlineStr">
        <is>
          <t>UNP</t>
        </is>
      </c>
      <c r="C552" t="inlineStr">
        <is>
          <t>No Trade</t>
        </is>
      </c>
      <c r="D552" t="n">
        <v>0</v>
      </c>
      <c r="E552" t="n">
        <v>272.14</v>
      </c>
      <c r="H552" t="n">
        <v>0</v>
      </c>
      <c r="K552" t="n">
        <v>0</v>
      </c>
      <c r="L552" t="inlineStr">
        <is>
          <t>No clean technical setup detected. Price in middle of value area or poor risk/reward.</t>
        </is>
      </c>
      <c r="M552" t="inlineStr">
        <is>
          <t>SKIP</t>
        </is>
      </c>
      <c r="N552" t="inlineStr">
        <is>
          <t>SKIP: No Trade result. Market regime NEUTRAL; sector STRONG; net R/R 0.00.</t>
        </is>
      </c>
      <c r="O552" t="inlineStr">
        <is>
          <t>UNP
No Trade
0.00
score
Price
272.14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265.53
Fib Zone
264.01 - 267.05
Swing Low
259.69
Swing High
274.97
Click chart to open full size</t>
        </is>
      </c>
      <c r="P552" t="inlineStr">
        <is>
          <t>agent_results/charts/market_lens_agent_20260610_133231_unp.png</t>
        </is>
      </c>
      <c r="Q552" t="inlineStr">
        <is>
          <t>Smart Universe: broad liquid US universe, diversified by sector | Sector: Industrials - Strong (69/100); XLI sector regime is strong: 5.5% 3m return, -5.1% vs SPY | Setup: No Trade; score 0.00; R/R 0.00x; price 272.14 | Market: NEUTRAL; Sector regime: STRONG; Net R/R: 0.00; Factors: Industrials | Agent action: SKIP - SKIP: No Trade result. Market regime NEUTRAL; sector STRONG; net R/R 0.00.</t>
        </is>
      </c>
      <c r="R552" t="inlineStr">
        <is>
          <t>{"adjusted_cash_out": 0.0, "adjusted_position_size": 0, "adjusted_risk_amount": 0.0, "ask": 0.0, "bid": 0.0, "buy_zone_high": null, "buy_zone_low": null, "cash_available": 93936.04, "company_name": "Union Pacific Corporation", "correlation_warning": false, "days_to_earnings": null, "earnings_blackout": false, "earnings_date": "", "estimated_fees": 0.0, "estimated_slippage": 0.381, "estimated_spread": 0.0816, "executable_entry": 272.14,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272.14, "gross_rr": 0.0, "gross_rr_1": 0.0, "gross_rr_2": 0.0, "gross_rr_decision": 0.0, "highest_correlation_ticker": "HON", "highest_correlation_value": 0.1747, "initial_action": "SKIP", "market_cap": 160997219941.43,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272.3713, "net_reward_1_per_share": 0.0, "net_reward_2_per_share": 0.0, "net_risk_per_share": 272.6026, "net_rr": 0.0, "net_rr_1": 0.0, "net_rr_2": 0.0, "net_stop_assumption": -0.2313, "net_target_1_assumption": -0.1361, "net_target_2_assumption": -0.1361, "normalized_atr_score": 100.0, "normalized_liquidity_score": 60.93, "normalized_momentum_score": 91.54, "normalized_quality_score": 84.47,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272.14,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272.14, "ticker": "UNP", "timestamp": "2026-06-10T13:39:21", "warnings": ["SPY data unavailable: Too Many Requests. Rate limited. Try after a while.", "Earnings data unavailable.", "Target ATR feasibility unavailable."]}</t>
        </is>
      </c>
    </row>
    <row r="553">
      <c r="A553" t="inlineStr">
        <is>
          <t>2026-06-10T13:39:21</t>
        </is>
      </c>
      <c r="B553" t="inlineStr">
        <is>
          <t>VLO</t>
        </is>
      </c>
      <c r="C553" t="inlineStr">
        <is>
          <t>No Trade</t>
        </is>
      </c>
      <c r="D553" t="n">
        <v>0</v>
      </c>
      <c r="E553" t="n">
        <v>256.31</v>
      </c>
      <c r="H553" t="n">
        <v>0</v>
      </c>
      <c r="K553" t="n">
        <v>0</v>
      </c>
      <c r="L553" t="inlineStr">
        <is>
          <t>No clean technical setup detected. Price in middle of value area or poor risk/reward.</t>
        </is>
      </c>
      <c r="M553" t="inlineStr">
        <is>
          <t>SKIP</t>
        </is>
      </c>
      <c r="N553" t="inlineStr">
        <is>
          <t>SKIP: No Trade result. Market regime NEUTRAL; sector NEUTRAL; net R/R 0.00.</t>
        </is>
      </c>
      <c r="O553" t="inlineStr">
        <is>
          <t>VLO
No Trade
0.00
score
Price
256.31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245.60
Fib Zone
243.42 - 247.77
Swing Low
233.23
Swing High
265.61
Click chart to open full size</t>
        </is>
      </c>
      <c r="P553" t="inlineStr">
        <is>
          <t>agent_results/charts/market_lens_agent_20260610_133231_vlo.png</t>
        </is>
      </c>
      <c r="Q553" t="inlineStr">
        <is>
          <t>Smart Universe: broad liquid US universe, diversified by sector | Sector: Energy - Neutral (65/100); XLE sector regime is neutral: 1.6% 3m return, -9.0% vs SPY | Setup: No Trade; score 0.00; R/R 0.00x; price 256.31 | Market: NEUTRAL; Sector regime: NEUTRAL; Net R/R: 0.00; Factors: Energy | Agent action: SKIP - SKIP: No Trade result. Market regime NEUTRAL; sector NEUTRAL; net R/R 0.00.</t>
        </is>
      </c>
      <c r="R553" t="inlineStr">
        <is>
          <t>{"adjusted_cash_out": 0.0, "adjusted_position_size": 0, "adjusted_risk_amount": 0.0, "ask": 0.0, "bid": 0.0, "buy_zone_high": null, "buy_zone_low": null, "cash_available": 93936.04, "company_name": "Valero Energy Corporation", "correlation_warning": false, "days_to_earnings": null, "earnings_blackout": false, "earnings_date": "", "estimated_fees": 0.0, "estimated_slippage": 0.3588, "estimated_spread": 0.0769, "executable_entry": 256.31, "execution_liquidity_bucket": "large_liquid", "factor_exposure_after": {"Industrials": 5700.24}, "factor_exposure_before": {"Industrials": 5700.24}, "factor_exposure_cap": 7000.0, "factor_exposure_limit_exceeded": false, "factor_tags": ["Energy"], "final_action": "SKIP", "gross_reward_1_per_share": 0.0, "gross_reward_2_per_share": 0.0, "gross_risk_per_share": 256.31, "gross_rr": 0.0, "gross_rr_1": 0.0, "gross_rr_2": 0.0, "gross_rr_decision": 0.0, "highest_correlation_ticker": "HON", "highest_correlation_value": -0.2563, "initial_action": "SKIP", "market_cap": 75605023502.97,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256.5279, "net_reward_1_per_share": 0.0, "net_reward_2_per_share": 0.0, "net_risk_per_share": 256.7457, "net_rr": 0.0, "net_rr_1": 0.0, "net_rr_2": 0.0, "net_stop_assumption": -0.2179, "net_target_1_assumption": -0.1282, "net_target_2_assumption": -0.1282, "normalized_atr_score": 100.0, "normalized_liquidity_score": 55.33, "normalized_momentum_score": 82.81, "normalized_quality_score": 78.86,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256.31, "prior_high_20": 0.0, "prior_high_63": 0.0, "reason": "SKIP: No Trade result. Market regime NEUTRAL; sector NEUTRAL; net R/R 0.00.",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64.93, "setup_score": 0.0, "setup_type": "No Trade", "sizing_adjustment_reason": "", "spread_source": "liquidity_fallback", "stock_score": 0.0, "stop_loss": 0.0, "target_1": null, "target_1_atr_distance": 0.0, "target_2": null, "target_2_atr_distance": 0.0, "target_feasibility_status": "UNKNOWN", "theoretical_entry": 256.31, "ticker": "VLO", "timestamp": "2026-06-10T13:39:21", "warnings": ["SPY data unavailable: Too Many Requests. Rate limited. Try after a while.", "Earnings data unavailable.", "Target ATR feasibility unavailable."]}</t>
        </is>
      </c>
    </row>
    <row r="554">
      <c r="A554" t="inlineStr">
        <is>
          <t>2026-06-10T13:39:21</t>
        </is>
      </c>
      <c r="B554" t="inlineStr">
        <is>
          <t>GE</t>
        </is>
      </c>
      <c r="C554" t="inlineStr">
        <is>
          <t>No Trade</t>
        </is>
      </c>
      <c r="D554" t="n">
        <v>0</v>
      </c>
      <c r="E554" t="n">
        <v>324.43</v>
      </c>
      <c r="H554" t="n">
        <v>0</v>
      </c>
      <c r="K554" t="n">
        <v>0</v>
      </c>
      <c r="L554" t="inlineStr">
        <is>
          <t>No clean technical setup detected. Price in middle of value area or poor risk/reward.</t>
        </is>
      </c>
      <c r="M554" t="inlineStr">
        <is>
          <t>SKIP</t>
        </is>
      </c>
      <c r="N554" t="inlineStr">
        <is>
          <t>SKIP: No Trade result. Market regime NEUTRAL; sector STRONG; net R/R 0.00.</t>
        </is>
      </c>
      <c r="O554" t="inlineStr">
        <is>
          <t>GE
No Trade
0.00
score
Price
324.43
R/R
0.00x
Grade
No Trade
Quality
0%
Buy Zone
-
Stop
0.00
Targets
-
Skip
Mixed
Relative Strength
Leadership
100%
Trend Quality
Clean uptrend
86%
Liquidity
Institutional liquidity
100%
Volume
Confirmed
80%
No actionable setup detected.
No clean technical setup detected. Price in middle of value area or poor risk/reward.
Fib 61.8
284.61
Fib Zone
282.16 - 287.05
Swing Low
268.91
Swing High
310.00
Click chart to open full size</t>
        </is>
      </c>
      <c r="P554" t="inlineStr">
        <is>
          <t>agent_results/charts/market_lens_agent_20260610_133231_ge.png</t>
        </is>
      </c>
      <c r="Q554" t="inlineStr">
        <is>
          <t>Smart Universe: broad liquid US universe, diversified by sector | Sector: Industrials - Strong (69/100); XLI sector regime is strong: 5.5% 3m return, -5.1% vs SPY | Setup: No Trade; score 0.00; R/R 0.00x; price 324.43 | Market: NEUTRAL; Sector regime: STRONG; Net R/R: 0.00; Factors: Industrials | Agent action: SKIP - SKIP: No Trade result. Market regime NEUTRAL; sector STRONG; net R/R 0.00.</t>
        </is>
      </c>
      <c r="R554" t="inlineStr">
        <is>
          <t>{"adjusted_cash_out": 0.0, "adjusted_position_size": 0, "adjusted_risk_amount": 0.0, "ask": 0.0, "bid": 0.0, "buy_zone_high": null, "buy_zone_low": null, "cash_available": 93936.04, "company_name": "GE Aerospace", "correlation_warning": false, "days_to_earnings": null, "earnings_blackout": false, "earnings_date": "", "estimated_fees": 0.0, "estimated_slippage": 0.4542, "estimated_spread": 0.0973, "executable_entry": 324.43, "execution_liquidity_bucket": "large_liquid", "factor_exposure_after": {"Industrials": 5700.24}, "factor_exposure_before": {"Industrials": 5700.24}, "factor_exposure_cap": 7000.0, "factor_exposure_limit_exceeded": false, "factor_tags": ["Industrials"], "final_action": "SKIP", "gross_reward_1_per_share": 0.0, "gross_reward_2_per_share": 0.0, "gross_risk_per_share": 324.43, "gross_rr": 0.0, "gross_rr_1": 0.0, "gross_rr_2": 0.0, "gross_rr_decision": 0.0, "highest_correlation_ticker": "HON", "highest_correlation_value": 0.5692, "initial_action": "SKIP", "market_cap": 341711508906.88,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324.7058, "net_reward_1_per_share": 0.0, "net_reward_2_per_share": 0.0, "net_risk_per_share": 324.9815, "net_rr": 0.0, "net_rr_1": 0.0, "net_rr_2": 0.0, "net_stop_assumption": -0.2758, "net_target_1_assumption": -0.1622, "net_target_2_assumption": -0.1622, "normalized_atr_score": 100.0, "normalized_liquidity_score": 44.06, "normalized_momentum_score": 89.81, "normalized_quality_score": 78.63,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324.43,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324.43, "ticker": "GE", "timestamp": "2026-06-10T13:39:21", "warnings": ["SPY data unavailable: Too Many Requests. Rate limited. Try after a while.", "Earnings data unavailable.", "Target ATR feasibility unavailable."]}</t>
        </is>
      </c>
    </row>
    <row r="555">
      <c r="A555" t="inlineStr">
        <is>
          <t>2026-06-10T13:39:21</t>
        </is>
      </c>
      <c r="B555" t="inlineStr">
        <is>
          <t>MAA</t>
        </is>
      </c>
      <c r="C555" t="inlineStr">
        <is>
          <t>No Trade</t>
        </is>
      </c>
      <c r="D555" t="n">
        <v>0</v>
      </c>
      <c r="E555" t="n">
        <v>138.88</v>
      </c>
      <c r="H555" t="n">
        <v>0</v>
      </c>
      <c r="K555" t="n">
        <v>0</v>
      </c>
      <c r="L555" t="inlineStr">
        <is>
          <t>No clean technical setup detected. Price in middle of value area or poor risk/reward.</t>
        </is>
      </c>
      <c r="M555" t="inlineStr">
        <is>
          <t>SKIP</t>
        </is>
      </c>
      <c r="N555" t="inlineStr">
        <is>
          <t>SKIP: No Trade result. Market regime NEUTRAL; sector STRONG; net R/R 0.00.</t>
        </is>
      </c>
      <c r="O555" t="inlineStr">
        <is>
          <t>MAA
No Trade
0.00
score
Price
138.88
R/R
0.00x
Grade
No Trade
Quality
0%
Buy Zone
-
Stop
0.00
Targets
-
Skip
Mixed
Relative Strength
Leadership
100%
Trend Quality
Clean uptrend
86%
Liquidity
Institutional liquidity
100%
Volume
Neutral
65%
No actionable setup detected.
No clean technical setup detected. Price in middle of value area or poor risk/reward.
Fib 61.8
127.72
Fib Zone
127.13 - 128.30
Swing Low
125.15
Swing High
131.87
Click chart to open full size</t>
        </is>
      </c>
      <c r="P555" t="inlineStr">
        <is>
          <t>agent_results/charts/market_lens_agent_20260610_133231_maa.png</t>
        </is>
      </c>
      <c r="Q555" t="inlineStr">
        <is>
          <t>Smart Universe: broad liquid US universe, diversified by sector | Sector: Real Estate - Strong (71/100); XLRE sector regime is strong: 7.6% 3m return, -3.0% vs SPY | Setup: No Trade; score 0.00; R/R 0.00x; price 138.88 | Market: NEUTRAL; Sector regime: STRONG; Net R/R: 0.00; Factors: Real Estate | Agent action: SKIP - SKIP: No Trade result. Market regime NEUTRAL; sector STRONG; net R/R 0.00.</t>
        </is>
      </c>
      <c r="R555" t="inlineStr">
        <is>
          <t>{"adjusted_cash_out": 0.0, "adjusted_position_size": 0, "adjusted_risk_amount": 0.0, "ask": 0.0, "bid": 0.0, "buy_zone_high": null, "buy_zone_low": null, "cash_available": 93936.04, "company_name": "Mid-America Apartment Communities", "correlation_warning": false, "days_to_earnings": null, "earnings_blackout": false, "earnings_date": "", "estimated_fees": 0.0, "estimated_slippage": 0.4166, "estimated_spread": 0.1111, "executable_entry": 138.88,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138.88, "gross_rr": 0.0, "gross_rr_1": 0.0, "gross_rr_2": 0.0, "gross_rr_decision": 0.0, "highest_correlation_ticker": "HON", "highest_correlation_value": 0.1483, "initial_action": "SKIP", "market_cap": 16173996076.01,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139.1439, "net_reward_1_per_share": 0.0, "net_reward_2_per_share": 0.0, "net_risk_per_share": 139.4077, "net_rr": 0.0, "net_rr_1": 0.0, "net_rr_2": 0.0, "net_stop_assumption": -0.2639, "net_target_1_assumption": -0.1597, "net_target_2_assumption": -0.1597, "normalized_atr_score": 100.0, "normalized_liquidity_score": 18.92, "normalized_momentum_score": 94.44, "normalized_quality_score": 73.17,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138.88,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138.88, "ticker": "MAA", "timestamp": "2026-06-10T13:39:21", "warnings": ["SPY data unavailable: Too Many Requests. Rate limited. Try after a while.", "Earnings data unavailable.", "Target ATR feasibility unavailable."]}</t>
        </is>
      </c>
    </row>
    <row r="556">
      <c r="A556" t="inlineStr">
        <is>
          <t>2026-06-10T13:39:21</t>
        </is>
      </c>
      <c r="B556" t="inlineStr">
        <is>
          <t>AVB</t>
        </is>
      </c>
      <c r="C556" t="inlineStr">
        <is>
          <t>No Trade</t>
        </is>
      </c>
      <c r="D556" t="n">
        <v>0</v>
      </c>
      <c r="E556" t="n">
        <v>187.19</v>
      </c>
      <c r="H556" t="n">
        <v>0</v>
      </c>
      <c r="K556" t="n">
        <v>0</v>
      </c>
      <c r="L556" t="inlineStr">
        <is>
          <t>No clean technical setup detected. Price in middle of value area or poor risk/reward.</t>
        </is>
      </c>
      <c r="M556" t="inlineStr">
        <is>
          <t>SKIP</t>
        </is>
      </c>
      <c r="N556" t="inlineStr">
        <is>
          <t>SKIP: No Trade result. Market regime NEUTRAL; sector STRONG; net R/R 0.00.</t>
        </is>
      </c>
      <c r="O556" t="inlineStr">
        <is>
          <t>AVB
No Trade
0.00
score
Price
187.19
R/R
0.00x
Grade
No Trade
Quality
0%
Buy Zone
-
Stop
0.00
Targets
-
Skip
Mixed
Relative Strength
Leadership
74%
Trend Quality
Clean uptrend
86%
Liquidity
Institutional liquidity
100%
Volume
Distribution risk
45%
No actionable setup detected.
No clean technical setup detected. Price in middle of value area or poor risk/reward.
Fib 61.8
183.31
Fib Zone
182.49 - 184.12
Swing Low
180.35
Swing High
188.09
Click chart to open full size</t>
        </is>
      </c>
      <c r="P556" t="inlineStr">
        <is>
          <t>agent_results/charts/market_lens_agent_20260610_133231_avb.png</t>
        </is>
      </c>
      <c r="Q556" t="inlineStr">
        <is>
          <t>Smart Universe: broad liquid US universe, diversified by sector | Sector: Real Estate - Strong (71/100); XLRE sector regime is strong: 7.6% 3m return, -3.0% vs SPY | Setup: No Trade; score 0.00; R/R 0.00x; price 187.19 | Market: NEUTRAL; Sector regime: STRONG; Net R/R: 0.00; Factors: Real Estate | Agent action: SKIP - SKIP: No Trade result. Market regime NEUTRAL; sector STRONG; net R/R 0.00.</t>
        </is>
      </c>
      <c r="R556" t="inlineStr">
        <is>
          <t>{"adjusted_cash_out": 0.0, "adjusted_position_size": 0, "adjusted_risk_amount": 0.0, "ask": 0.0, "bid": 0.0, "buy_zone_high": null, "buy_zone_low": null, "cash_available": 93936.04, "company_name": "AvalonBay Communities", "correlation_warning": false, "days_to_earnings": null, "earnings_blackout": false, "earnings_date": "", "estimated_fees": 0.0, "estimated_slippage": 0.5616, "estimated_spread": 0.1498, "executable_entry": 187.19, "execution_liquidity_bucket": "mid_liquid", "factor_exposure_after": {"Industrials": 5700.24}, "factor_exposure_before": {"Industrials": 5700.24}, "factor_exposure_cap": 7000.0, "factor_exposure_limit_exceeded": false, "factor_tags": ["Real Estate"], "final_action": "SKIP", "gross_reward_1_per_share": 0.0, "gross_reward_2_per_share": 0.0, "gross_risk_per_share": 187.19, "gross_rr": 0.0, "gross_rr_1": 0.0, "gross_rr_2": 0.0, "gross_rr_decision": 0.0, "highest_correlation_ticker": "HON", "highest_correlation_value": 0.2166, "initial_action": "SKIP", "market_cap": 26498864874.64,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187.5457, "net_reward_1_per_share": 0.0, "net_reward_2_per_share": 0.0, "net_risk_per_share": 187.9013, "net_rr": 0.0, "net_rr_1": 0.0, "net_rr_2": 0.0, "net_stop_assumption": -0.3557, "net_target_1_assumption": -0.2153, "net_target_2_assumption": -0.2153, "normalized_atr_score": 100.0, "normalized_liquidity_score": 28.18, "normalized_momentum_score": 83.14, "normalized_quality_score": 70.87,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187.19, "prior_high_20": 0.0, "prior_high_63": 0.0, "reason": "SKIP: No Trade result. Market regime NEUTRAL; sector STRONG; net R/R 0.00.", "risk_amount": 0.0, "scan_source": "Smart Universe: broad liquid US universe filtered and diversified by the Market Lens UI.", "sector": "Real Estate", "sector_etf": "XLRE", "sector_exposure_after": 0.0, "sector_exposure_before": 0.0, "sector_exposure_cap": 6000.0, "sector_exposure_limit_exceeded": false, "sector_regime": "STRONG", "sector_score": 71.44, "setup_score": 0.0, "setup_type": "No Trade", "sizing_adjustment_reason": "", "spread_source": "liquidity_fallback", "stock_score": 0.0, "stop_loss": 0.0, "target_1": null, "target_1_atr_distance": 0.0, "target_2": null, "target_2_atr_distance": 0.0, "target_feasibility_status": "UNKNOWN", "theoretical_entry": 187.19, "ticker": "AVB", "timestamp": "2026-06-10T13:39:21", "warnings": ["SPY data unavailable: Too Many Requests. Rate limited. Try after a while.", "Earnings data unavailable.", "Target ATR feasibility unavailable."]}</t>
        </is>
      </c>
    </row>
    <row r="557">
      <c r="A557" t="inlineStr">
        <is>
          <t>2026-06-10T13:39:21</t>
        </is>
      </c>
      <c r="B557" t="inlineStr">
        <is>
          <t>MRK</t>
        </is>
      </c>
      <c r="C557" t="inlineStr">
        <is>
          <t>No Trade</t>
        </is>
      </c>
      <c r="D557" t="n">
        <v>0</v>
      </c>
      <c r="E557" t="n">
        <v>119.34</v>
      </c>
      <c r="H557" t="n">
        <v>0</v>
      </c>
      <c r="K557" t="n">
        <v>0</v>
      </c>
      <c r="L557" t="inlineStr">
        <is>
          <t>No clean technical setup detected. Price in middle of value area or poor risk/reward.</t>
        </is>
      </c>
      <c r="M557" t="inlineStr">
        <is>
          <t>SKIP</t>
        </is>
      </c>
      <c r="N557" t="inlineStr">
        <is>
          <t>SKIP: No Trade result. Market regime NEUTRAL; sector STRONG; net R/R 0.00.</t>
        </is>
      </c>
      <c r="O557" t="inlineStr">
        <is>
          <t>MRK
No Trade
0.00
score
Price
119.34
R/R
0.00x
Grade
No Trade
Quality
0%
Buy Zone
-
Stop
0.00
Targets
-
Skip
Mixed
Relative Strength
Leadership
100%
Trend Quality
Clean uptrend
86%
Liquidity
Institutional liquidity
100%
Volume
Distribution risk
30%
No actionable setup detected.
No clean technical setup detected. Price in middle of value area or poor risk/reward.
Fib 61.8
115.60
Fib Zone
114.85 - 116.35
Swing Low
110.94
Swing High
123.13
Click chart to open full size</t>
        </is>
      </c>
      <c r="P557" t="inlineStr">
        <is>
          <t>agent_results/charts/market_lens_agent_20260610_133231_mrk.png</t>
        </is>
      </c>
      <c r="Q557" t="inlineStr">
        <is>
          <t>Smart Universe: broad liquid US universe, diversified by sector | Sector: Healthcare - Strong (68/100); XLV sector regime is strong: 3.2% 3m return, -7.4% vs SPY | Setup: No Trade; score 0.00; R/R 0.00x; price 119.34 | Market: NEUTRAL; Sector regime: STRONG; Net R/R: 0.00; Factors: Defensive, Healthcare | Agent action: SKIP - SKIP: No Trade result. Market regime NEUTRAL; sector STRONG; net R/R 0.00.</t>
        </is>
      </c>
      <c r="R557" t="inlineStr">
        <is>
          <t>{"adjusted_cash_out": 0.0, "adjusted_position_size": 0, "adjusted_risk_amount": 0.0, "ask": 0.0, "bid": 0.0, "buy_zone_high": null, "buy_zone_low": null, "cash_available": 93936.04, "company_name": "Merck &amp; Co., Inc.", "correlation_warning": false, "days_to_earnings": null, "earnings_blackout": false, "earnings_date": "", "estimated_fees": 0.0, "estimated_slippage": 0.1671, "estimated_spread": 0.0358, "executable_entry": 119.34,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119.34, "gross_rr": 0.0, "gross_rr_1": 0.0, "gross_rr_2": 0.0, "gross_rr_decision": 0.0, "highest_correlation_ticker": "HON", "highest_correlation_value": 0.3374, "initial_action": "SKIP", "market_cap": 293044670608.4, "market_cap_bucket": "Mega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119.4414, "net_reward_1_per_share": 0.0, "net_reward_2_per_share": 0.0, "net_risk_per_share": 119.5429, "net_rr": 0.0, "net_rr_1": 0.0, "net_rr_2": 0.0, "net_stop_assumption": -0.1014, "net_target_1_assumption": -0.0597, "net_target_2_assumption": -0.0597, "normalized_atr_score": 100.0, "normalized_liquidity_score": 38.63, "normalized_momentum_score": 70.18, "normalized_quality_score": 68.17,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119.34,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119.34, "ticker": "MRK", "timestamp": "2026-06-10T13:39:21", "warnings": ["SPY data unavailable: Too Many Requests. Rate limited. Try after a while.", "Earnings data unavailable.", "Target ATR feasibility unavailable."]}</t>
        </is>
      </c>
    </row>
    <row r="558">
      <c r="A558" t="inlineStr">
        <is>
          <t>2026-06-10T13:39:21</t>
        </is>
      </c>
      <c r="B558" t="inlineStr">
        <is>
          <t>EMR</t>
        </is>
      </c>
      <c r="C558" t="inlineStr">
        <is>
          <t>No Trade</t>
        </is>
      </c>
      <c r="D558" t="n">
        <v>0</v>
      </c>
      <c r="E558" t="n">
        <v>141.88</v>
      </c>
      <c r="H558" t="n">
        <v>0</v>
      </c>
      <c r="K558" t="n">
        <v>0</v>
      </c>
      <c r="L558" t="inlineStr">
        <is>
          <t>No clean technical setup detected. Price in middle of value area or poor risk/reward.</t>
        </is>
      </c>
      <c r="M558" t="inlineStr">
        <is>
          <t>SKIP</t>
        </is>
      </c>
      <c r="N558" t="inlineStr">
        <is>
          <t>SKIP: No Trade result. Market regime NEUTRAL; sector STRONG; net R/R 0.00.</t>
        </is>
      </c>
      <c r="O558" t="inlineStr">
        <is>
          <t>EMR
No Trade
0.00
score
Price
141.88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134.79
Fib Zone
133.86 - 135.73
Swing Low
128.13
Swing High
145.57
Click chart to open full size</t>
        </is>
      </c>
      <c r="P558" t="inlineStr">
        <is>
          <t>agent_results/charts/market_lens_agent_20260610_133231_emr.png</t>
        </is>
      </c>
      <c r="Q558" t="inlineStr">
        <is>
          <t>Smart Universe: broad liquid US universe, diversified by sector | Sector: Industrials - Strong (69/100); XLI sector regime is strong: 5.5% 3m return, -5.1% vs SPY | Setup: No Trade; score 0.00; R/R 0.00x; price 141.88 | Market: NEUTRAL; Sector regime: STRONG; Net R/R: 0.00; Factors: Industrials | Agent action: SKIP - SKIP: No Trade result. Market regime NEUTRAL; sector STRONG; net R/R 0.00.</t>
        </is>
      </c>
      <c r="R558" t="inlineStr">
        <is>
          <t>{"adjusted_cash_out": 0.0, "adjusted_position_size": 0, "adjusted_risk_amount": 0.0, "ask": 0.0, "bid": 0.0, "buy_zone_high": null, "buy_zone_low": null, "cash_available": 93936.04, "company_name": "Emerson Electric Co.", "correlation_warning": false, "days_to_earnings": null, "earnings_blackout": false, "earnings_date": "", "estimated_fees": 0.0, "estimated_slippage": 0.4256, "estimated_spread": 0.1135, "executable_entry": 141.88, "execution_liquidity_bucket": "mid_liquid", "factor_exposure_after": {"Industrials": 5700.24}, "factor_exposure_before": {"Industrials": 5700.24}, "factor_exposure_cap": 7000.0, "factor_exposure_limit_exceeded": false, "factor_tags": ["Industrials"], "final_action": "SKIP", "gross_reward_1_per_share": 0.0, "gross_reward_2_per_share": 0.0, "gross_risk_per_share": 141.88, "gross_rr": 0.0, "gross_rr_1": 0.0, "gross_rr_2": 0.0, "gross_rr_decision": 0.0, "highest_correlation_ticker": "HON", "highest_correlation_value": 0.5414, "initial_action": "SKIP", "market_cap": 79839453474.43,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142.1496, "net_reward_1_per_share": 0.0, "net_reward_2_per_share": 0.0, "net_risk_per_share": 142.4191, "net_rr": 0.0, "net_rr_1": 0.0, "net_rr_2": 0.0, "net_stop_assumption": -0.2696, "net_target_1_assumption": -0.1632, "net_target_2_assumption": -0.1632, "normalized_atr_score": 100.0, "normalized_liquidity_score": 39.4, "normalized_momentum_score": 83.3, "normalized_quality_score": 74.3,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141.88, "prior_high_20": 0.0, "prior_high_63": 0.0, "reason": "SKIP: No Trade result. Market regime NEUTRAL; sector STRONG; net R/R 0.00.", "risk_amount": 0.0, "scan_source": "Smart Universe: broad liquid US universe filtered and diversified by the Market Lens UI.", "sector": "Industrials", "sector_etf": "XLI", "sector_exposure_after": 5700.24, "sector_exposure_before": 5700.24, "sector_exposure_cap": 6000.0, "sector_exposure_limit_exceeded": false, "sector_regime": "STRONG", "sector_score": 68.75, "setup_score": 0.0, "setup_type": "No Trade", "sizing_adjustment_reason": "", "spread_source": "liquidity_fallback", "stock_score": 0.0, "stop_loss": 0.0, "target_1": null, "target_1_atr_distance": 0.0, "target_2": null, "target_2_atr_distance": 0.0, "target_feasibility_status": "UNKNOWN", "theoretical_entry": 141.88, "ticker": "EMR", "timestamp": "2026-06-10T13:39:21", "warnings": ["SPY data unavailable: Too Many Requests. Rate limited. Try after a while.", "Earnings data unavailable.", "Target ATR feasibility unavailable."]}</t>
        </is>
      </c>
    </row>
    <row r="559">
      <c r="A559" t="inlineStr">
        <is>
          <t>2026-06-10T13:39:21</t>
        </is>
      </c>
      <c r="B559" t="inlineStr">
        <is>
          <t>DHR</t>
        </is>
      </c>
      <c r="C559" t="inlineStr">
        <is>
          <t>No Trade</t>
        </is>
      </c>
      <c r="D559" t="n">
        <v>0</v>
      </c>
      <c r="E559" t="n">
        <v>185.25</v>
      </c>
      <c r="H559" t="n">
        <v>0</v>
      </c>
      <c r="K559" t="n">
        <v>0</v>
      </c>
      <c r="L559" t="inlineStr">
        <is>
          <t>No clean technical setup detected. Price in middle of value area or poor risk/reward.</t>
        </is>
      </c>
      <c r="M559" t="inlineStr">
        <is>
          <t>SKIP</t>
        </is>
      </c>
      <c r="N559" t="inlineStr">
        <is>
          <t>SKIP: No Trade result. Market regime NEUTRAL; sector STRONG; net R/R 0.00.</t>
        </is>
      </c>
      <c r="O559" t="inlineStr">
        <is>
          <t>DHR
No Trade
0.00
score
Price
185.25
R/R
0.00x
Grade
No Trade
Quality
0%
Buy Zone
-
Stop
0.00
Targets
-
Skip
Mixed
Relative Strength
Leadership
100%
Trend Quality
Constructive
68%
Liquidity
Institutional liquidity
100%
Volume
Confirmed
80%
No actionable setup detected.
No clean technical setup detected. Price in middle of value area or poor risk/reward.
Fib 61.8
188.46
Fib Zone
187.17 - 189.74
Swing Low
181.01
Swing High
200.50
Click chart to open full size</t>
        </is>
      </c>
      <c r="P559" t="inlineStr">
        <is>
          <t>agent_results/charts/market_lens_agent_20260610_133231_dhr.png</t>
        </is>
      </c>
      <c r="Q559" t="inlineStr">
        <is>
          <t>Smart Universe: broad liquid US universe, diversified by sector | Sector: Healthcare - Strong (68/100); XLV sector regime is strong: 3.2% 3m return, -7.4% vs SPY | Setup: No Trade; score 0.00; R/R 0.00x; price 185.25 | Market: NEUTRAL; Sector regime: STRONG; Net R/R: 0.00; Factors: Defensive, Healthcare | Agent action: SKIP - SKIP: No Trade result. Market regime NEUTRAL; sector STRONG; net R/R 0.00.</t>
        </is>
      </c>
      <c r="R559" t="inlineStr">
        <is>
          <t>{"adjusted_cash_out": 0.0, "adjusted_position_size": 0, "adjusted_risk_amount": 0.0, "ask": 0.0, "bid": 0.0, "buy_zone_high": null, "buy_zone_low": null, "cash_available": 93936.04, "company_name": "Danaher Corporation", "correlation_warning": false, "days_to_earnings": null, "earnings_blackout": false, "earnings_date": "", "estimated_fees": 0.0, "estimated_slippage": 0.2594, "estimated_spread": 0.0556, "executable_entry": 185.25, "execution_liquidity_bucket": "large_liquid", "factor_exposure_after": {"Industrials": 5700.24}, "factor_exposure_before": {"Industrials": 5700.24}, "factor_exposure_cap": 7000.0, "factor_exposure_limit_exceeded": false, "factor_tags": ["Defensive", "Healthcare"], "final_action": "SKIP", "gross_reward_1_per_share": 0.0, "gross_reward_2_per_share": 0.0, "gross_risk_per_share": 185.25, "gross_rr": 0.0, "gross_rr_1": 0.0, "gross_rr_2": 0.0, "gross_rr_decision": 0.0, "highest_correlation_ticker": "HON", "highest_correlation_value": 0.2042, "initial_action": "SKIP", "market_cap": 132590215160.92,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2.2, "net_entry": 185.4075, "net_reward_1_per_share": 0.0, "net_reward_2_per_share": 0.0, "net_risk_per_share": 185.5649, "net_rr": 0.0, "net_rr_1": 0.0, "net_rr_2": 0.0, "net_stop_assumption": -0.1575, "net_target_1_assumption": -0.0926, "net_target_2_assumption": -0.0926, "normalized_atr_score": 100.0, "normalized_liquidity_score": 58.47, "normalized_momentum_score": 72.81, "normalized_quality_score": 75.31,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185.25, "prior_high_20": 0.0, "prior_high_63": 0.0, "reason": "SKIP: No Trade result. Market regime NEUTRAL; sector STRONG; net R/R 0.00.", "risk_amount": 0.0, "scan_source": "Smart Universe: broad liquid US universe filtered and diversified by the Market Lens UI.", "sector": "Healthcare", "sector_etf": "XLV", "sector_exposure_after": 0.0, "sector_exposure_before": 0.0, "sector_exposure_cap": 6000.0, "sector_exposure_limit_exceeded": false, "sector_regime": "STRONG", "sector_score": 68.32, "setup_score": 0.0, "setup_type": "No Trade", "sizing_adjustment_reason": "", "spread_source": "liquidity_fallback", "stock_score": 0.0, "stop_loss": 0.0, "target_1": null, "target_1_atr_distance": 0.0, "target_2": null, "target_2_atr_distance": 0.0, "target_feasibility_status": "UNKNOWN", "theoretical_entry": 185.25, "ticker": "DHR", "timestamp": "2026-06-10T13:39:21", "warnings": ["SPY data unavailable: Too Many Requests. Rate limited. Try after a while.", "Earnings data unavailable.", "Target ATR feasibility unavailable."]}</t>
        </is>
      </c>
    </row>
    <row r="560">
      <c r="A560" t="inlineStr">
        <is>
          <t>2026-06-10T13:39:21</t>
        </is>
      </c>
      <c r="B560" t="inlineStr">
        <is>
          <t>MKC</t>
        </is>
      </c>
      <c r="C560" t="inlineStr">
        <is>
          <t>No Trade</t>
        </is>
      </c>
      <c r="D560" t="n">
        <v>0</v>
      </c>
      <c r="E560" t="n">
        <v>49.28</v>
      </c>
      <c r="H560" t="n">
        <v>0</v>
      </c>
      <c r="K560" t="n">
        <v>0</v>
      </c>
      <c r="L560" t="inlineStr">
        <is>
          <t>No clean technical setup detected. Price in middle of value area or poor risk/reward.</t>
        </is>
      </c>
      <c r="M560" t="inlineStr">
        <is>
          <t>SKIP</t>
        </is>
      </c>
      <c r="N560" t="inlineStr">
        <is>
          <t>SKIP: No Trade result. Market regime NEUTRAL; sector NEUTRAL; net R/R 0.00.</t>
        </is>
      </c>
      <c r="O560" t="inlineStr">
        <is>
          <t>MKC
No Trade
0.00
score
Price
49.28
R/R
0.00x
Grade
No Trade
Quality
0%
Buy Zone
-
Stop
0.00
Targets
-
Skip
Mixed
Relative Strength
Leadership
100%
Trend Quality
Constructive
58%
Liquidity
Institutional liquidity
100%
Volume
Neutral
65%
No actionable setup detected.
No clean technical setup detected. Price in middle of value area or poor risk/reward.
Fib 61.8
46.21
Fib Zone
45.86 - 46.55
Swing Low
44.82
Swing High
48.45
Click chart to open full size</t>
        </is>
      </c>
      <c r="P560" t="inlineStr">
        <is>
          <t>agent_results/charts/market_lens_agent_20260610_133231_mkc.png</t>
        </is>
      </c>
      <c r="Q560" t="inlineStr">
        <is>
          <t>Smart Universe: broad liquid US universe, diversified by sector | Sector: Consumer Defensive - Neutral (56/100); XLP sector regime is neutral: 1.0% 3m return, -9.6% vs SPY | Setup: No Trade; score 0.00; R/R 0.00x; price 49.28 | Market: NEUTRAL; Sector regime: NEUTRAL; Net R/R: 0.00; Factors: Consumer Defensive, Defensive, Low Volatility | Agent action: SKIP - SKIP: No Trade result. Market regime NEUTRAL; sector NEUTRAL; net R/R 0.00.</t>
        </is>
      </c>
      <c r="R560" t="inlineStr">
        <is>
          <t>{"adjusted_cash_out": 0.0, "adjusted_position_size": 0, "adjusted_risk_amount": 0.0, "ask": 0.0, "bid": 0.0, "buy_zone_high": null, "buy_zone_low": null, "cash_available": 93936.04, "company_name": "McCormick &amp; Company", "correlation_warning": false, "days_to_earnings": null, "earnings_blackout": false, "earnings_date": "", "estimated_fees": 0.0, "estimated_slippage": 0.1478, "estimated_spread": 0.0394, "executable_entry": 49.28, "execution_liquidity_bucket": "mid_liquid", "factor_exposure_after": {"Industrials": 5700.24}, "factor_exposure_before": {"Industrials": 5700.24}, "factor_exposure_cap": 7000.0, "factor_exposure_limit_exceeded": false, "factor_tags": ["Consumer Defensive", "Defensive", "Low Volatility"], "final_action": "SKIP", "gross_reward_1_per_share": 0.0, "gross_reward_2_per_share": 0.0, "gross_risk_per_share": 49.28, "gross_rr": 0.0, "gross_rr_1": 0.0, "gross_rr_2": 0.0, "gross_rr_decision": 0.0, "highest_correlation_ticker": "HON", "highest_correlation_value": 0.1502, "initial_action": "SKIP", "market_cap": 13267411263.03,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"UNKNOWN", "minimum_net_rr_required": 2.5, "net_entry": 49.3736, "net_reward_1_per_share": 0.0, "net_reward_2_per_share": 0.0, "net_risk_per_share": 49.4673, "net_rr": 0.0, "net_rr_1": 0.0, "net_rr_2": 0.0, "net_stop_assumption": -0.0936, "net_target_1_assumption": -0.0567, "net_target_2_assumption": -0.0567, "normalized_atr_score": 100.0, "normalized_liquidity_score": 24.29, "normalized_momentum_score": 16.57, "normalized_quality_score": 39.74,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0.0, "price": 49.28, "prior_high_20": 0.0, "prior_high_63": 0.0, "reason": "SKIP: No Trade result. Market regime NEUTRAL; sector NEUTRAL; net R/R 0.00.", "risk_amount": 0.0, "scan_source": "Smart Universe: broad liquid US universe filtered and diversified by the Market Lens UI.", "sector": "Consumer Defensive", "sector_etf": "XLP", "sector_exposure_after": 0.0, "sector_exposure_before": 0.0, "sector_exposure_cap": 6000.0, "sector_exposure_limit_exceeded": false, "sector_regime": "NEUTRAL", "sector_score": 55.89, "setup_score": 0.0, "setup_type": "No Trade", "sizing_adjustment_reason": "", "spread_source": "liquidity_fallback", "stock_score": 0.0, "stop_loss": 0.0, "target_1": null, "target_1_atr_distance": 0.0, "target_2": null, "target_2_atr_distance": 0.0, "target_feasibility_status": "UNKNOWN", "theoretical_entry": 49.28, "ticker": "MKC", "timestamp": "2026-06-10T13:39:21", "warnings": ["SPY data unavailable: Too Many Requests. Rate limited. Try after a while.", "Earnings data unavailable.", "Target ATR feasibility unavailable."]}</t>
        </is>
      </c>
    </row>
  </sheetData>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T10"/>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16" customWidth="1" style="52" min="14" max="14"/>
    <col width="16" customWidth="1" style="52" min="15" max="15"/>
    <col width="45" customWidth="1" style="52" min="16" max="16"/>
    <col width="16" customWidth="1" style="52" min="17" max="17"/>
  </cols>
  <sheetData>
    <row r="1">
      <c r="A1" s="36" t="inlineStr">
        <is>
          <t>Timestamp</t>
        </is>
      </c>
      <c r="B1" s="36" t="inlineStr">
        <is>
          <t>Action</t>
        </is>
      </c>
      <c r="C1" s="36" t="inlineStr">
        <is>
          <t>Ticker</t>
        </is>
      </c>
      <c r="D1" s="36" t="inlineStr">
        <is>
          <t>Entry Price USD</t>
        </is>
      </c>
      <c r="E1" s="36" t="inlineStr">
        <is>
          <t>Exit Price USD</t>
        </is>
      </c>
      <c r="F1" s="36" t="inlineStr">
        <is>
          <t>Quantity</t>
        </is>
      </c>
      <c r="G1" s="36" t="inlineStr">
        <is>
          <t>USD/ILS</t>
        </is>
      </c>
      <c r="H1" s="36" t="inlineStr">
        <is>
          <t>Buy Value</t>
        </is>
      </c>
      <c r="I1" s="36" t="inlineStr">
        <is>
          <t>Sell Value</t>
        </is>
      </c>
      <c r="J1" s="36" t="inlineStr">
        <is>
          <t>Cash Out</t>
        </is>
      </c>
      <c r="K1" s="36" t="inlineStr">
        <is>
          <t>Cash In</t>
        </is>
      </c>
      <c r="L1" s="36" t="inlineStr">
        <is>
          <t>Stop Loss USD</t>
        </is>
      </c>
      <c r="M1" s="36" t="inlineStr">
        <is>
          <t>Target 1 USD</t>
        </is>
      </c>
      <c r="N1" s="36" t="inlineStr">
        <is>
          <t>Target 2 USD</t>
        </is>
      </c>
      <c r="O1" s="36" t="inlineStr">
        <is>
          <t>Risk</t>
        </is>
      </c>
      <c r="P1" s="36" t="inlineStr">
        <is>
          <t>Reason</t>
        </is>
      </c>
      <c r="Q1" s="36" t="inlineStr">
        <is>
          <t>Screenshot</t>
        </is>
      </c>
      <c r="R1" t="inlineStr">
        <is>
          <t>Chart URL</t>
        </is>
      </c>
      <c r="S1" t="inlineStr">
        <is>
          <t>Selection Context</t>
        </is>
      </c>
      <c r="T1" t="inlineStr">
        <is>
          <t>Decision JSON</t>
        </is>
      </c>
    </row>
    <row r="2">
      <c r="A2" t="inlineStr">
        <is>
          <t>2026-06-08T09:24:54</t>
        </is>
      </c>
      <c r="B2" t="inlineStr">
        <is>
          <t>BUY_SIMULATED</t>
        </is>
      </c>
      <c r="C2" t="inlineStr">
        <is>
          <t>XOM</t>
        </is>
      </c>
      <c r="D2" t="n">
        <v>149.92</v>
      </c>
      <c r="F2" t="n">
        <v>40</v>
      </c>
      <c r="G2" t="n">
        <v>1</v>
      </c>
      <c r="H2" t="n">
        <v>5996.799999999999</v>
      </c>
      <c r="I2" t="n">
        <v>0</v>
      </c>
      <c r="J2" t="n">
        <v>5996.8</v>
      </c>
      <c r="K2" t="n">
        <v>0</v>
      </c>
      <c r="L2" t="n">
        <v>146.99</v>
      </c>
      <c r="M2" t="n">
        <v>150.49</v>
      </c>
      <c r="N2" t="n">
        <v>173.86</v>
      </c>
      <c r="O2" t="n">
        <v>117.2</v>
      </c>
      <c r="P2" t="inlineStr">
        <is>
          <t>BUY_SIMULATED: NEUTRAL market regime, NEUTRAL sector, valid setup, net R/R 2.68, no earnings blackout, correlation acceptable, and risk limits allow entry. Position size reduced to 40 shares to fit exposure caps.</t>
        </is>
      </c>
      <c r="Q2" t="inlineStr">
        <is>
          <t>agent_results\screenshots\market_lens_agent_20260608_091643.png</t>
        </is>
      </c>
      <c r="R2" t="inlineStr">
        <is>
          <t>agent_results\charts\market_lens_agent_20260608_091643_xom.png</t>
        </is>
      </c>
      <c r="S2"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BUY_SIMULATED - BUY_SIMULATED: NEUTRAL market regime, NEUTRAL sector, valid setup, net R/R 2.68, no earnings blackout, correlation acceptable, and risk limits allow entry. Position size reduced to 40 shares to fit exposure caps.</t>
        </is>
      </c>
      <c r="T2" t="inlineStr">
        <is>
          <t>{"adjusted_cash_out": 5996.8, "adjusted_position_size": 40, "adjusted_risk_amount": 117.2, "ask": 0.0, "bid": 0.0, "buy_zone_high": 151.87, "buy_zone_low": 149.87, "cash_available": 100000.0,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{"Energy": 5996.8}, "factor_exposure_before": {}, "factor_exposure_cap": 7000.0, "factor_exposure_limit_exceeded": false, "factor_tags": ["Energy"], "final_action": "BUY_SIMULATED", "gross_reward_1_per_share": 0.57, "gross_reward_2_per_share": 23.94, "gross_risk_per_share": 2.93, "gross_rr": 2.9862, "gross_rr_1": 0.1945, "gross_rr_2": 8.1706, "gross_rr_decision": 2.9862, "highest_correlation_ticker": "", "highest_correlation_value": null, "initial_action": "BUY_SIMULATED", "market_cap": 621410470937.42, "market_cap_bucket": "Mega Cap", "market_regime": "NEUTRAL", "market_regime_indicators": {"DXY": {"ema20": 99.2263, "ema200": 98.8013, "ema50": 98.954, "price": 100.112, "return_1m": 2.32, "return_3m": 1.3,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9894.72, "original_position_size": 66, "original_risk_amount": 193.38, "portfolio_exposure_after": 5996.8, "portfolio_exposure_before": 0, "position_size": 40, "position_size_adjusted": true, "position_sizing_explanation": "Position size reduced from 66 to 40 shares. Accepted cash out 5996.80, risk 117.20. Reason: Position size reduced by Energy sector exposure cap (66 -&gt; 40 shares).", "previous_resistance": 163.68, "price": 149.92, "prior_high_20": 163.68, "prior_high_63": 175.2207, "reason": "BUY_SIMULATED: NEUTRAL market regime, NEUTRAL sector, valid setup, net R/R 2.68, no earnings blackout, correlation acceptable, and risk limits allow entry. Position size reduced to 40 shares to fit exposure caps.", "risk_amount": 117.2, "scan_source": "Smart Universe: broad liquid US universe filtered and diversified by the Market Lens UI.", "sector": "Energy", "sector_etf": "XLE", "sector_exposure_after": 5996.8, "sector_exposure_before": 0.0, "sector_exposure_cap": 6000.0, "sector_exposure_limit_exceeded": false, "sector_regime": "NEUTRAL", "sector_score": 47.51, "setup_score": 0.49, "setup_type": "Fib 61.8 Confluence Buy Zone", "sizing_adjustment_reason": "Position size reduced by Energy sector exposure cap (66 -&gt; 40 shares).", "spread_source": "liquidity_fallback", "stock_score": 0.49, "stop_loss": 146.99, "target_1": 150.49, "target_1_atr_distance": 0.1428, "target_2": 173.86, "target_2_atr_distance": 5.9956, "target_feasibility_status": "LOW_REWARD_DISTANCE", "theoretical_entry": 149.87, "ticker": "XOM", "timestamp": "2026-06-08T09:24:54", "warnings": ["Target 1 is close versus daily ATR.", "Position size reduced by Energy sector exposure cap (66 -&gt; 40 shares)."]}</t>
        </is>
      </c>
    </row>
    <row r="3">
      <c r="A3" t="inlineStr">
        <is>
          <t>2026-06-08T09:33:45</t>
        </is>
      </c>
      <c r="B3" t="inlineStr">
        <is>
          <t>BUY_SIMULATED</t>
        </is>
      </c>
      <c r="C3" t="inlineStr">
        <is>
          <t>HIG</t>
        </is>
      </c>
      <c r="D3" t="n">
        <v>132.14</v>
      </c>
      <c r="F3" t="n">
        <v>45</v>
      </c>
      <c r="G3" t="n">
        <v>1</v>
      </c>
      <c r="H3" t="n">
        <v>5946.299999999999</v>
      </c>
      <c r="I3" t="n">
        <v>0</v>
      </c>
      <c r="J3" t="n">
        <v>5946.3</v>
      </c>
      <c r="K3" t="n">
        <v>0</v>
      </c>
      <c r="L3" t="n">
        <v>131.48</v>
      </c>
      <c r="M3" t="n">
        <v>133.49</v>
      </c>
      <c r="N3" t="n">
        <v>139.89</v>
      </c>
      <c r="O3" t="n">
        <v>29.7</v>
      </c>
      <c r="P3" t="inlineStr">
        <is>
          <t>BUY_SIMULATED: NEUTRAL market regime, STRONG sector, valid setup, net R/R 2.74, no earnings blackout, correlation acceptable, and risk limits allow entry. Position size reduced to 45 shares to fit exposure caps.</t>
        </is>
      </c>
      <c r="Q3" t="inlineStr">
        <is>
          <t>agent_results\screenshots\market_lens_agent_20260608_092643.png</t>
        </is>
      </c>
      <c r="R3" t="inlineStr">
        <is>
          <t>agent_results\charts\market_lens_agent_20260608_092643_hig.png</t>
        </is>
      </c>
      <c r="S3"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3"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4">
      <c r="A4" t="inlineStr">
        <is>
          <t>2026-06-08T14:04:49+00:00</t>
        </is>
      </c>
      <c r="B4" t="inlineStr">
        <is>
          <t>TAKE_PARTIAL_PROFIT</t>
        </is>
      </c>
      <c r="C4" t="inlineStr">
        <is>
          <t>XOM</t>
        </is>
      </c>
      <c r="E4" t="n">
        <v>150.49</v>
      </c>
      <c r="F4" t="n">
        <v>20</v>
      </c>
      <c r="G4" t="n">
        <v>1</v>
      </c>
      <c r="H4" t="n">
        <v>0</v>
      </c>
      <c r="I4" t="n">
        <v>3009.8</v>
      </c>
      <c r="J4" t="n">
        <v>0</v>
      </c>
      <c r="K4" t="n">
        <v>3009.8</v>
      </c>
      <c r="L4" t="n">
        <v>146.99</v>
      </c>
      <c r="M4" t="n">
        <v>150.49</v>
      </c>
      <c r="N4" t="n">
        <v>173.86</v>
      </c>
      <c r="O4" t="n">
        <v>0</v>
      </c>
      <c r="P4" t="inlineStr">
        <is>
          <t>Target 1 touched by intraday high; taking partial profit and moving stop to breakeven.</t>
        </is>
      </c>
      <c r="Q4" t="inlineStr">
        <is>
          <t>agent_results\screenshots\market_lens_agent_20260608_091643.png</t>
        </is>
      </c>
      <c r="R4" t="inlineStr">
        <is>
          <t>agent_results\charts\market_lens_agent_20260608_092643_xom.png</t>
        </is>
      </c>
      <c r="S4" t="inlineStr">
        <is>
          <t>Smart Universe: broad liquid US universe, diversified by sector | Sector: Energy - Neutral (48/100); XLE sector regime is neutral: 3.1% 3m return, -6.0% vs SPY | Setup: Fib 61.8 Confluence Buy Zone; score 0.49; R/R 2.98x; price 149.92 | Market: NEUTRAL; Sector regime: NEUTRAL; Net R/R: 2.68; Factors: Energy | Agent action: HOLD - HOLD: Existing simulated position remains open. NEUTRAL regime recorded.</t>
        </is>
      </c>
      <c r="T4" t="inlineStr">
        <is>
          <t>{"adjusted_cash_out": 0.0, "adjusted_position_size": 0, "adjusted_risk_amount": 0.0, "ask": 0.0, "bid": 0.0, "buy_zone_high": 151.87, "buy_zone_low": 149.87, "cash_available": 88056.9, "company_name": "Exxon Mobil Corporation", "correlation_warning": false, "days_to_earnings": 39, "earnings_blackout": false, "earnings_date": "2026-07-31T00:00:00", "estimated_fees": 0.0, "estimated_slippage": 0.2099, "estimated_spread": 0.045, "executable_entry": 149.92, "execution_liquidity_bucket": "large_liquid", "factor_exposure_after": {"Financials": 5946.3}, "factor_exposure_before": {"Financials": 5946.3}, "factor_exposure_cap": 7000.0, "factor_exposure_limit_exceeded": false, "factor_tags": ["Energy"], "final_action": "HOLD", "gross_reward_1_per_share": 0.57, "gross_reward_2_per_share": 23.94, "gross_risk_per_share": 2.93, "gross_rr": 2.9862, "gross_rr_1": 0.1945, "gross_rr_2": 8.1706, "gross_rr_decision": 2.9862, "highest_correlation_ticker": "HIG", "highest_correlation_value": -0.0856, "initial_action": "HOLD", "market_cap": 621410470937.42, "market_cap_bucket": "Mega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2.5, "net_entry": 150.0474, "net_reward_1_per_share": 0.3676, "net_reward_2_per_share": 23.7376, "net_risk_per_share": 3.1849, "net_rr": 2.6837, "net_rr_1": 0.1154, "net_rr_2": 7.4533, "net_stop_assumption": 146.8626, "net_target_1_assumption": 150.415, "net_target_2_assumption": 173.785, "normalized_atr_score": 100.0, "normalized_liquidity_score": 58.97, "normalized_momentum_score": 55.95, "normalized_quality_score": 67.87, "original_cash_out": 0.0, "original_position_size": 0, "original_risk_amount": 0.0, "portfolio_exposure_after": 11943.1, "portfolio_exposure_before": 11943.1, "position_size": 0, "position_size_adjusted": false, "position_sizing_explanation": "No new position size was calculated because the base decision did not open a simulated buy.", "previous_resistance": 163.68, "price": 149.92,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0.0, "sector_exposure_before": 0.0, "sector_exposure_cap": 6000.0, "sector_exposure_limit_exceeded": false, "sector_regime": "NEUTRAL", "sector_score": 47.51, "setup_score": 0.49, "setup_type": "Fib 61.8 Confluence Buy Zone", "sizing_adjustment_reason": "", "spread_source": "liquidity_fallback", "stock_score": 0.49, "stop_loss": 146.99, "target_1": 150.49, "target_1_atr_distance": 0.1428, "target_2": 173.86, "target_2_atr_distance": 5.9956, "target_feasibility_status": "LOW_REWARD_DISTANCE", "theoretical_entry": 149.87, "ticker": "XOM", "timestamp": "2026-06-08T09:33:45", "warnings": ["Target 1 is close versus daily ATR."]}</t>
        </is>
      </c>
    </row>
    <row r="5">
      <c r="A5" t="inlineStr">
        <is>
          <t>2026-06-08T14:04:49+00:00</t>
        </is>
      </c>
      <c r="B5" t="inlineStr">
        <is>
          <t>EXIT_STOP</t>
        </is>
      </c>
      <c r="C5" t="inlineStr">
        <is>
          <t>HIG</t>
        </is>
      </c>
      <c r="E5" t="n">
        <v>131.48</v>
      </c>
      <c r="F5" t="n">
        <v>45</v>
      </c>
      <c r="G5" t="n">
        <v>1</v>
      </c>
      <c r="H5" t="n">
        <v>0</v>
      </c>
      <c r="I5" t="n">
        <v>5916.6</v>
      </c>
      <c r="J5" t="n">
        <v>0</v>
      </c>
      <c r="K5" t="n">
        <v>5916.6</v>
      </c>
      <c r="L5" t="n">
        <v>131.48</v>
      </c>
      <c r="M5" t="n">
        <v>133.49</v>
      </c>
      <c r="N5" t="n">
        <v>139.89</v>
      </c>
      <c r="O5" t="n">
        <v>0</v>
      </c>
      <c r="P5" t="inlineStr">
        <is>
          <t>Stop loss touched by intraday low.</t>
        </is>
      </c>
      <c r="Q5" t="inlineStr">
        <is>
          <t>agent_results\screenshots\market_lens_agent_20260608_092643.png</t>
        </is>
      </c>
      <c r="R5" t="inlineStr">
        <is>
          <t>agent_results\charts\market_lens_agent_20260608_092643_hig.png</t>
        </is>
      </c>
      <c r="S5" t="inlineStr">
        <is>
          <t>Smart Universe: broad liquid US universe, diversified by sector | Sector: Financials - Strong (70/100); XLF sector regime is strong: 4.4% 3m return, -4.6% vs SPY | Setup: Fib 61.8 Confluence Buy Zone; score 0.51; R/R 5.41x; price 132.14 | Market: NEUTRAL; Sector regime: STRONG; Net R/R: 2.74; Factors: Financials | Agent action: BUY_SIMULATED - BUY_SIMULATED: NEUTRAL market regime, STRONG sector, valid setup, net R/R 2.74, no earnings blackout, correlation acceptable, and risk limits allow entry. Position size reduced to 45 shares to fit exposure caps.</t>
        </is>
      </c>
      <c r="T5" t="inlineStr">
        <is>
          <t>{"adjusted_cash_out": 5946.3, "adjusted_position_size": 45, "adjusted_risk_amount": 29.7, "ask": 0.0, "bid": 0.0, "buy_zone_high": 133.48, "buy_zone_low": 132.07, "cash_available": 94003.2, "company_name": "Hartford (The)", "correlation_warning": false, "days_to_earnings": -32, "earnings_blackout": false, "earnings_date": "2026-04-23T00:00:00", "estimated_fees": 0.0, "estimated_slippage": 0.3964, "estimated_spread": 0.1057, "executable_entry": 132.14, "execution_liquidity_bucket": "mid_liquid", "factor_exposure_after": {"Energy": 5996.8, "Financials": 5946.3}, "factor_exposure_before": {"Energy": 5996.8}, "factor_exposure_cap": 7000.0, "factor_exposure_limit_exceeded": false, "factor_tags": ["Financials"], "final_action": "BUY_SIMULATED", "gross_reward_1_per_share": 1.35, "gross_reward_2_per_share": 7.75, "gross_risk_per_share": 0.66, "gross_rr": 5.4394, "gross_rr_1": 2.0455, "gross_rr_2": 11.7424, "gross_rr_decision": 5.4394, "highest_correlation_ticker": "XOM", "highest_correlation_value": -0.0856, "initial_action": "BUY_SIMULATED", "market_cap": 36223646387.48, "market_cap_bucket": "Large Cap", "market_regime": "NEUTRAL", "market_regime_indicators": {"DXY": {"ema20": 99.2236, "ema200": 98.8009, "ema50": 98.9529, "price": 100.084, "return_1m": 2.29, "return_3m": 1.27, "trend": "bullish"}, "IWM": {"ema20": 284.8339, "ema200": 266.8273, "ema50": 276.8465, "price": 281.65, "return_1m": -0.22, "return_3m": 11.25, "trend": "mixed"}, "QQQ": {"ema20": 717.5737, "ema200": 649.8326, "ema50": 683.0818, "price": 705.06, "return_1m": 1.46, "return_3m": 16.16, "trend": "mixed"}, "SPY": {"ema20": 743.679, "ema200": 702.3249, "ema50": 723.0899, "price": 737.55, "return_1m": 0.82, "return_3m": 9.04, "trend": "mixed"}, "US10Y": {"ema20": 4.482, "ema200": 4.307, "ema50": 4.4111, "price": 4.536, "return_1m": 3.28, "return_3m": 9.67, "trend": "bullish"}, "VIX": {"ema20": 17.2086, "ema200": 18.6108, "ema50": 18.3779, "price": 21.51, "return_1m": 25.13, "return_3m": -13.72, "trend": "mixed"}}, "market_regime_reason": "Market regime is mixed; use lower exposure and higher net R/R.", "market_regime_score": 0.52, "market_structure_status": "SUPPORTED_BY_20D_RESISTANCE", "minimum_net_rr_required": 2.2, "net_entry": 132.3911, "net_reward_1_per_share": 0.947, "net_reward_2_per_share": 7.347, "net_risk_per_share": 1.1621, "net_rr": 2.7424, "net_rr_1": 0.8149, "net_rr_2": 6.322, "net_stop_assumption": 131.2289, "net_target_1_assumption": 133.338, "net_target_2_assumption": 139.738, "normalized_atr_score": 100.0, "normalized_liquidity_score": 31.03, "normalized_momentum_score": 38.09, "normalized_quality_score": 51.45, "original_cash_out": 9910.5, "original_position_size": 75, "original_risk_amount": 49.5, "portfolio_exposure_after": 11943.1, "portfolio_exposure_before": 5996.8, "position_size": 45, "position_size_adjusted": true, "position_sizing_explanation": "Position size reduced from 75 to 45 shares. Accepted cash out 5946.30, risk 29.70. Reason: Position size reduced by Financials sector exposure cap (75 -&gt; 45 shares).", "previous_resistance": 136.5226, "price": 132.14, "prior_high_20": 136.5226, "prior_high_63": 140.9417, "reason": "BUY_SIMULATED: NEUTRAL market regime, STRONG sector, valid setup, net R/R 2.74, no earnings blackout, correlation acceptable, and risk limits allow entry. Position size reduced to 45 shares to fit exposure caps.", "risk_amount": 29.7, "scan_source": "Smart Universe: broad liquid US universe filtered and diversified by the Market Lens UI.", "sector": "Financials", "sector_etf": "XLF", "sector_exposure_after": 5946.3, "sector_exposure_before": 0.0, "sector_exposure_cap": 6000.0, "sector_exposure_limit_exceeded": false, "sector_regime": "STRONG", "sector_score": 69.62, "setup_score": 0.51, "setup_type": "Fib 61.8 Confluence Buy Zone", "sizing_adjustment_reason": "Position size reduced by Financials sector exposure cap (75 -&gt; 45 shares).", "spread_source": "liquidity_fallback", "stock_score": 0.51, "stop_loss": 131.48, "target_1": 133.49, "target_1_atr_distance": 0.478, "target_2": 139.89, "target_2_atr_distance": 2.7441, "target_feasibility_status": "LOW_REWARD_DISTANCE", "theoretical_entry": 132.07, "ticker": "HIG", "timestamp": "2026-06-08T09:33:45", "warnings": ["Target 1 is close versus daily ATR.", "Position size reduced by Financials sector exposure cap (75 -&gt; 45 shares)."]}</t>
        </is>
      </c>
    </row>
    <row r="6">
      <c r="A6" t="inlineStr">
        <is>
          <t>2026-06-08T15:11:24</t>
        </is>
      </c>
      <c r="B6" t="inlineStr">
        <is>
          <t>BUY_SIMULATED</t>
        </is>
      </c>
      <c r="C6" t="inlineStr">
        <is>
          <t>APA</t>
        </is>
      </c>
      <c r="D6" t="n">
        <v>37.35</v>
      </c>
      <c r="F6" t="n">
        <v>267</v>
      </c>
      <c r="G6" t="n">
        <v>1</v>
      </c>
      <c r="H6" t="n">
        <v>9972.450000000001</v>
      </c>
      <c r="I6" t="n">
        <v>0</v>
      </c>
      <c r="J6" t="n">
        <v>9972.450000000001</v>
      </c>
      <c r="K6" t="n">
        <v>0</v>
      </c>
      <c r="L6" t="n">
        <v>36.39</v>
      </c>
      <c r="M6" t="n">
        <v>38.38</v>
      </c>
      <c r="N6" t="n">
        <v>44.19</v>
      </c>
      <c r="O6" t="n">
        <v>256.32</v>
      </c>
      <c r="P6" t="inlineStr">
        <is>
          <t>BUY_SIMULATED: BULL market regime, STRONG sector, valid setup, net R/R 2.68, no earnings blackout, correlation acceptable, and risk limits allow entry.</t>
        </is>
      </c>
      <c r="Q6" t="inlineStr">
        <is>
          <t>agent_results/screenshots/market_lens_agent_20260608_150453.png</t>
        </is>
      </c>
      <c r="R6" t="inlineStr">
        <is>
          <t>agent_results/charts/market_lens_agent_20260608_150453_apa.png</t>
        </is>
      </c>
      <c r="S6" t="inlineStr">
        <is>
          <t>Smart Universe: broad liquid US universe, diversified by sector | Sector: Energy - Strong (71/100); XLE sector regime is strong: 5.9% 3m return, -4.5% vs SPY | Setup: Fib 61.8 Confluence Buy Zone; score 0.39; R/R 3.19x; price 37.35 | Market: BULL; Sector regime: STRONG; Net R/R: 2.68; Factors: Energy | Agent action: BUY_SIMULATED - BUY_SIMULATED: BULL market regime, STRONG sector, valid setup, net R/R 2.68, no earnings blackout, correlation acceptable, and risk limits allow entry.</t>
        </is>
      </c>
      <c r="T6" t="inlineStr">
        <is>
          <t>{"adjusted_cash_out": 9972.45, "adjusted_position_size": 267, "adjusted_risk_amount": 256.32, "ask": 0.0, "bid": 0.0, "buy_zone_high": 37.99, "buy_zone_low": 37.24, "cash_available": 96983.3, "company_name": "APA Corporation", "correlation_warning": false, "days_to_earnings": 42, "earnings_blackout": false, "earnings_date": "2026-08-05T00:00:00", "estimated_fees": 0.0, "estimated_slippage": 0.1121, "estimated_spread": 0.0299, "executable_entry": 37.35, "execution_liquidity_bucket": "mid_liquid", "factor_exposure_after": {"Energy": 13041.05}, "factor_exposure_before": {"Energy": 3068.6}, "factor_exposure_cap": 20000.0, "factor_exposure_limit_exceeded": false, "factor_tags": ["Energy"], "final_action": "BUY_SIMULATED", "gross_reward_1_per_share": 1.03, "gross_reward_2_per_share": 6.84, "gross_risk_per_share": 0.96, "gross_rr": 3.1911, "gross_rr_1": 1.0729, "gross_rr_2": 7.125, "gross_rr_decision": 3.1911, "highest_correlation_ticker": "XOM", "highest_correlation_value": 0.7767, "initial_action": "BUY_SIMULATED", "market_cap": 13209182005.44, "market_cap_bucket": "Large Cap", "market_regime": "BULL", "market_regime_indicators": {"DXY": {"ema20": 99.2091, "ema200": 98.7985, "ema50": 98.947, "price": 99.932, "return_1m": 2.14, "return_3m": 1.12, "trend": "bullish"}, "IWM": {"ema20": 285.0178, "ema200": 267.0609, "ema50": 277.2355, "price": 286.765, "return_1m": 0.91, "return_3m": 13.39, "trend": "bullish"}, "QQQ": {"ema20": 718.0638, "ema200": 650.7746, "ema50": 684.6362, "price": 722.72, "return_1m": 1.62, "return_3m": 19.06, "trend": "bullish"}, "SPY": {"ema20": 743.8187, "ema200": 702.8613, "ema50": 723.9549, "price": 745.145, "return_1m": 1.02, "return_3m": 10.34, "trend": "bullish"}, "US10Y": {"ema20": 4.4885, "ema200": 4.3153, "ema50": 4.4168, "price": 4.55, "return_1m": 4.26, "return_3m": 10.01, "trend": "bullish"}, "VIX": {"ema20": 17.2982, "ema200": 18.7727, "ema50": 18.3771, "price": 18.15, "return_1m": -1.25, "return_3m": -25.09, "trend": "mixed"}}, "market_regime_reason": "SPY/QQQ trend is constructive and volatility is acceptable.", "market_regime_score": 0.82, "market_structure_status": "SUPPORTED_BY_20D_RESISTANCE", "minimum_net_rr_required": 2.0, "net_entry": 37.421, "net_reward_1_per_share": 0.9161, "net_reward_2_per_share": 6.7261, "net_risk_per_share": 1.1019, "net_rr": 2.6767, "net_rr_1": 0.8313, "net_rr_2": 6.1039, "net_stop_assumption": 36.319, "net_target_1_assumption": 38.337, "net_target_2_assumption": 44.147, "normalized_atr_score": 100.0, "normalized_liquidity_score": 27.48, "normalized_momentum_score": 100, "normalized_quality_score": 78.24, "original_cash_out": 9972.45, "original_position_size": 267, "original_risk_amount": 256.32, "portfolio_exposure_after": 13041.05, "portfolio_exposure_before": 3068.6, "position_size": 267, "position_size_adjusted": false, "position_sizing_explanation": "Position size accepted: 267 shares, cash out 9972.45, risk 256.32, cash available 96983.30, portfolio exposure after trade 13041.05, market-regime exposure cap 40000.00.", "previous_resistance": 41.58, "price": 37.35, "prior_high_20": 41.58, "prior_high_63": 45.3564, "reason": "BUY_SIMULATED: BULL market regime, STRONG sector, valid setup, net R/R 2.68, no earnings blackout, correlation acceptable, and risk limits allow entry.", "risk_amount": 256.32, "scan_source": "Smart Universe: broad liquid US universe filtered and diversified by the Market Lens UI.", "sector": "Energy", "sector_etf": "XLE", "sector_exposure_after": 13041.05, "sector_exposure_before": 3068.6, "sector_exposure_cap": 16000.0, "sector_exposure_limit_exceeded": false, "sector_regime": "STRONG", "sector_score": 71.2, "setup_score": 0.39, "setup_type": "Fib 61.8 Confluence Buy Zone", "sizing_adjustment_reason": "", "spread_source": "liquidity_fallback", "stock_score": 0.39, "stop_loss": 36.39, "target_1": 38.38, "target_1_atr_distance": 0.6857, "target_2": 44.19, "target_2_atr_distance": 4.5533, "target_feasibility_status": "LOW_REWARD_DISTANCE", "theoretical_entry": 37.24, "ticker": "APA", "timestamp": "2026-06-08T15:11:24", "warnings": ["Target 1 is close versus daily ATR."]}</t>
        </is>
      </c>
    </row>
    <row r="7">
      <c r="A7" t="inlineStr">
        <is>
          <t>2026-06-09T13:42:45+00:00</t>
        </is>
      </c>
      <c r="B7" t="inlineStr">
        <is>
          <t>EXIT_STOP</t>
        </is>
      </c>
      <c r="C7" t="inlineStr">
        <is>
          <t>XOM</t>
        </is>
      </c>
      <c r="E7" t="n">
        <v>149.92</v>
      </c>
      <c r="F7" t="n">
        <v>20</v>
      </c>
      <c r="G7" t="n">
        <v>1</v>
      </c>
      <c r="H7" t="n">
        <v>0</v>
      </c>
      <c r="I7" t="n">
        <v>2998.4</v>
      </c>
      <c r="J7" t="n">
        <v>0</v>
      </c>
      <c r="K7" t="n">
        <v>2998.4</v>
      </c>
      <c r="L7" t="n">
        <v>149.92</v>
      </c>
      <c r="M7" t="n">
        <v>150.49</v>
      </c>
      <c r="N7" t="n">
        <v>173.86</v>
      </c>
      <c r="O7" t="n">
        <v>0</v>
      </c>
      <c r="P7" t="inlineStr">
        <is>
          <t>Stop loss touched by intraday low.</t>
        </is>
      </c>
      <c r="Q7" t="inlineStr">
        <is>
          <t>agent_results\screenshots\market_lens_agent_20260608_091643.png</t>
        </is>
      </c>
      <c r="R7" t="inlineStr">
        <is>
          <t>agent_results/charts/market_lens_agent_20260608_210745_xom.png</t>
        </is>
      </c>
      <c r="S7" t="inlineStr">
        <is>
          <t>Smart Universe: broad liquid US universe, diversified by sector | Sector: Energy - Strong (72/100); XLE sector regime is strong: 5.6% 3m return, -3.9% vs SPY | Setup: Fib 61.8 Confluence Buy Zone; score 0.49; R/R 1.64x; price 151.75 | Market: NEUTRAL; Sector regime: STRONG; Net R/R: 1.53; Factors: Energy | Agent action: HOLD - HOLD: Existing simulated position remains open. NEUTRAL regime recorded.</t>
        </is>
      </c>
      <c r="T7" t="inlineStr">
        <is>
          <t>{"adjusted_cash_out": 0.0, "adjusted_position_size": 0, "adjusted_risk_amount": 0.0, "ask": 0.0, "bid": 0.0, "buy_zone_high": 151.87, "buy_zone_low": 149.87, "cash_available": 87010.85, "company_name": "Exxon Mobil Corporation", "correlation_warning": false, "days_to_earnings": 39, "earnings_blackout": false, "earnings_date": "2026-07-31T00:00:00", "estimated_fees": 0.0, "estimated_slippage": 0.2124, "estimated_spread": 0.0455, "executable_entry": 151.75, "execution_liquidity_bucket": "large_liquid", "factor_exposure_after": {"Energy": 10048.54}, "factor_exposure_before": {"Energy": 10048.54}, "factor_exposure_cap": 7000.0, "factor_exposure_limit_exceeded": false, "factor_tags": ["Energy"], "final_action": "HOLD", "gross_reward_1_per_share": 0.12, "gross_reward_2_per_share": 22.11, "gross_risk_per_share": 4.76, "gross_rr": 1.6421, "gross_rr_1": 0.0252, "gross_rr_2": 4.645, "gross_rr_decision": 1.6421, "highest_correlation_ticker": "APA", "highest_correlation_value": 0.7767, "initial_action": "HOLD", "market_cap": 628995731833.5, "market_cap_bucket": "Mega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151.879, "net_reward_1_per_share": 0.0, "net_reward_2_per_share": 21.9051, "net_risk_per_share": 5.018, "net_rr": 1.5279, "net_rr_1": 0.0, "net_rr_2": 4.3653, "net_stop_assumption": 146.861, "net_target_1_assumption": 151.7941, "net_target_2_assumption": 173.7841, "normalized_atr_score": 100.0, "normalized_liquidity_score": 58.57, "normalized_momentum_score": 70.39, "normalized_quality_score": 74.25,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163.68, "price": 151.75, "prior_high_20": 163.68, "prior_high_63": 175.2207, "reason": "HOLD: Existing simulated position remains open. NEUTRAL regime recorded.", "risk_amount": 0.0, "scan_source": "Smart Universe: broad liquid US universe filtered and diversified by the Market Lens UI.", "sector": "Energy", "sector_etf": "XLE", "sector_exposure_after": 10048.54, "sector_exposure_before": 10048.54, "sector_exposure_cap": 6000.0, "sector_exposure_limit_exceeded": false, "sector_regime": "STRONG", "sector_score": 71.6, "setup_score": 0.49, "setup_type": "Fib 61.8 Confluence Buy Zone", "sizing_adjustment_reason": "", "spread_source": "liquidity_fallback", "stock_score": 0.49, "stop_loss": 146.99, "target_1": 151.87, "target_1_atr_distance": 0.0301, "target_2": 173.86, "target_2_atr_distance": 5.5473, "target_feasibility_status": "LOW_REWARD_DISTANCE", "theoretical_entry": 149.87, "ticker": "XOM", "timestamp": "2026-06-08T21:14:42", "warnings": ["Target 1 is close versus daily ATR."]}</t>
        </is>
      </c>
    </row>
    <row r="8">
      <c r="A8" t="inlineStr">
        <is>
          <t>2026-06-09T14:21:45+00:00</t>
        </is>
      </c>
      <c r="B8" t="inlineStr">
        <is>
          <t>EXIT_STOP</t>
        </is>
      </c>
      <c r="C8" t="inlineStr">
        <is>
          <t>APA</t>
        </is>
      </c>
      <c r="E8" t="n">
        <v>36.39</v>
      </c>
      <c r="F8" t="n">
        <v>267</v>
      </c>
      <c r="G8" t="n">
        <v>1</v>
      </c>
      <c r="H8" t="n">
        <v>0</v>
      </c>
      <c r="I8" t="n">
        <v>9716.129999999999</v>
      </c>
      <c r="J8" t="n">
        <v>0</v>
      </c>
      <c r="K8" t="n">
        <v>9716.129999999999</v>
      </c>
      <c r="L8" t="n">
        <v>36.39</v>
      </c>
      <c r="M8" t="n">
        <v>38.38</v>
      </c>
      <c r="N8" t="n">
        <v>44.19</v>
      </c>
      <c r="O8" t="n">
        <v>0</v>
      </c>
      <c r="P8" t="inlineStr">
        <is>
          <t>Stop loss touched by intraday low.</t>
        </is>
      </c>
      <c r="Q8" t="inlineStr">
        <is>
          <t>agent_results/screenshots/market_lens_agent_20260608_150453.png</t>
        </is>
      </c>
      <c r="R8" t="inlineStr">
        <is>
          <t>agent_results/charts/market_lens_agent_20260608_210745_apa.png</t>
        </is>
      </c>
      <c r="S8" t="inlineStr">
        <is>
          <t>Smart Universe: broad liquid US universe, diversified by sector | Sector: Energy - Strong (72/100); XLE sector regime is strong: 5.6% 3m return, -3.9% vs SPY | Setup: Fib 61.8 Confluence Buy Zone; score 0.40; R/R 2.17x; price 37.66 | Market: NEUTRAL; Sector regime: STRONG; Net R/R: 1.87; Factors: Energy | Agent action: HOLD - HOLD: Existing simulated position remains open. NEUTRAL regime recorded.</t>
        </is>
      </c>
      <c r="T8" t="inlineStr">
        <is>
          <t>{"adjusted_cash_out": 0.0, "adjusted_position_size": 0, "adjusted_risk_amount": 0.0, "ask": 0.0, "bid": 0.0, "buy_zone_high": 37.99, "buy_zone_low": 37.24, "cash_available": 87010.85, "company_name": "APA Corporation", "correlation_warning": false, "days_to_earnings": 42, "earnings_blackout": false, "earnings_date": "2026-08-05T00:00:00", "estimated_fees": 0.0, "estimated_slippage": 0.113, "estimated_spread": 0.0301, "executable_entry": 37.66, "execution_liquidity_bucket": "mid_liquid", "factor_exposure_after": {"Energy": 3035.0}, "factor_exposure_before": {"Energy": 3035.0}, "factor_exposure_cap": 7000.0, "factor_exposure_limit_exceeded": false, "factor_tags": ["Energy"], "final_action": "HOLD", "gross_reward_1_per_share": 0.72, "gross_reward_2_per_share": 6.53, "gross_risk_per_share": 1.27, "gross_rr": 2.1681, "gross_rr_1": 0.5669, "gross_rr_2": 5.1417, "gross_rr_decision": 2.1681, "highest_correlation_ticker": "XOM", "highest_correlation_value": 0.7767, "initial_action": "HOLD", "market_cap": 13311688694.88, "market_cap_bucket": "Large Cap", "market_regime": "NEUTRAL", "market_regime_indicators": {"DXY": {"ema20": 99.213, "ema200": 98.7991, "ema50": 98.9485, "price": 99.972, "return_1m": 2.18, "return_3m": 1.16, "trend": "bullish"}, "IWM": {"ema20": 284.765, "ema200": 267.1738, "ema50": 277.135, "price": 284.11, "return_1m": -0.02, "return_3m": 12.34, "trend": "mixed"}, "QQQ": {"ema20": 717.4305, "ema200": 650.9964, "ema50": 684.3808, "price": 716.07, "return_1m": 0.68, "return_3m": 17.97, "trend": "mixed"}, "SPY": {"ema20": 743.2544, "ema200": 702.8359, "ema50": 723.7184, "price": 739.22, "return_1m": 0.22, "return_3m": 9.46, "trend": "mixed"}, "US10Y": {"ema20": 4.4887, "ema200": 4.3153, "ema50": 4.4169, "price": 4.552, "return_1m": 4.31, "return_3m": 10.06, "trend": "bullish"}, "VIX": {"ema20": 17.3716, "ema200": 18.7848, "ema50": 18.4073, "price": 18.92, "return_1m": 2.94, "return_3m": -21.91, "trend": "mixed"}}, "market_regime_reason": "Market regime is mixed; use lower exposure and higher net R/R.", "market_regime_score": 0.52, "market_structure_status": "SUPPORTED_BY_20D_RESISTANCE", "minimum_net_rr_required": 2.2, "net_entry": 37.7316, "net_reward_1_per_share": 0.6051, "net_reward_2_per_share": 6.4151, "net_risk_per_share": 1.4131, "net_rr": 1.8673, "net_rr_1": 0.4282, "net_rr_2": 4.5397, "net_stop_assumption": 36.3184, "net_target_1_assumption": 38.3367, "net_target_2_assumption": 44.1467, "normalized_atr_score": 100.0, "normalized_liquidity_score": 28.02, "normalized_momentum_score": 100, "normalized_quality_score": 78.41, "original_cash_out": 0.0, "original_position_size": 0, "original_risk_amount": 0.0, "portfolio_exposure_after": 13083.54, "portfolio_exposure_before": 13083.54, "position_size": 0, "position_size_adjusted": false, "position_sizing_explanation": "No new position size was calculated because the base decision did not open a simulated buy.", "previous_resistance": 41.58, "price": 37.66, "prior_high_20": 41.58, "prior_high_63": 45.3564, "reason": "HOLD: Existing simulated position remains open. NEUTRAL regime recorded.", "risk_amount": 0.0, "scan_source": "Smart Universe: broad liquid US universe filtered and diversified by the Market Lens UI.", "sector": "Energy", "sector_etf": "XLE", "sector_exposure_after": 3035.0, "sector_exposure_before": 3035.0, "sector_exposure_cap": 6000.0, "sector_exposure_limit_exceeded": false, "sector_regime": "STRONG", "sector_score": 71.6, "setup_score": 0.4, "setup_type": "Fib 61.8 Confluence Buy Zone", "sizing_adjustment_reason": "", "spread_source": "liquidity_fallback", "stock_score": 0.4, "stop_loss": 36.39, "target_1": 38.38, "target_1_atr_distance": 0.4793, "target_2": 44.19, "target_2_atr_distance": 4.347, "target_feasibility_status": "LOW_REWARD_DISTANCE", "theoretical_entry": 37.24, "ticker": "APA", "timestamp": "2026-06-08T21:14:42", "warnings": ["Target 1 is close versus daily ATR."]}</t>
        </is>
      </c>
    </row>
    <row r="9">
      <c r="A9" t="inlineStr">
        <is>
          <t>2026-06-09T17:37:36</t>
        </is>
      </c>
      <c r="B9" t="inlineStr">
        <is>
          <t>BUY_SIMULATED</t>
        </is>
      </c>
      <c r="C9" t="inlineStr">
        <is>
          <t>HON</t>
        </is>
      </c>
      <c r="D9" t="n">
        <v>214.42</v>
      </c>
      <c r="F9" t="n">
        <v>27</v>
      </c>
      <c r="G9" t="n">
        <v>1</v>
      </c>
      <c r="H9" t="n">
        <v>5789.339999999999</v>
      </c>
      <c r="I9" t="n">
        <v>0</v>
      </c>
      <c r="J9" t="n">
        <v>5789.34</v>
      </c>
      <c r="K9" t="n">
        <v>0</v>
      </c>
      <c r="L9" t="n">
        <v>210.55</v>
      </c>
      <c r="M9" t="n">
        <v>219.83</v>
      </c>
      <c r="N9" t="n">
        <v>239.94</v>
      </c>
      <c r="O9" t="n">
        <v>104.49</v>
      </c>
      <c r="P9" t="inlineStr">
        <is>
          <t>BUY_SIMULATED: NEUTRAL market regime, NEUTRAL sector, valid setup, net R/R 2.54, no earnings blackout, correlation acceptable, and risk limits allow entry. Position size reduced to 27 shares to fit exposure caps.</t>
        </is>
      </c>
      <c r="Q9" t="inlineStr">
        <is>
          <t>agent_results/screenshots/market_lens_agent_20260609_173202.png</t>
        </is>
      </c>
      <c r="R9" t="inlineStr">
        <is>
          <t>agent_results/charts/market_lens_agent_20260609_173202_hon.png</t>
        </is>
      </c>
      <c r="S9" t="inlineStr">
        <is>
          <t>Smart Universe: broad liquid US universe, diversified by sector | Sector: Industrials - Neutral (68/100); XLI sector regime is neutral: 3.0% 3m return, -5.6% vs SPY | Setup: Breakout + Retest; score 0.47; R/R 3.22x; price 214.42 | Market: NEUTRAL; Sector regime: NEUTRAL; Net R/R: 2.54; Factors: Industrials | Agent action: BUY_SIMULATED - BUY_SIMULATED: NEUTRAL market regime, NEUTRAL sector, valid setup, net R/R 2.54, no earnings blackout, correlation acceptable, and risk limits allow entry. Position size reduced to 27 shares to fit exposure caps.</t>
        </is>
      </c>
      <c r="T9" t="inlineStr">
        <is>
          <t>{"adjusted_cash_out": 5789.34, "adjusted_position_size": 27, "adjusted_risk_amount": 104.49, "ask": 0.0, "bid": 0.0, "buy_zone_high": 219.83, "buy_zone_low": 213.65, "cash_available": 99725.38, "company_name": "Honeywell International Inc.", "correlation_warning": false, "days_to_earnings": 32, "earnings_blackout": false, "earnings_date": "2026-07-23T00:00:00", "estimated_fees": 0.0, "estimated_slippage": 0.729, "estimated_spread": 0.0643, "executable_entry": 214.42, "execution_liquidity_bucket": "large_liquid", "factor_exposure_after": {"Industrials": 5789.34}, "factor_exposure_before": {}, "factor_exposure_cap": 7000.0, "factor_exposure_limit_exceeded": false, "factor_tags": ["Industrials"], "final_action": "BUY_SIMULATED", "gross_reward_1_per_share": 5.41, "gross_reward_2_per_share": 25.52, "gross_risk_per_share": 3.87, "gross_rr": 3.2167, "gross_rr_1": 1.3979, "gross_rr_2": 6.5943, "gross_rr_decision": 3.2167, "highest_correlation_ticker": "", "highest_correlation_value": null, "initial_action": "BUY_SIMULATED", "market_cap": 136222744815.36, "market_cap_bucket": "Large Cap", "market_regime": "NEUTRAL", "market_regime_indicators": {"DXY": {"ema20": 99.2855, "ema200": 98.8355, "ema50": 98.9898, "price": 99.904, "return_1m": 2.01, "return_3m": 0.68, "trend": "bullish"}, "IWM": {"ema20": 284.5893, "ema200": 267.3411, "ema50": 277.3618, "price": 282.92, "return_1m": -0.84, "return_3m": 12.09, "trend": "mixed"}, "QQQ": {"ema20": 715.8786, "ema200": 651.574, "ema50": 685.0379, "price": 701.135, "return_1m": -1.7, "return_3m": 15.52, "trend": "mixed"}, "SPY": {"ema20": 742.2106, "ema200": 703.1565, "ema50": 724.0547, "price": 732.295, "return_1m": -0.95, "return_3m": 8.57, "trend": "mixed"}, "US10Y": {"ema20": 4.4928, "ema200": 4.3207, "ema50": 4.4215, "price": 4.532, "return_1m": 2.77, "return_3m": 7.7, "trend": "bullish"}, "VIX": {"ema20": 17.7143, "ema200": 18.8558, "ema50": 18.5095, "price": 20.97, "return_1m": 16.56, "return_3m": -23.16, "trend": "mixed"}}, "market_regime_reason": "Market regime is mixed; use lower exposure and higher net R/R.", "market_regime_score": 0.52, "market_structure_status": "SUPPORTED_BY_20D_RESISTANCE", "minimum_net_rr_required": 2.5, "net_entry": 214.8167, "net_reward_1_per_share": 4.7989, "net_reward_2_per_share": 24.9089, "net_risk_per_share": 4.6634, "net_rr": 2.5384, "net_rr_1": 1.0291, "net_rr_2": 5.3414, "net_stop_assumption": 210.1533, "net_target_1_assumption": 219.6156, "net_target_2_assumption": 239.7256, "normalized_atr_score": 100.0, "normalized_liquidity_score": 67.59, "normalized_momentum_score": 16.74, "normalized_quality_score": 52.81, "original_cash_out": 9863.32, "original_position_size": 46, "original_risk_amount": 178.02, "portfolio_exposure_after": 5789.34, "portfolio_exposure_before": 0, "position_size": 27, "position_size_adjusted": true, "position_sizing_explanation": "Position size reduced from 46 to 27 shares. Accepted cash out 5789.34, risk 104.49. Reason: Position size reduced by Industrials sector exposure cap (46 -&gt; 27 shares).", "previous_resistance": 239.94, "price": 214.42, "prior_high_20": 239.94, "prior_high_63": 243.9195, "reason": "BUY_SIMULATED: NEUTRAL market regime, NEUTRAL sector, valid setup, net R/R 2.54, no earnings blackout, correlation acceptable, and risk limits allow entry. Position size reduced to 27 shares to fit exposure caps.", "risk_amount": 104.49, "scan_source": "Smart Universe: broad liquid US universe filtered and diversified by the Market Lens UI.", "sector": "Industrials", "sector_etf": "XLI", "sector_exposure_after": 5789.34, "sector_exposure_before": 0.0, "sector_exposure_cap": 6000.0, "sector_exposure_limit_exceeded": false, "sector_regime": "NEUTRAL", "sector_score": 67.73, "setup_score": 0.47, "setup_type": "Breakout + Retest", "sizing_adjustment_reason": "Position size reduced by Industrials sector exposure cap (46 -&gt; 27 shares).", "spread_source": "liquidity_fallback", "stock_score": 0.47, "stop_loss": 210.55, "target_1": 219.83, "target_1_atr_distance": 0.8746, "target_2": 239.94, "target_2_atr_distance": 4.1256, "target_feasibility_status": "OK", "theoretical_entry": 213.65, "ticker": "HON", "timestamp": "2026-06-09T17:37:36", "warnings": ["Position size reduced by Industrials sector exposure cap (46 -&gt; 27 shares)."]}</t>
        </is>
      </c>
    </row>
    <row r="10">
      <c r="A10" t="inlineStr">
        <is>
          <t>2026-06-10T13:41:04+00:00</t>
        </is>
      </c>
      <c r="B10" t="inlineStr">
        <is>
          <t>EXIT_STOP</t>
        </is>
      </c>
      <c r="C10" t="inlineStr">
        <is>
          <t>HON</t>
        </is>
      </c>
      <c r="E10" t="n">
        <v>210.55</v>
      </c>
      <c r="F10" t="n">
        <v>27</v>
      </c>
      <c r="G10" t="n">
        <v>1</v>
      </c>
      <c r="H10" t="n">
        <v>0</v>
      </c>
      <c r="I10" t="n">
        <v>5684.85</v>
      </c>
      <c r="J10" t="n">
        <v>0</v>
      </c>
      <c r="K10" t="n">
        <v>5684.85</v>
      </c>
      <c r="L10" t="n">
        <v>210.55</v>
      </c>
      <c r="M10" t="n">
        <v>219.83</v>
      </c>
      <c r="N10" t="n">
        <v>239.94</v>
      </c>
      <c r="O10" t="n">
        <v>0</v>
      </c>
      <c r="P10" t="inlineStr">
        <is>
          <t>Stop loss touched by intraday low.</t>
        </is>
      </c>
      <c r="Q10" t="inlineStr">
        <is>
          <t>agent_results/screenshots/market_lens_agent_20260609_173202.png</t>
        </is>
      </c>
      <c r="R10" t="inlineStr">
        <is>
          <t>agent_results/charts/market_lens_agent_20260610_133231_hon.png</t>
        </is>
      </c>
      <c r="S10" t="inlineStr">
        <is>
          <t>Smart Universe: broad liquid US universe, diversified by sector | Sector: Industrials - Strong (69/100); XLI sector regime is strong: 5.5% 3m return, -5.1% vs SPY | Setup: Fib 61.8 Confluence Buy Zone; score 0.52; R/R 1.27x; price 211.12 | Market: NEUTRAL; Sector regime: STRONG; Net R/R: 1.20; Factors: Industrials | Agent action: HOLD - HOLD: Existing simulated position remains open. NEUTRAL regime recorded.</t>
        </is>
      </c>
      <c r="T10" t="inlineStr">
        <is>
          <t>{"adjusted_cash_out": 0.0, "adjusted_position_size": 0, "adjusted_risk_amount": 0.0, "ask": 0.0, "bid": 0.0, "buy_zone_high": 212.64, "buy_zone_low": 209.58, "cash_available": 93936.04, "company_name": "Honeywell International Inc.", "correlation_warning": false, "days_to_earnings": null, "earnings_blackout": false, "earnings_date": "", "estimated_fees": 0.0, "estimated_slippage": 0.2956, "estimated_spread": 0.0633, "executable_entry": 211.12, "execution_liquidity_bucket": "large_liquid", "factor_exposure_after": {}, "factor_exposure_before": {}, "factor_exposure_cap": 7000.0, "factor_exposure_limit_exceeded": false, "factor_tags": ["Industrials"], "final_action": "HOLD", "gross_reward_1_per_share": 1.06, "gross_reward_2_per_share": 31.96, "gross_risk_per_share": 9.32, "gross_rr": 1.2741, "gross_rr_1": 0.1137, "gross_rr_2": 3.4292, "gross_rr_decision": 1.2741, "highest_correlation_ticker": "", "highest_correlation_value": null, "initial_action": "HOLD", "market_cap": 134131948645.95, "market_cap_bucket": "Large Cap", "market_regime": "NEUTRAL", "market_regime_indicators": {"DXY": {"ema20": 99.3398, "ema200": 98.7935, "ema50": 99.0209, "price": 99.85, "return_1m": 1.59, "return_3m": 0.11, "trend": "bullish"}, "IWM": {"ema20": 285.0027, "ema200": 268.1469, "ema50": 277.843, "price": 287.03, "return_1m": 1.58, "return_3m": 16.22, "trend": "bullish"}, "QQQ": {"ema20": 715.3708, "ema200": 652.8641, "ema50": 686.0701, "price": 704.49, "return_1m": -0.39, "return_3m": 18.1, "trend": "mixed"}, "US10Y": {"ema20": 4.4956, "ema200": 4.3209, "ema50": 4.4253, "price": 4.526, "return_1m": 1.41, "return_3m": 5.92, "trend": "bullish"}, "VIX": {"ema20": 17.9305, "ema200": 18.7152, "ema50": 18.5575, "price": 20.98, "return_1m": 17.4, "return_3m": -22.84, "trend": "mixed"}}, "market_regime_reason": "Market regime is mixed; use lower exposure and higher net R/R.", "market_regime_score": 0.52, "market_structure_status": "SUPPORTED_BY_20D_RESISTANCE", "minimum_net_rr_required": 2.2, "net_entry": 211.2995, "net_reward_1_per_share": 0.775, "net_reward_2_per_share": 31.675, "net_risk_per_share": 9.6789, "net_rr": 1.1974, "net_rr_1": 0.0801, "net_rr_2": 3.2726, "net_stop_assumption": 201.6205, "net_target_1_assumption": 212.0744, "net_target_2_assumption": 242.9744, "normalized_atr_score": 100.0, "normalized_liquidity_score": 67.44, "normalized_momentum_score": 17.65, "normalized_quality_score": 53.17, "original_cash_out": 0.0, "original_position_size": 0, "original_risk_amount": 0.0, "portfolio_exposure_after": 5823.09, "portfolio_exposure_before": 5823.09, "position_size": 0, "position_size_adjusted": false, "position_sizing_explanation": "No new position size was calculated because the base decision did not open a simulated buy.", "previous_resistance": 239.94, "price": 211.12, "prior_high_20": 239.94, "prior_high_63": 240.6276, "reason": "HOLD: Existing simulated position remains open. NEUTRAL regime recorded.", "risk_amount": 0.0, "scan_source": "Smart Universe: broad liquid US universe filtered and diversified by the Market Lens UI.", "sector": "Industrials", "sector_etf": "XLI", "sector_exposure_after": 0.0, "sector_exposure_before": 0.0, "sector_exposure_cap": 6000.0, "sector_exposure_limit_exceeded": false, "sector_regime": "STRONG", "sector_score": 68.75, "setup_score": 0.52, "setup_type": "Fib 61.8 Confluence Buy Zone", "sizing_adjustment_reason": "", "spread_source": "liquidity_fallback", "stock_score": 0.52, "stop_loss": 201.8, "target_1": 212.18, "target_1_atr_distance": 0.1731, "target_2": 243.08, "target_2_atr_distance": 5.2194, "target_feasibility_status": "LOW_REWARD_DISTANCE", "theoretical_entry": 209.58, "ticker": "HON", "timestamp": "2026-06-10T13:39:21", "warnings": ["SPY data unavailable: Too Many Requests. Rate limited. Try after a while.", "Earnings data unavailable.", "Target 1 is close versus daily ATR."]}</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R1"/>
  <sheetViews>
    <sheetView workbookViewId="0">
      <selection activeCell="A1" sqref="A1"/>
    </sheetView>
  </sheetViews>
  <sheetFormatPr baseColWidth="8" defaultRowHeight="15"/>
  <cols>
    <col width="16" customWidth="1" style="52" min="1" max="1"/>
    <col width="16" customWidth="1" style="52" min="2" max="2"/>
    <col width="16" customWidth="1" style="52" min="3" max="3"/>
    <col width="16" customWidth="1" style="52" min="4" max="4"/>
    <col width="16" customWidth="1" style="52" min="5" max="5"/>
    <col width="16" customWidth="1" style="52" min="6" max="6"/>
    <col width="16" customWidth="1" style="52" min="7" max="7"/>
    <col width="16" customWidth="1" style="52" min="8" max="8"/>
    <col width="16" customWidth="1" style="52" min="9" max="9"/>
    <col width="16" customWidth="1" style="52" min="10" max="10"/>
    <col width="16" customWidth="1" style="52" min="11" max="11"/>
    <col width="16" customWidth="1" style="52" min="12" max="12"/>
    <col width="16" customWidth="1" style="52" min="13" max="13"/>
    <col width="40" customWidth="1" style="52" min="14" max="14"/>
    <col width="16" customWidth="1" style="52" min="15" max="15"/>
  </cols>
  <sheetData>
    <row r="1">
      <c r="A1" s="42" t="inlineStr">
        <is>
          <t>Ticker</t>
        </is>
      </c>
      <c r="B1" s="42" t="inlineStr">
        <is>
          <t>Entry Date</t>
        </is>
      </c>
      <c r="C1" s="42" t="inlineStr">
        <is>
          <t>Entry Price USD</t>
        </is>
      </c>
      <c r="D1" s="42" t="inlineStr">
        <is>
          <t>Current Price USD</t>
        </is>
      </c>
      <c r="E1" s="42" t="inlineStr">
        <is>
          <t>Quantity</t>
        </is>
      </c>
      <c r="F1" s="42" t="inlineStr">
        <is>
          <t>Stop Loss USD</t>
        </is>
      </c>
      <c r="G1" s="42" t="inlineStr">
        <is>
          <t>Target 1 USD</t>
        </is>
      </c>
      <c r="H1" s="42" t="inlineStr">
        <is>
          <t>Target 2 USD</t>
        </is>
      </c>
      <c r="I1" s="42" t="inlineStr">
        <is>
          <t>Status</t>
        </is>
      </c>
      <c r="J1" s="42" t="inlineStr">
        <is>
          <t>Unrealized P/L USD</t>
        </is>
      </c>
      <c r="K1" s="42" t="inlineStr">
        <is>
          <t>Unrealized P/L</t>
        </is>
      </c>
      <c r="L1" s="42" t="inlineStr">
        <is>
          <t>Exposure</t>
        </is>
      </c>
      <c r="M1" s="42" t="inlineStr">
        <is>
          <t>Risk</t>
        </is>
      </c>
      <c r="N1" s="42" t="inlineStr">
        <is>
          <t>Notes</t>
        </is>
      </c>
      <c r="O1" s="42" t="inlineStr">
        <is>
          <t>Screenshot</t>
        </is>
      </c>
      <c r="P1" t="inlineStr">
        <is>
          <t>Chart URL</t>
        </is>
      </c>
      <c r="Q1" t="inlineStr">
        <is>
          <t>Selection Context</t>
        </is>
      </c>
      <c r="R1" t="inlineStr">
        <is>
          <t>Decision JSON</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123"/>
  <sheetViews>
    <sheetView workbookViewId="0">
      <selection activeCell="A1" sqref="A1"/>
    </sheetView>
  </sheetViews>
  <sheetFormatPr baseColWidth="8" defaultRowHeight="15"/>
  <cols>
    <col width="18" customWidth="1" style="52" min="1" max="1"/>
    <col width="18" customWidth="1" style="52" min="2" max="2"/>
    <col width="18" customWidth="1" style="52" min="3" max="3"/>
    <col width="18" customWidth="1" style="52" min="4" max="4"/>
    <col width="45" customWidth="1" style="52" min="5" max="5"/>
    <col width="18" customWidth="1" style="52" min="6" max="6"/>
    <col width="18" customWidth="1" style="52" min="7" max="7"/>
    <col width="18" customWidth="1" style="52" min="8" max="8"/>
    <col width="18" customWidth="1" style="52" min="9" max="9"/>
    <col width="18" customWidth="1" style="52" min="10" max="10"/>
    <col width="18" customWidth="1" style="52" min="11" max="11"/>
  </cols>
  <sheetData>
    <row r="1">
      <c r="A1" s="48" t="inlineStr">
        <is>
          <t>Run Timestamp</t>
        </is>
      </c>
      <c r="B1" s="48" t="inlineStr">
        <is>
          <t>Run ID</t>
        </is>
      </c>
      <c r="C1" s="48" t="inlineStr">
        <is>
          <t>Scanned Tickers</t>
        </is>
      </c>
      <c r="D1" s="48" t="inlineStr">
        <is>
          <t>Valid Setups</t>
        </is>
      </c>
      <c r="E1" s="48" t="inlineStr">
        <is>
          <t>Actions Summary</t>
        </is>
      </c>
      <c r="F1" s="48" t="inlineStr">
        <is>
          <t>Cash</t>
        </is>
      </c>
      <c r="G1" s="48" t="inlineStr">
        <is>
          <t>Exposure</t>
        </is>
      </c>
      <c r="H1" s="48" t="inlineStr">
        <is>
          <t>Open Risk</t>
        </is>
      </c>
      <c r="I1" s="48" t="inlineStr">
        <is>
          <t>Open Positions</t>
        </is>
      </c>
      <c r="J1" s="48" t="inlineStr">
        <is>
          <t>Summary</t>
        </is>
      </c>
      <c r="K1" s="48" t="inlineStr">
        <is>
          <t>Screenshot</t>
        </is>
      </c>
      <c r="L1" t="inlineStr">
        <is>
          <t>Decision JSONL</t>
        </is>
      </c>
    </row>
    <row r="2">
      <c r="A2" t="inlineStr">
        <is>
          <t>2026-06-08T00:27:00</t>
        </is>
      </c>
      <c r="B2" t="inlineStr">
        <is>
          <t>20260608_002548</t>
        </is>
      </c>
      <c r="C2" t="inlineStr">
        <is>
          <t>V AMAT PANW KLAC ORCL CRWD MU UNH MS SMCI CAT GS URI ASML LRCX TXN AMD C AAPL LLY TSM BAC UPS PSX UNP ANET MRK UDR JPM GE ABBV SLB NVDA AVGO NOW</t>
        </is>
      </c>
      <c r="D2" t="n">
        <v>1</v>
      </c>
      <c r="E2"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2" t="n">
        <v>100000</v>
      </c>
      <c r="G2" t="n">
        <v>0</v>
      </c>
      <c r="H2" t="n">
        <v>0</v>
      </c>
      <c r="I2" t="n">
        <v>0</v>
      </c>
      <c r="J2" t="inlineStr">
        <is>
          <t>C:\Users\User\Documents\Codex\2026-05-29\adva-mo-project-orion-https-github\work\market-lens-scanner\agent_results\summaries\market_lens_agent_20260608_002548.md</t>
        </is>
      </c>
      <c r="K2" t="inlineStr">
        <is>
          <t>C:\Users\User\Documents\Codex\2026-05-29\adva-mo-project-orion-https-github\work\market-lens-scanner\agent_results\screenshots\market_lens_agent_20260608_002548.png</t>
        </is>
      </c>
      <c r="L2" t="inlineStr">
        <is>
          <t>C:\Users\User\Documents\Codex\2026-05-29\adva-mo-project-orion-https-github\work\market-lens-scanner\agent_results\decisions\market_lens_agent_20260608_002548.jsonl</t>
        </is>
      </c>
    </row>
    <row r="3">
      <c r="A3" t="inlineStr">
        <is>
          <t>2026-06-08T01:09:18</t>
        </is>
      </c>
      <c r="B3" t="inlineStr">
        <is>
          <t>20260608_010748</t>
        </is>
      </c>
      <c r="C3" t="inlineStr">
        <is>
          <t>V AMAT PANW KLAC ORCL CRWD MU UNH MS SMCI CAT GS URI ASML LRCX TXN AMD C AAPL LLY TSM BAC UPS PSX UNP ANET MRK UDR JPM GE ABBV SLB NVDA AVGO NOW</t>
        </is>
      </c>
      <c r="D3" t="n">
        <v>1</v>
      </c>
      <c r="E3" t="inlineStr">
        <is>
          <t>V:WATCH, AMAT:SKIP, PANW:SKIP, KLAC:SKIP, ORCL:SKIP, CRWD:SKIP, MU:SKIP, UNH:SKIP, MS:SKIP, SMCI:SKIP, CAT:SKIP, GS:SKIP, URI:SKIP, ASML:SKIP, LRCX:SKIP, TXN:SKIP, AMD:SKIP, C:SKIP, AAPL:SKIP, LLY:SKIP, TSM:SKIP, BAC:SKIP, UPS:SKIP, PSX:SKIP, UNP:SKIP, ANET:SKIP, MRK:SKIP, UDR:SKIP, JPM:SKIP, GE:SKIP, ABBV:SKIP, SLB:SKIP, NVDA:SKIP, AVGO:SKIP, NOW:SKIP</t>
        </is>
      </c>
      <c r="F3" t="n">
        <v>100000</v>
      </c>
      <c r="G3" t="n">
        <v>0</v>
      </c>
      <c r="H3" t="n">
        <v>0</v>
      </c>
      <c r="I3" t="n">
        <v>0</v>
      </c>
      <c r="J3" t="inlineStr">
        <is>
          <t>C:\Users\User\Documents\Codex\2026-05-29\adva-mo-project-orion-https-github\work\market-lens-scanner\agent_results\summaries\market_lens_agent_20260608_010748.md</t>
        </is>
      </c>
      <c r="K3" t="inlineStr">
        <is>
          <t>C:\Users\User\Documents\Codex\2026-05-29\adva-mo-project-orion-https-github\work\market-lens-scanner\agent_results\screenshots\market_lens_agent_20260608_010748.png</t>
        </is>
      </c>
      <c r="L3" t="inlineStr">
        <is>
          <t>C:\Users\User\Documents\Codex\2026-05-29\adva-mo-project-orion-https-github\work\market-lens-scanner\agent_results\decisions\market_lens_agent_20260608_010748.jsonl</t>
        </is>
      </c>
    </row>
    <row r="4">
      <c r="A4" t="inlineStr">
        <is>
          <t>2026-06-08T01:37:33</t>
        </is>
      </c>
      <c r="B4" t="inlineStr">
        <is>
          <t>20260608_013140</t>
        </is>
      </c>
      <c r="C4" t="inlineStr">
        <is>
          <t>OKE XOM V CVX ELAN MSFT AIG BKR COP AXP DHR PFE DLR HST MPC VLO AMH LAMR IRM ETN SBAC CB BRK-B IT JNJ GD DE WFC AMGN CRM BLK MDT MA EMR BA</t>
        </is>
      </c>
      <c r="D4" t="n">
        <v>13</v>
      </c>
      <c r="E4" t="inlineStr">
        <is>
          <t>OKE:WATCH, XOM:WATCH, V:WATCH, CVX:WATCH, ELAN:WATCH, MSFT:WATCH, AIG:WATCH, BKR:WATCH, COP:WATCH, AXP:WATCH, DHR:WATCH, PFE:WATCH, DLR:WATCH, HST:SKIP, MPC:SKIP, VLO:SKIP, AMH:SKIP, LAMR:SKIP, IRM:SKIP, ETN:SKIP, SBAC:SKIP, CB:SKIP, BRK-B:SKIP, IT:SKIP, JNJ:SKIP, GD:SKIP, DE:SKIP, WFC:SKIP, AMGN:SKIP, CRM:SKIP, BLK:SKIP, MDT:SKIP, MA:SKIP, EMR:SKIP, BA:SKIP</t>
        </is>
      </c>
      <c r="F4" t="n">
        <v>100000</v>
      </c>
      <c r="G4" t="n">
        <v>0</v>
      </c>
      <c r="H4" t="n">
        <v>0</v>
      </c>
      <c r="I4" t="n">
        <v>0</v>
      </c>
      <c r="J4" t="inlineStr">
        <is>
          <t>agent_results\summaries\market_lens_agent_20260608_013140.md</t>
        </is>
      </c>
      <c r="K4" t="inlineStr">
        <is>
          <t>agent_results\screenshots\market_lens_agent_20260608_013140.png</t>
        </is>
      </c>
      <c r="L4" t="inlineStr">
        <is>
          <t>agent_results\decisions\market_lens_agent_20260608_013140.jsonl</t>
        </is>
      </c>
    </row>
    <row r="5">
      <c r="A5" t="inlineStr">
        <is>
          <t>2026-06-08T09:24:54</t>
        </is>
      </c>
      <c r="B5" t="inlineStr">
        <is>
          <t>20260608_091643</t>
        </is>
      </c>
      <c r="C5" t="inlineStr">
        <is>
          <t>OKE XOM V CVX ELAN MSFT AIG BKR COP AXP DHR PFE DLR AMAT PANW KLAC ORCL UNH CRWD MU MS CAT GS URI SMCI ASML LRCX TXN AMD C AAPL LLY BAC TSM UPS PSX UNP MRK UDR JPM GE ANET ABBV SLB SWK NVDA AVGO NOW</t>
        </is>
      </c>
      <c r="D5" t="n">
        <v>13</v>
      </c>
      <c r="E5" t="inlineStr">
        <is>
          <t>OKE:WATCH, XOM:BUY_SIMULATED, V:WATCH, CVX:WATCH, ELAN:WATCH, MSFT:WATCH, AIG:WATCH, BKR:WATCH, COP:WATCH_READY, AXP:WATCH, DHR:WATCH, PFE:WATCH, DLR:WATCH, AMAT:SKIP, PANW:SKIP, KLAC:SKIP, ORCL:SKIP, UNH:SKIP, CRWD:SKIP, MU:SKIP, MS:SKIP, CAT:SKIP, GS:SKIP, URI:SKIP, SMCI:SKIP, ASML:SKIP, LRCX:SKIP, TXN:SKIP, AMD:SKIP, C:SKIP, AAPL:SKIP, LLY:SKIP, BAC:SKIP, TSM:SKIP, UPS:SKIP, PSX:SKIP, UNP:SKIP, MRK:SKIP, UDR:SKIP, JPM:SKIP, GE:SKIP, ANET:SKIP, ABBV:SKIP, SLB:SKIP, SWK:SKIP, NVDA:SKIP, AVGO:SKIP, NOW:SKIP</t>
        </is>
      </c>
      <c r="F5" t="n">
        <v>94003.2</v>
      </c>
      <c r="G5" t="n">
        <v>5996.8</v>
      </c>
      <c r="H5" t="n">
        <v>117.2</v>
      </c>
      <c r="I5" t="n">
        <v>1</v>
      </c>
      <c r="J5" t="inlineStr">
        <is>
          <t>agent_results\summaries\market_lens_agent_20260608_091643.md</t>
        </is>
      </c>
      <c r="K5" t="inlineStr">
        <is>
          <t>agent_results\screenshots\market_lens_agent_20260608_091643.png</t>
        </is>
      </c>
      <c r="L5" t="inlineStr">
        <is>
          <t>agent_results\decisions\market_lens_agent_20260608_091643.jsonl</t>
        </is>
      </c>
    </row>
    <row r="6">
      <c r="A6" t="inlineStr">
        <is>
          <t>2026-06-08T09:33:45</t>
        </is>
      </c>
      <c r="B6" t="inlineStr">
        <is>
          <t>20260608_092643</t>
        </is>
      </c>
      <c r="C6" t="inlineStr">
        <is>
          <t>HIG OKE XOM V CVX ELAN MSFT AIG NOC PH BKR TMO COP WMB OHI INSM RTX LNG SCHW AXP DHR HON LMT PFE MTD ISRG BSX SYK ABT ICE DLR HAL OXY RSG KMI NLY GILD ADBE</t>
        </is>
      </c>
      <c r="D6" t="n">
        <v>31</v>
      </c>
      <c r="E6" t="inlineStr">
        <is>
          <t>HIG:BUY_SIMULATED, OKE:WATCH, XOM:HOLD, V:WATCH, CVX:WATCH, ELAN:WATCH, MSFT:WATCH, AIG:WATCH, NOC:WATCH, PH:WATCH, BKR:WATCH, TMO:WATCH, COP:WATCH, WMB:WATCH, OHI:WATCH, INSM:WATCH, RTX:WATCH, LNG:WATCH, SCHW:WATCH, AXP:WATCH, DHR:WATCH, HON:WATCH, LMT:WATCH, PFE:WATCH, MTD:WATCH, ISRG:WATCH, BSX:WATCH, SYK:WATCH, ABT:WATCH, ICE:WATCH, DLR:WATCH, HAL:SKIP, OXY:SKIP, RSG:SKIP, KMI:SKIP, NLY:SKIP, GILD:SKIP, ADBE:SKIP</t>
        </is>
      </c>
      <c r="F6" t="n">
        <v>88056.89999999999</v>
      </c>
      <c r="G6" t="n">
        <v>11943.1</v>
      </c>
      <c r="H6" t="n">
        <v>146.9</v>
      </c>
      <c r="I6" t="n">
        <v>2</v>
      </c>
      <c r="J6" t="inlineStr">
        <is>
          <t>agent_results\summaries\market_lens_agent_20260608_092643.md</t>
        </is>
      </c>
      <c r="K6" t="inlineStr">
        <is>
          <t>agent_results\screenshots\market_lens_agent_20260608_092643.png</t>
        </is>
      </c>
      <c r="L6" t="inlineStr">
        <is>
          <t>agent_results\decisions\market_lens_agent_20260608_092643.jsonl</t>
        </is>
      </c>
    </row>
    <row r="7">
      <c r="A7" t="inlineStr">
        <is>
          <t>2026-06-08T06:45:35+00:00</t>
        </is>
      </c>
      <c r="B7" t="inlineStr">
        <is>
          <t>monitor_20260608_064535</t>
        </is>
      </c>
      <c r="C7" t="inlineStr">
        <is>
          <t>XOM HIG</t>
        </is>
      </c>
      <c r="D7" t="n">
        <v>0</v>
      </c>
      <c r="E7" t="inlineStr">
        <is>
          <t>MONITOR:HOLD</t>
        </is>
      </c>
      <c r="F7" t="n">
        <v>88056.89999999999</v>
      </c>
      <c r="G7" t="n">
        <v>11946.2</v>
      </c>
      <c r="H7" t="n">
        <v>150</v>
      </c>
      <c r="I7" t="n">
        <v>2</v>
      </c>
      <c r="J7" t="inlineStr">
        <is>
          <t>agent_results\position_monitor\position_monitor_20260608_064535.md</t>
        </is>
      </c>
    </row>
    <row r="8">
      <c r="A8" t="inlineStr">
        <is>
          <t>2026-06-08T14:04:49+00:00</t>
        </is>
      </c>
      <c r="B8" t="inlineStr">
        <is>
          <t>monitor_20260608_140449</t>
        </is>
      </c>
      <c r="C8" t="inlineStr">
        <is>
          <t>XOM</t>
        </is>
      </c>
      <c r="D8" t="n">
        <v>0</v>
      </c>
      <c r="E8" t="inlineStr">
        <is>
          <t>XOM:TAKE_PARTIAL_PROFIT, HIG:EXIT_STOP</t>
        </is>
      </c>
      <c r="F8" t="n">
        <v>96983.3</v>
      </c>
      <c r="G8" t="n">
        <v>3009.8</v>
      </c>
      <c r="H8" t="n">
        <v>11.4</v>
      </c>
      <c r="I8" t="n">
        <v>1</v>
      </c>
      <c r="J8" t="inlineStr">
        <is>
          <t>agent_results/position_monitor/position_monitor_20260608_140449.md</t>
        </is>
      </c>
    </row>
    <row r="9">
      <c r="A9" t="inlineStr">
        <is>
          <t>2026-06-08T14:15:34</t>
        </is>
      </c>
      <c r="B9" t="inlineStr">
        <is>
          <t>20260608_140702</t>
        </is>
      </c>
      <c r="C9" t="inlineStr">
        <is>
          <t>CB NOC CBRE PH WY CRM APA QCOM TMO V LNG DLR OSCR MPC HST VLO RPRX ROK TROW EOG DOC EQR CPT AVB WAB ETN EXR EMR GD WFC DE BRK-B JNJ AMGN BTU CTAS BLK UPST BA MA XOM OKE CVX ELAN MSFT AIG BKR COP AXP DHR PFE WMB OHI INSM RTX SCHW HON LMT MTD ISRG BSX SYK ABT ICE</t>
        </is>
      </c>
      <c r="D9" t="n">
        <v>12</v>
      </c>
      <c r="E9" t="inlineStr">
        <is>
          <t>CB:WATCH, NOC:WATCH, CBRE:WATCH, PH:WATCH, WY:WATCH, CRM:WATCH, APA:WATCH, QCOM:WATCH, TMO:WATCH, V:WATCH, LNG:WATCH, DLR:WATCH, OSCR:SKIP, MPC:SKIP, HST:SKIP, VLO:SKIP, RPRX:SKIP, ROK:SKIP, TROW:SKIP, EOG:SKIP, DOC:SKIP, EQR:SKIP, CPT:SKIP, AVB:SKIP, WAB:SKIP, ETN:SKIP, EXR:SKIP, EMR:SKIP, GD:SKIP, WFC:SKIP, DE:SKIP, BRK-B:SKIP, JNJ:SKIP, AMGN:SKIP, BTU:SKIP, CTAS:SKIP, BLK:SKIP, UPST:SKIP, BA:SKIP, MA:SKIP, XOM:HOLD, OKE:SKIP, CVX:SKIP, ELAN:SKIP, MSFT:SKIP, AIG:SKIP, BKR:SKIP, COP:SKIP, AXP:SKIP, DHR:SKIP, PFE:SKIP, WMB:SKIP, OHI:SKIP, INSM:SKIP, RTX:SKIP, SCHW:SKIP, HON:SKIP, LMT:SKIP, MTD:SKIP, ISRG:SKIP, BSX:SKIP, SYK:SKIP, ABT:SKIP, ICE:SKIP</t>
        </is>
      </c>
      <c r="F9" t="n">
        <v>96983.3</v>
      </c>
      <c r="G9" t="n">
        <v>3068.6</v>
      </c>
      <c r="H9" t="n">
        <v>70.2</v>
      </c>
      <c r="I9" t="n">
        <v>1</v>
      </c>
      <c r="J9" t="inlineStr">
        <is>
          <t>agent_results/summaries/market_lens_agent_20260608_140702.md</t>
        </is>
      </c>
      <c r="K9" t="inlineStr">
        <is>
          <t>agent_results/screenshots/market_lens_agent_20260608_140702.png</t>
        </is>
      </c>
      <c r="L9" t="inlineStr">
        <is>
          <t>agent_results/decisions/market_lens_agent_20260608_140702.jsonl</t>
        </is>
      </c>
    </row>
    <row r="10">
      <c r="A10" t="inlineStr">
        <is>
          <t>2026-06-08T15:11:24</t>
        </is>
      </c>
      <c r="B10" t="inlineStr">
        <is>
          <t>20260608_150453</t>
        </is>
      </c>
      <c r="C10" t="inlineStr">
        <is>
          <t>CB INTC CRM QCOM APA PH TMO EQT LNG DLR CENX HIG MDT VTR CSGP XOM V NOC CBRE WY</t>
        </is>
      </c>
      <c r="D10" t="n">
        <v>10</v>
      </c>
      <c r="E10" t="inlineStr">
        <is>
          <t>CB:WATCH, INTC:WATCH, CRM:WATCH, QCOM:WATCH, APA:BUY_SIMULATED, PH:WATCH, TMO:WATCH, EQT:WATCH, LNG:WATCH, DLR:WATCH, CENX:SKIP, HIG:SKIP, MDT:SKIP, VTR:SKIP, CSGP:SKIP, XOM:HOLD, V:SKIP, NOC:SKIP, CBRE:SKIP, WY:SKIP</t>
        </is>
      </c>
      <c r="F10" t="n">
        <v>87010.85000000001</v>
      </c>
      <c r="G10" t="n">
        <v>13012.45</v>
      </c>
      <c r="H10" t="n">
        <v>297.92</v>
      </c>
      <c r="I10" t="n">
        <v>2</v>
      </c>
      <c r="J10" t="inlineStr">
        <is>
          <t>agent_results/summaries/market_lens_agent_20260608_150453.md</t>
        </is>
      </c>
      <c r="K10" t="inlineStr">
        <is>
          <t>agent_results/screenshots/market_lens_agent_20260608_150453.png</t>
        </is>
      </c>
      <c r="L10" t="inlineStr">
        <is>
          <t>agent_results/decisions/market_lens_agent_20260608_150453.jsonl</t>
        </is>
      </c>
    </row>
    <row r="11">
      <c r="A11" t="inlineStr">
        <is>
          <t>2026-06-08T15:38:56+00:00</t>
        </is>
      </c>
      <c r="B11" t="inlineStr">
        <is>
          <t>monitor_20260608_153856</t>
        </is>
      </c>
      <c r="C11" t="inlineStr">
        <is>
          <t>XOM APA</t>
        </is>
      </c>
      <c r="D11" t="n">
        <v>0</v>
      </c>
      <c r="E11" t="inlineStr">
        <is>
          <t>MONITOR:HOLD</t>
        </is>
      </c>
      <c r="F11" t="n">
        <v>87010.85000000001</v>
      </c>
      <c r="G11" t="n">
        <v>12983.23</v>
      </c>
      <c r="H11" t="n">
        <v>268.7</v>
      </c>
      <c r="I11" t="n">
        <v>2</v>
      </c>
      <c r="J11" t="inlineStr">
        <is>
          <t>agent_results/position_monitor/position_monitor_20260608_153856.md</t>
        </is>
      </c>
    </row>
    <row r="12">
      <c r="A12" t="inlineStr">
        <is>
          <t>2026-06-08T15:57:24+00:00</t>
        </is>
      </c>
      <c r="B12" t="inlineStr">
        <is>
          <t>monitor_20260608_155724</t>
        </is>
      </c>
      <c r="C12" t="inlineStr">
        <is>
          <t>XOM APA</t>
        </is>
      </c>
      <c r="D12" t="n">
        <v>0</v>
      </c>
      <c r="E12" t="inlineStr">
        <is>
          <t>MONITOR:HOLD</t>
        </is>
      </c>
      <c r="F12" t="n">
        <v>87010.85000000001</v>
      </c>
      <c r="G12" t="n">
        <v>13033.95</v>
      </c>
      <c r="H12" t="n">
        <v>319.42</v>
      </c>
      <c r="I12" t="n">
        <v>2</v>
      </c>
      <c r="J12" t="inlineStr">
        <is>
          <t>agent_results/position_monitor/position_monitor_20260608_155724.md</t>
        </is>
      </c>
    </row>
    <row r="13">
      <c r="A13" t="inlineStr">
        <is>
          <t>2026-06-08T16:10:57</t>
        </is>
      </c>
      <c r="B13" t="inlineStr">
        <is>
          <t>20260608_160733</t>
        </is>
      </c>
      <c r="C13" t="inlineStr">
        <is>
          <t>XOM CB APA CRM PH TMO INTC QCOM LNG DLR AMH EQT</t>
        </is>
      </c>
      <c r="D13" t="n">
        <v>10</v>
      </c>
      <c r="E13" t="inlineStr">
        <is>
          <t>XOM:HOLD, CB:WATCH, APA:HOLD, CRM:WATCH, PH:WATCH, TMO:WATCH, INTC:WATCH, QCOM:WATCH, LNG:WATCH, DLR:WATCH, AMH:SKIP, EQT:SKIP</t>
        </is>
      </c>
      <c r="F13" t="n">
        <v>87010.85000000001</v>
      </c>
      <c r="G13" t="n">
        <v>13019.8</v>
      </c>
      <c r="H13" t="n">
        <v>305.27</v>
      </c>
      <c r="I13" t="n">
        <v>2</v>
      </c>
      <c r="J13" t="inlineStr">
        <is>
          <t>agent_results/summaries/market_lens_agent_20260608_160733.md</t>
        </is>
      </c>
      <c r="K13" t="inlineStr">
        <is>
          <t>agent_results/screenshots/market_lens_agent_20260608_160733.png</t>
        </is>
      </c>
      <c r="L13" t="inlineStr">
        <is>
          <t>agent_results/decisions/market_lens_agent_20260608_160733.jsonl</t>
        </is>
      </c>
    </row>
    <row r="14">
      <c r="A14" t="inlineStr">
        <is>
          <t>2026-06-08T16:17:57+00:00</t>
        </is>
      </c>
      <c r="B14" t="inlineStr">
        <is>
          <t>monitor_20260608_161757</t>
        </is>
      </c>
      <c r="C14" t="inlineStr">
        <is>
          <t>XOM APA</t>
        </is>
      </c>
      <c r="D14" t="n">
        <v>0</v>
      </c>
      <c r="E14" t="inlineStr">
        <is>
          <t>MONITOR:HOLD</t>
        </is>
      </c>
      <c r="F14" t="n">
        <v>87010.85000000001</v>
      </c>
      <c r="G14" t="n">
        <v>13009.26</v>
      </c>
      <c r="H14" t="n">
        <v>294.73</v>
      </c>
      <c r="I14" t="n">
        <v>2</v>
      </c>
      <c r="J14" t="inlineStr">
        <is>
          <t>agent_results/position_monitor/position_monitor_20260608_161757.md</t>
        </is>
      </c>
    </row>
    <row r="15">
      <c r="A15" t="inlineStr">
        <is>
          <t>2026-06-08T16:23:35</t>
        </is>
      </c>
      <c r="B15" t="inlineStr">
        <is>
          <t>20260608_162118</t>
        </is>
      </c>
      <c r="C15" t="inlineStr">
        <is>
          <t>XOM CRM CB PH APA TMO INTC QCOM LNG DLR</t>
        </is>
      </c>
      <c r="D15" t="n">
        <v>10</v>
      </c>
      <c r="E15" t="inlineStr">
        <is>
          <t>XOM:HOLD, CRM:WATCH, CB:WATCH, PH:WATCH, APA:HOLD, TMO:WATCH, INTC:WATCH, QCOM:WATCH, LNG:WATCH, DLR:WATCH</t>
        </is>
      </c>
      <c r="F15" t="n">
        <v>87010.85000000001</v>
      </c>
      <c r="G15" t="n">
        <v>13008.06</v>
      </c>
      <c r="H15" t="n">
        <v>293.53</v>
      </c>
      <c r="I15" t="n">
        <v>2</v>
      </c>
      <c r="J15" t="inlineStr">
        <is>
          <t>agent_results/summaries/market_lens_agent_20260608_162118.md</t>
        </is>
      </c>
      <c r="K15" t="inlineStr">
        <is>
          <t>agent_results/screenshots/market_lens_agent_20260608_162118.png</t>
        </is>
      </c>
      <c r="L15" t="inlineStr">
        <is>
          <t>agent_results/decisions/market_lens_agent_20260608_162118.jsonl</t>
        </is>
      </c>
    </row>
    <row r="16">
      <c r="A16" t="inlineStr">
        <is>
          <t>2026-06-08T16:36:35</t>
        </is>
      </c>
      <c r="B16" t="inlineStr">
        <is>
          <t>20260608_163424</t>
        </is>
      </c>
      <c r="C16" t="inlineStr">
        <is>
          <t>XOM INTC APA CRM CB PH TMO QCOM LNG DLR</t>
        </is>
      </c>
      <c r="D16" t="n">
        <v>10</v>
      </c>
      <c r="E16" t="inlineStr">
        <is>
          <t>XOM:HOLD, INTC:WATCH, APA:HOLD, CRM:WATCH, CB:WATCH, PH:WATCH, TMO:WATCH, QCOM:WATCH, LNG:WATCH, DLR:WATCH</t>
        </is>
      </c>
      <c r="F16" t="n">
        <v>87010.85000000001</v>
      </c>
      <c r="G16" t="n">
        <v>13015.94</v>
      </c>
      <c r="H16" t="n">
        <v>301.41</v>
      </c>
      <c r="I16" t="n">
        <v>2</v>
      </c>
      <c r="J16" t="inlineStr">
        <is>
          <t>agent_results/summaries/market_lens_agent_20260608_163424.md</t>
        </is>
      </c>
      <c r="K16" t="inlineStr">
        <is>
          <t>agent_results/screenshots/market_lens_agent_20260608_163424.png</t>
        </is>
      </c>
      <c r="L16" t="inlineStr">
        <is>
          <t>agent_results/decisions/market_lens_agent_20260608_163424.jsonl</t>
        </is>
      </c>
    </row>
    <row r="17">
      <c r="A17" t="inlineStr">
        <is>
          <t>2026-06-08T16:39:17+00:00</t>
        </is>
      </c>
      <c r="B17" t="inlineStr">
        <is>
          <t>monitor_20260608_163917</t>
        </is>
      </c>
      <c r="C17" t="inlineStr">
        <is>
          <t>XOM APA</t>
        </is>
      </c>
      <c r="D17" t="n">
        <v>0</v>
      </c>
      <c r="E17" t="inlineStr">
        <is>
          <t>MONITOR:HOLD</t>
        </is>
      </c>
      <c r="F17" t="n">
        <v>87010.85000000001</v>
      </c>
      <c r="G17" t="n">
        <v>13011.07</v>
      </c>
      <c r="H17" t="n">
        <v>296.54</v>
      </c>
      <c r="I17" t="n">
        <v>2</v>
      </c>
      <c r="J17" t="inlineStr">
        <is>
          <t>agent_results/position_monitor/position_monitor_20260608_163917.md</t>
        </is>
      </c>
    </row>
    <row r="18">
      <c r="A18" t="inlineStr">
        <is>
          <t>2026-06-08T16:42:48+00:00</t>
        </is>
      </c>
      <c r="B18" t="inlineStr">
        <is>
          <t>monitor_20260608_164248</t>
        </is>
      </c>
      <c r="C18" t="inlineStr">
        <is>
          <t>XOM APA</t>
        </is>
      </c>
      <c r="D18" t="n">
        <v>0</v>
      </c>
      <c r="E18" t="inlineStr">
        <is>
          <t>MONITOR:HOLD</t>
        </is>
      </c>
      <c r="F18" t="n">
        <v>87010.85000000001</v>
      </c>
      <c r="G18" t="n">
        <v>13012.23</v>
      </c>
      <c r="H18" t="n">
        <v>297.7</v>
      </c>
      <c r="I18" t="n">
        <v>2</v>
      </c>
      <c r="J18" t="inlineStr">
        <is>
          <t>agent_results/position_monitor/position_monitor_20260608_164248.md</t>
        </is>
      </c>
    </row>
    <row r="19">
      <c r="A19" t="inlineStr">
        <is>
          <t>2026-06-08T16:48:38+00:00</t>
        </is>
      </c>
      <c r="B19" t="inlineStr">
        <is>
          <t>monitor_20260608_164838</t>
        </is>
      </c>
      <c r="C19" t="inlineStr">
        <is>
          <t>XOM APA</t>
        </is>
      </c>
      <c r="D19" t="n">
        <v>0</v>
      </c>
      <c r="E19" t="inlineStr">
        <is>
          <t>MONITOR:HOLD</t>
        </is>
      </c>
      <c r="F19" t="n">
        <v>87010.85000000001</v>
      </c>
      <c r="G19" t="n">
        <v>13003.32</v>
      </c>
      <c r="H19" t="n">
        <v>288.79</v>
      </c>
      <c r="I19" t="n">
        <v>2</v>
      </c>
      <c r="J19" t="inlineStr">
        <is>
          <t>agent_results/position_monitor/position_monitor_20260608_164838.md</t>
        </is>
      </c>
    </row>
    <row r="20">
      <c r="A20" t="inlineStr">
        <is>
          <t>2026-06-08T16:49:45+00:00</t>
        </is>
      </c>
      <c r="B20" t="inlineStr">
        <is>
          <t>monitor_20260608_164945</t>
        </is>
      </c>
      <c r="C20" t="inlineStr">
        <is>
          <t>XOM APA</t>
        </is>
      </c>
      <c r="D20" t="n">
        <v>0</v>
      </c>
      <c r="E20" t="inlineStr">
        <is>
          <t>MONITOR:HOLD</t>
        </is>
      </c>
      <c r="F20" t="n">
        <v>87010.85000000001</v>
      </c>
      <c r="G20" t="n">
        <v>13002.52</v>
      </c>
      <c r="H20" t="n">
        <v>287.99</v>
      </c>
      <c r="I20" t="n">
        <v>2</v>
      </c>
      <c r="J20" t="inlineStr">
        <is>
          <t>agent_results/position_monitor/position_monitor_20260608_164945.md</t>
        </is>
      </c>
    </row>
    <row r="21">
      <c r="A21" t="inlineStr">
        <is>
          <t>2026-06-08T16:56:41+00:00</t>
        </is>
      </c>
      <c r="B21" t="inlineStr">
        <is>
          <t>monitor_20260608_165641</t>
        </is>
      </c>
      <c r="C21" t="inlineStr">
        <is>
          <t>XOM APA</t>
        </is>
      </c>
      <c r="D21" t="n">
        <v>0</v>
      </c>
      <c r="E21" t="inlineStr">
        <is>
          <t>MONITOR:HOLD</t>
        </is>
      </c>
      <c r="F21" t="n">
        <v>87010.85000000001</v>
      </c>
      <c r="G21" t="n">
        <v>13028.82</v>
      </c>
      <c r="H21" t="n">
        <v>314.29</v>
      </c>
      <c r="I21" t="n">
        <v>2</v>
      </c>
      <c r="J21" t="inlineStr">
        <is>
          <t>agent_results/position_monitor/position_monitor_20260608_165641.md</t>
        </is>
      </c>
    </row>
    <row r="22">
      <c r="A22" t="inlineStr">
        <is>
          <t>2026-06-08T17:00:51+00:00</t>
        </is>
      </c>
      <c r="B22" t="inlineStr">
        <is>
          <t>monitor_20260608_170051</t>
        </is>
      </c>
      <c r="C22" t="inlineStr">
        <is>
          <t>XOM APA</t>
        </is>
      </c>
      <c r="D22" t="n">
        <v>0</v>
      </c>
      <c r="E22" t="inlineStr">
        <is>
          <t>MONITOR:HOLD</t>
        </is>
      </c>
      <c r="F22" t="n">
        <v>87010.85000000001</v>
      </c>
      <c r="G22" t="n">
        <v>13013.47</v>
      </c>
      <c r="H22" t="n">
        <v>298.94</v>
      </c>
      <c r="I22" t="n">
        <v>2</v>
      </c>
      <c r="J22" t="inlineStr">
        <is>
          <t>agent_results/position_monitor/position_monitor_20260608_170051.md</t>
        </is>
      </c>
    </row>
    <row r="23">
      <c r="A23" t="inlineStr">
        <is>
          <t>2026-06-08T17:07:41+00:00</t>
        </is>
      </c>
      <c r="B23" t="inlineStr">
        <is>
          <t>monitor_20260608_170741</t>
        </is>
      </c>
      <c r="C23" t="inlineStr">
        <is>
          <t>XOM APA</t>
        </is>
      </c>
      <c r="D23" t="n">
        <v>0</v>
      </c>
      <c r="E23" t="inlineStr">
        <is>
          <t>MONITOR:HOLD</t>
        </is>
      </c>
      <c r="F23" t="n">
        <v>87010.85000000001</v>
      </c>
      <c r="G23" t="n">
        <v>13003.86</v>
      </c>
      <c r="H23" t="n">
        <v>289.33</v>
      </c>
      <c r="I23" t="n">
        <v>2</v>
      </c>
      <c r="J23" t="inlineStr">
        <is>
          <t>agent_results/position_monitor/position_monitor_20260608_170741.md</t>
        </is>
      </c>
    </row>
    <row r="24">
      <c r="A24" t="inlineStr">
        <is>
          <t>2026-06-08T17:14:44+00:00</t>
        </is>
      </c>
      <c r="B24" t="inlineStr">
        <is>
          <t>monitor_20260608_171444</t>
        </is>
      </c>
      <c r="C24" t="inlineStr">
        <is>
          <t>XOM APA</t>
        </is>
      </c>
      <c r="D24" t="n">
        <v>0</v>
      </c>
      <c r="E24" t="inlineStr">
        <is>
          <t>MONITOR:HOLD</t>
        </is>
      </c>
      <c r="F24" t="n">
        <v>87010.85000000001</v>
      </c>
      <c r="G24" t="n">
        <v>13013.03</v>
      </c>
      <c r="H24" t="n">
        <v>298.5</v>
      </c>
      <c r="I24" t="n">
        <v>2</v>
      </c>
      <c r="J24" t="inlineStr">
        <is>
          <t>agent_results/position_monitor/position_monitor_20260608_171444.md</t>
        </is>
      </c>
    </row>
    <row r="25">
      <c r="A25" t="inlineStr">
        <is>
          <t>2026-06-08T17:21:42+00:00</t>
        </is>
      </c>
      <c r="B25" t="inlineStr">
        <is>
          <t>monitor_20260608_172142</t>
        </is>
      </c>
      <c r="C25" t="inlineStr">
        <is>
          <t>XOM APA</t>
        </is>
      </c>
      <c r="D25" t="n">
        <v>0</v>
      </c>
      <c r="E25" t="inlineStr">
        <is>
          <t>MONITOR:HOLD</t>
        </is>
      </c>
      <c r="F25" t="n">
        <v>87010.85000000001</v>
      </c>
      <c r="G25" t="n">
        <v>13001.16</v>
      </c>
      <c r="H25" t="n">
        <v>286.63</v>
      </c>
      <c r="I25" t="n">
        <v>2</v>
      </c>
      <c r="J25" t="inlineStr">
        <is>
          <t>agent_results/position_monitor/position_monitor_20260608_172142.md</t>
        </is>
      </c>
    </row>
    <row r="26">
      <c r="A26" t="inlineStr">
        <is>
          <t>2026-06-08T17:28:45+00:00</t>
        </is>
      </c>
      <c r="B26" t="inlineStr">
        <is>
          <t>monitor_20260608_172845</t>
        </is>
      </c>
      <c r="C26" t="inlineStr">
        <is>
          <t>XOM APA</t>
        </is>
      </c>
      <c r="D26" t="n">
        <v>0</v>
      </c>
      <c r="E26" t="inlineStr">
        <is>
          <t>MONITOR:HOLD</t>
        </is>
      </c>
      <c r="F26" t="n">
        <v>87010.85000000001</v>
      </c>
      <c r="G26" t="n">
        <v>12981.3</v>
      </c>
      <c r="H26" t="n">
        <v>266.77</v>
      </c>
      <c r="I26" t="n">
        <v>2</v>
      </c>
      <c r="J26" t="inlineStr">
        <is>
          <t>agent_results/position_monitor/position_monitor_20260608_172845.md</t>
        </is>
      </c>
    </row>
    <row r="27">
      <c r="A27" t="inlineStr">
        <is>
          <t>2026-06-08T17:35:44+00:00</t>
        </is>
      </c>
      <c r="B27" t="inlineStr">
        <is>
          <t>monitor_20260608_173544</t>
        </is>
      </c>
      <c r="C27" t="inlineStr">
        <is>
          <t>XOM APA</t>
        </is>
      </c>
      <c r="D27" t="n">
        <v>0</v>
      </c>
      <c r="E27" t="inlineStr">
        <is>
          <t>MONITOR:HOLD</t>
        </is>
      </c>
      <c r="F27" t="n">
        <v>87010.85000000001</v>
      </c>
      <c r="G27" t="n">
        <v>12963.88</v>
      </c>
      <c r="H27" t="n">
        <v>249.35</v>
      </c>
      <c r="I27" t="n">
        <v>2</v>
      </c>
      <c r="J27" t="inlineStr">
        <is>
          <t>agent_results/position_monitor/position_monitor_20260608_173544.md</t>
        </is>
      </c>
    </row>
    <row r="28">
      <c r="A28" t="inlineStr">
        <is>
          <t>2026-06-08T17:42:42+00:00</t>
        </is>
      </c>
      <c r="B28" t="inlineStr">
        <is>
          <t>monitor_20260608_174242</t>
        </is>
      </c>
      <c r="C28" t="inlineStr">
        <is>
          <t>XOM APA</t>
        </is>
      </c>
      <c r="D28" t="n">
        <v>0</v>
      </c>
      <c r="E28" t="inlineStr">
        <is>
          <t>MONITOR:HOLD</t>
        </is>
      </c>
      <c r="F28" t="n">
        <v>87010.85000000001</v>
      </c>
      <c r="G28" t="n">
        <v>12999.82</v>
      </c>
      <c r="H28" t="n">
        <v>285.29</v>
      </c>
      <c r="I28" t="n">
        <v>2</v>
      </c>
      <c r="J28" t="inlineStr">
        <is>
          <t>agent_results/position_monitor/position_monitor_20260608_174242.md</t>
        </is>
      </c>
    </row>
    <row r="29">
      <c r="A29" t="inlineStr">
        <is>
          <t>2026-06-08T17:49:39+00:00</t>
        </is>
      </c>
      <c r="B29" t="inlineStr">
        <is>
          <t>monitor_20260608_174939</t>
        </is>
      </c>
      <c r="C29" t="inlineStr">
        <is>
          <t>XOM APA</t>
        </is>
      </c>
      <c r="D29" t="n">
        <v>0</v>
      </c>
      <c r="E29" t="inlineStr">
        <is>
          <t>MONITOR:HOLD</t>
        </is>
      </c>
      <c r="F29" t="n">
        <v>87010.85000000001</v>
      </c>
      <c r="G29" t="n">
        <v>13019.44</v>
      </c>
      <c r="H29" t="n">
        <v>304.91</v>
      </c>
      <c r="I29" t="n">
        <v>2</v>
      </c>
      <c r="J29" t="inlineStr">
        <is>
          <t>agent_results/position_monitor/position_monitor_20260608_174939.md</t>
        </is>
      </c>
    </row>
    <row r="30">
      <c r="A30" t="inlineStr">
        <is>
          <t>2026-06-08T17:56:41+00:00</t>
        </is>
      </c>
      <c r="B30" t="inlineStr">
        <is>
          <t>monitor_20260608_175641</t>
        </is>
      </c>
      <c r="C30" t="inlineStr">
        <is>
          <t>XOM APA</t>
        </is>
      </c>
      <c r="D30" t="n">
        <v>0</v>
      </c>
      <c r="E30" t="inlineStr">
        <is>
          <t>MONITOR:HOLD</t>
        </is>
      </c>
      <c r="F30" t="n">
        <v>87010.85000000001</v>
      </c>
      <c r="G30" t="n">
        <v>13025.01</v>
      </c>
      <c r="H30" t="n">
        <v>310.48</v>
      </c>
      <c r="I30" t="n">
        <v>2</v>
      </c>
      <c r="J30" t="inlineStr">
        <is>
          <t>agent_results/position_monitor/position_monitor_20260608_175641.md</t>
        </is>
      </c>
    </row>
    <row r="31">
      <c r="A31" t="inlineStr">
        <is>
          <t>2026-06-08T18:00:51+00:00</t>
        </is>
      </c>
      <c r="B31" t="inlineStr">
        <is>
          <t>monitor_20260608_180051</t>
        </is>
      </c>
      <c r="C31" t="inlineStr">
        <is>
          <t>XOM APA</t>
        </is>
      </c>
      <c r="D31" t="n">
        <v>0</v>
      </c>
      <c r="E31" t="inlineStr">
        <is>
          <t>MONITOR:HOLD</t>
        </is>
      </c>
      <c r="F31" t="n">
        <v>87010.85000000001</v>
      </c>
      <c r="G31" t="n">
        <v>13036.62</v>
      </c>
      <c r="H31" t="n">
        <v>322.09</v>
      </c>
      <c r="I31" t="n">
        <v>2</v>
      </c>
      <c r="J31" t="inlineStr">
        <is>
          <t>agent_results/position_monitor/position_monitor_20260608_180051.md</t>
        </is>
      </c>
    </row>
    <row r="32">
      <c r="A32" t="inlineStr">
        <is>
          <t>2026-06-08T18:07:43+00:00</t>
        </is>
      </c>
      <c r="B32" t="inlineStr">
        <is>
          <t>monitor_20260608_180743</t>
        </is>
      </c>
      <c r="C32" t="inlineStr">
        <is>
          <t>XOM APA</t>
        </is>
      </c>
      <c r="D32" t="n">
        <v>0</v>
      </c>
      <c r="E32" t="inlineStr">
        <is>
          <t>MONITOR:HOLD</t>
        </is>
      </c>
      <c r="F32" t="n">
        <v>87010.85000000001</v>
      </c>
      <c r="G32" t="n">
        <v>13051.91</v>
      </c>
      <c r="H32" t="n">
        <v>337.38</v>
      </c>
      <c r="I32" t="n">
        <v>2</v>
      </c>
      <c r="J32" t="inlineStr">
        <is>
          <t>agent_results/position_monitor/position_monitor_20260608_180743.md</t>
        </is>
      </c>
    </row>
    <row r="33">
      <c r="A33" t="inlineStr">
        <is>
          <t>2026-06-08T18:14:43+00:00</t>
        </is>
      </c>
      <c r="B33" t="inlineStr">
        <is>
          <t>monitor_20260608_181443</t>
        </is>
      </c>
      <c r="C33" t="inlineStr">
        <is>
          <t>XOM APA</t>
        </is>
      </c>
      <c r="D33" t="n">
        <v>0</v>
      </c>
      <c r="E33" t="inlineStr">
        <is>
          <t>MONITOR:HOLD</t>
        </is>
      </c>
      <c r="F33" t="n">
        <v>87010.85000000001</v>
      </c>
      <c r="G33" t="n">
        <v>13053.37</v>
      </c>
      <c r="H33" t="n">
        <v>338.84</v>
      </c>
      <c r="I33" t="n">
        <v>2</v>
      </c>
      <c r="J33" t="inlineStr">
        <is>
          <t>agent_results/position_monitor/position_monitor_20260608_181443.md</t>
        </is>
      </c>
    </row>
    <row r="34">
      <c r="A34" t="inlineStr">
        <is>
          <t>2026-06-08T18:21:44+00:00</t>
        </is>
      </c>
      <c r="B34" t="inlineStr">
        <is>
          <t>monitor_20260608_182144</t>
        </is>
      </c>
      <c r="C34" t="inlineStr">
        <is>
          <t>XOM APA</t>
        </is>
      </c>
      <c r="D34" t="n">
        <v>0</v>
      </c>
      <c r="E34" t="inlineStr">
        <is>
          <t>MONITOR:HOLD</t>
        </is>
      </c>
      <c r="F34" t="n">
        <v>87010.85000000001</v>
      </c>
      <c r="G34" t="n">
        <v>13065.38</v>
      </c>
      <c r="H34" t="n">
        <v>350.85</v>
      </c>
      <c r="I34" t="n">
        <v>2</v>
      </c>
      <c r="J34" t="inlineStr">
        <is>
          <t>agent_results/position_monitor/position_monitor_20260608_182144.md</t>
        </is>
      </c>
    </row>
    <row r="35">
      <c r="A35" t="inlineStr">
        <is>
          <t>2026-06-08T18:28:48+00:00</t>
        </is>
      </c>
      <c r="B35" t="inlineStr">
        <is>
          <t>monitor_20260608_182848</t>
        </is>
      </c>
      <c r="C35" t="inlineStr">
        <is>
          <t>XOM APA</t>
        </is>
      </c>
      <c r="D35" t="n">
        <v>0</v>
      </c>
      <c r="E35" t="inlineStr">
        <is>
          <t>MONITOR:HOLD</t>
        </is>
      </c>
      <c r="F35" t="n">
        <v>87010.85000000001</v>
      </c>
      <c r="G35" t="n">
        <v>13066.58</v>
      </c>
      <c r="H35" t="n">
        <v>352.05</v>
      </c>
      <c r="I35" t="n">
        <v>2</v>
      </c>
      <c r="J35" t="inlineStr">
        <is>
          <t>agent_results/position_monitor/position_monitor_20260608_182848.md</t>
        </is>
      </c>
    </row>
    <row r="36">
      <c r="A36" t="inlineStr">
        <is>
          <t>2026-06-08T18:35:46+00:00</t>
        </is>
      </c>
      <c r="B36" t="inlineStr">
        <is>
          <t>monitor_20260608_183546</t>
        </is>
      </c>
      <c r="C36" t="inlineStr">
        <is>
          <t>XOM APA</t>
        </is>
      </c>
      <c r="D36" t="n">
        <v>0</v>
      </c>
      <c r="E36" t="inlineStr">
        <is>
          <t>MONITOR:HOLD</t>
        </is>
      </c>
      <c r="F36" t="n">
        <v>87010.85000000001</v>
      </c>
      <c r="G36" t="n">
        <v>13052.97</v>
      </c>
      <c r="H36" t="n">
        <v>338.44</v>
      </c>
      <c r="I36" t="n">
        <v>2</v>
      </c>
      <c r="J36" t="inlineStr">
        <is>
          <t>agent_results/position_monitor/position_monitor_20260608_183546.md</t>
        </is>
      </c>
    </row>
    <row r="37">
      <c r="A37" t="inlineStr">
        <is>
          <t>2026-06-08T18:42:43+00:00</t>
        </is>
      </c>
      <c r="B37" t="inlineStr">
        <is>
          <t>monitor_20260608_184243</t>
        </is>
      </c>
      <c r="C37" t="inlineStr">
        <is>
          <t>XOM APA</t>
        </is>
      </c>
      <c r="D37" t="n">
        <v>0</v>
      </c>
      <c r="E37" t="inlineStr">
        <is>
          <t>MONITOR:HOLD</t>
        </is>
      </c>
      <c r="F37" t="n">
        <v>87010.85000000001</v>
      </c>
      <c r="G37" t="n">
        <v>13053.9</v>
      </c>
      <c r="H37" t="n">
        <v>339.37</v>
      </c>
      <c r="I37" t="n">
        <v>2</v>
      </c>
      <c r="J37" t="inlineStr">
        <is>
          <t>agent_results/position_monitor/position_monitor_20260608_184243.md</t>
        </is>
      </c>
    </row>
    <row r="38">
      <c r="A38" t="inlineStr">
        <is>
          <t>2026-06-08T18:49:45+00:00</t>
        </is>
      </c>
      <c r="B38" t="inlineStr">
        <is>
          <t>monitor_20260608_184945</t>
        </is>
      </c>
      <c r="C38" t="inlineStr">
        <is>
          <t>XOM APA</t>
        </is>
      </c>
      <c r="D38" t="n">
        <v>0</v>
      </c>
      <c r="E38" t="inlineStr">
        <is>
          <t>MONITOR:HOLD</t>
        </is>
      </c>
      <c r="F38" t="n">
        <v>87010.85000000001</v>
      </c>
      <c r="G38" t="n">
        <v>13051.57</v>
      </c>
      <c r="H38" t="n">
        <v>337.04</v>
      </c>
      <c r="I38" t="n">
        <v>2</v>
      </c>
      <c r="J38" t="inlineStr">
        <is>
          <t>agent_results/position_monitor/position_monitor_20260608_184945.md</t>
        </is>
      </c>
    </row>
    <row r="39">
      <c r="A39" t="inlineStr">
        <is>
          <t>2026-06-08T18:56:42+00:00</t>
        </is>
      </c>
      <c r="B39" t="inlineStr">
        <is>
          <t>monitor_20260608_185642</t>
        </is>
      </c>
      <c r="C39" t="inlineStr">
        <is>
          <t>XOM APA</t>
        </is>
      </c>
      <c r="D39" t="n">
        <v>0</v>
      </c>
      <c r="E39" t="inlineStr">
        <is>
          <t>MONITOR:HOLD</t>
        </is>
      </c>
      <c r="F39" t="n">
        <v>87010.85000000001</v>
      </c>
      <c r="G39" t="n">
        <v>13049.3</v>
      </c>
      <c r="H39" t="n">
        <v>334.77</v>
      </c>
      <c r="I39" t="n">
        <v>2</v>
      </c>
      <c r="J39" t="inlineStr">
        <is>
          <t>agent_results/position_monitor/position_monitor_20260608_185642.md</t>
        </is>
      </c>
    </row>
    <row r="40">
      <c r="A40" t="inlineStr">
        <is>
          <t>2026-06-08T19:00:56+00:00</t>
        </is>
      </c>
      <c r="B40" t="inlineStr">
        <is>
          <t>monitor_20260608_190056</t>
        </is>
      </c>
      <c r="C40" t="inlineStr">
        <is>
          <t>XOM APA</t>
        </is>
      </c>
      <c r="D40" t="n">
        <v>0</v>
      </c>
      <c r="E40" t="inlineStr">
        <is>
          <t>MONITOR:HOLD</t>
        </is>
      </c>
      <c r="F40" t="n">
        <v>87010.85000000001</v>
      </c>
      <c r="G40" t="n">
        <v>13059.88</v>
      </c>
      <c r="H40" t="n">
        <v>345.35</v>
      </c>
      <c r="I40" t="n">
        <v>2</v>
      </c>
      <c r="J40" t="inlineStr">
        <is>
          <t>agent_results/position_monitor/position_monitor_20260608_190056.md</t>
        </is>
      </c>
    </row>
    <row r="41">
      <c r="A41" t="inlineStr">
        <is>
          <t>2026-06-08T19:07:40+00:00</t>
        </is>
      </c>
      <c r="B41" t="inlineStr">
        <is>
          <t>monitor_20260608_190740</t>
        </is>
      </c>
      <c r="C41" t="inlineStr">
        <is>
          <t>XOM APA</t>
        </is>
      </c>
      <c r="D41" t="n">
        <v>0</v>
      </c>
      <c r="E41" t="inlineStr">
        <is>
          <t>MONITOR:HOLD</t>
        </is>
      </c>
      <c r="F41" t="n">
        <v>87010.85000000001</v>
      </c>
      <c r="G41" t="n">
        <v>13056.91</v>
      </c>
      <c r="H41" t="n">
        <v>342.38</v>
      </c>
      <c r="I41" t="n">
        <v>2</v>
      </c>
      <c r="J41" t="inlineStr">
        <is>
          <t>agent_results/position_monitor/position_monitor_20260608_190740.md</t>
        </is>
      </c>
    </row>
    <row r="42">
      <c r="A42" t="inlineStr">
        <is>
          <t>2026-06-08T19:11:37+00:00</t>
        </is>
      </c>
      <c r="B42" t="inlineStr">
        <is>
          <t>monitor_20260608_191137</t>
        </is>
      </c>
      <c r="C42" t="inlineStr">
        <is>
          <t>XOM APA</t>
        </is>
      </c>
      <c r="D42" t="n">
        <v>0</v>
      </c>
      <c r="E42" t="inlineStr">
        <is>
          <t>MONITOR:HOLD</t>
        </is>
      </c>
      <c r="F42" t="n">
        <v>87010.85000000001</v>
      </c>
      <c r="G42" t="n">
        <v>13039.16</v>
      </c>
      <c r="H42" t="n">
        <v>324.63</v>
      </c>
      <c r="I42" t="n">
        <v>2</v>
      </c>
      <c r="J42" t="inlineStr">
        <is>
          <t>agent_results/position_monitor/position_monitor_20260608_191137.md</t>
        </is>
      </c>
    </row>
    <row r="43">
      <c r="A43" t="inlineStr">
        <is>
          <t>2026-06-08T19:14:45+00:00</t>
        </is>
      </c>
      <c r="B43" t="inlineStr">
        <is>
          <t>monitor_20260608_191445</t>
        </is>
      </c>
      <c r="C43" t="inlineStr">
        <is>
          <t>XOM APA</t>
        </is>
      </c>
      <c r="D43" t="n">
        <v>0</v>
      </c>
      <c r="E43" t="inlineStr">
        <is>
          <t>MONITOR:HOLD</t>
        </is>
      </c>
      <c r="F43" t="n">
        <v>87010.85000000001</v>
      </c>
      <c r="G43" t="n">
        <v>13048</v>
      </c>
      <c r="H43" t="n">
        <v>333.47</v>
      </c>
      <c r="I43" t="n">
        <v>2</v>
      </c>
      <c r="J43" t="inlineStr">
        <is>
          <t>agent_results/position_monitor/position_monitor_20260608_191445.md</t>
        </is>
      </c>
    </row>
    <row r="44">
      <c r="A44" t="inlineStr">
        <is>
          <t>2026-06-08T19:21:43+00:00</t>
        </is>
      </c>
      <c r="B44" t="inlineStr">
        <is>
          <t>monitor_20260608_192143</t>
        </is>
      </c>
      <c r="C44" t="inlineStr">
        <is>
          <t>XOM APA</t>
        </is>
      </c>
      <c r="D44" t="n">
        <v>0</v>
      </c>
      <c r="E44" t="inlineStr">
        <is>
          <t>MONITOR:HOLD</t>
        </is>
      </c>
      <c r="F44" t="n">
        <v>87010.85000000001</v>
      </c>
      <c r="G44" t="n">
        <v>13035.19</v>
      </c>
      <c r="H44" t="n">
        <v>320.66</v>
      </c>
      <c r="I44" t="n">
        <v>2</v>
      </c>
      <c r="J44" t="inlineStr">
        <is>
          <t>agent_results/position_monitor/position_monitor_20260608_192143.md</t>
        </is>
      </c>
    </row>
    <row r="45">
      <c r="A45" t="inlineStr">
        <is>
          <t>2026-06-08T19:28:42+00:00</t>
        </is>
      </c>
      <c r="B45" t="inlineStr">
        <is>
          <t>monitor_20260608_192842</t>
        </is>
      </c>
      <c r="C45" t="inlineStr">
        <is>
          <t>XOM APA</t>
        </is>
      </c>
      <c r="D45" t="n">
        <v>0</v>
      </c>
      <c r="E45" t="inlineStr">
        <is>
          <t>MONITOR:HOLD</t>
        </is>
      </c>
      <c r="F45" t="n">
        <v>87010.85000000001</v>
      </c>
      <c r="G45" t="n">
        <v>13048.19</v>
      </c>
      <c r="H45" t="n">
        <v>333.66</v>
      </c>
      <c r="I45" t="n">
        <v>2</v>
      </c>
      <c r="J45" t="inlineStr">
        <is>
          <t>agent_results/position_monitor/position_monitor_20260608_192842.md</t>
        </is>
      </c>
    </row>
    <row r="46">
      <c r="A46" t="inlineStr">
        <is>
          <t>2026-06-08T19:35:47+00:00</t>
        </is>
      </c>
      <c r="B46" t="inlineStr">
        <is>
          <t>monitor_20260608_193547</t>
        </is>
      </c>
      <c r="C46" t="inlineStr">
        <is>
          <t>XOM APA</t>
        </is>
      </c>
      <c r="D46" t="n">
        <v>0</v>
      </c>
      <c r="E46" t="inlineStr">
        <is>
          <t>MONITOR:HOLD</t>
        </is>
      </c>
      <c r="F46" t="n">
        <v>87010.85000000001</v>
      </c>
      <c r="G46" t="n">
        <v>13052.58</v>
      </c>
      <c r="H46" t="n">
        <v>338.05</v>
      </c>
      <c r="I46" t="n">
        <v>2</v>
      </c>
      <c r="J46" t="inlineStr">
        <is>
          <t>agent_results/position_monitor/position_monitor_20260608_193547.md</t>
        </is>
      </c>
    </row>
    <row r="47">
      <c r="A47" t="inlineStr">
        <is>
          <t>2026-06-08T19:42:39+00:00</t>
        </is>
      </c>
      <c r="B47" t="inlineStr">
        <is>
          <t>monitor_20260608_194239</t>
        </is>
      </c>
      <c r="C47" t="inlineStr">
        <is>
          <t>XOM APA</t>
        </is>
      </c>
      <c r="D47" t="n">
        <v>0</v>
      </c>
      <c r="E47" t="inlineStr">
        <is>
          <t>MONITOR:HOLD</t>
        </is>
      </c>
      <c r="F47" t="n">
        <v>87010.85000000001</v>
      </c>
      <c r="G47" t="n">
        <v>13057.44</v>
      </c>
      <c r="H47" t="n">
        <v>342.91</v>
      </c>
      <c r="I47" t="n">
        <v>2</v>
      </c>
      <c r="J47" t="inlineStr">
        <is>
          <t>agent_results/position_monitor/position_monitor_20260608_194239.md</t>
        </is>
      </c>
    </row>
    <row r="48">
      <c r="A48" t="inlineStr">
        <is>
          <t>2026-06-08T19:49:40+00:00</t>
        </is>
      </c>
      <c r="B48" t="inlineStr">
        <is>
          <t>monitor_20260608_194940</t>
        </is>
      </c>
      <c r="C48" t="inlineStr">
        <is>
          <t>XOM APA</t>
        </is>
      </c>
      <c r="D48" t="n">
        <v>0</v>
      </c>
      <c r="E48" t="inlineStr">
        <is>
          <t>MONITOR:HOLD</t>
        </is>
      </c>
      <c r="F48" t="n">
        <v>87010.85000000001</v>
      </c>
      <c r="G48" t="n">
        <v>13061.45</v>
      </c>
      <c r="H48" t="n">
        <v>346.92</v>
      </c>
      <c r="I48" t="n">
        <v>2</v>
      </c>
      <c r="J48" t="inlineStr">
        <is>
          <t>agent_results/position_monitor/position_monitor_20260608_194940.md</t>
        </is>
      </c>
    </row>
    <row r="49">
      <c r="A49" t="inlineStr">
        <is>
          <t>2026-06-08T19:56:40+00:00</t>
        </is>
      </c>
      <c r="B49" t="inlineStr">
        <is>
          <t>monitor_20260608_195640</t>
        </is>
      </c>
      <c r="C49" t="inlineStr">
        <is>
          <t>XOM APA</t>
        </is>
      </c>
      <c r="D49" t="n">
        <v>0</v>
      </c>
      <c r="E49" t="inlineStr">
        <is>
          <t>MONITOR:HOLD</t>
        </is>
      </c>
      <c r="F49" t="n">
        <v>87010.85000000001</v>
      </c>
      <c r="G49" t="n">
        <v>13091.98</v>
      </c>
      <c r="H49" t="n">
        <v>377.45</v>
      </c>
      <c r="I49" t="n">
        <v>2</v>
      </c>
      <c r="J49" t="inlineStr">
        <is>
          <t>agent_results/position_monitor/position_monitor_20260608_195640.md</t>
        </is>
      </c>
    </row>
    <row r="50">
      <c r="A50" t="inlineStr">
        <is>
          <t>2026-06-08T20:00:49+00:00</t>
        </is>
      </c>
      <c r="B50" t="inlineStr">
        <is>
          <t>monitor_20260608_200049</t>
        </is>
      </c>
      <c r="C50" t="inlineStr">
        <is>
          <t>XOM APA</t>
        </is>
      </c>
      <c r="D50" t="n">
        <v>0</v>
      </c>
      <c r="E50" t="inlineStr">
        <is>
          <t>MONITOR:HOLD</t>
        </is>
      </c>
      <c r="F50" t="n">
        <v>87010.85000000001</v>
      </c>
      <c r="G50" t="n">
        <v>13083.84</v>
      </c>
      <c r="H50" t="n">
        <v>369.31</v>
      </c>
      <c r="I50" t="n">
        <v>2</v>
      </c>
      <c r="J50" t="inlineStr">
        <is>
          <t>agent_results/position_monitor/position_monitor_20260608_200049.md</t>
        </is>
      </c>
    </row>
    <row r="51">
      <c r="A51" t="inlineStr">
        <is>
          <t>2026-06-08T20:07:38+00:00</t>
        </is>
      </c>
      <c r="B51" t="inlineStr">
        <is>
          <t>monitor_20260608_200738</t>
        </is>
      </c>
      <c r="C51" t="inlineStr">
        <is>
          <t>XOM APA</t>
        </is>
      </c>
      <c r="D51" t="n">
        <v>0</v>
      </c>
      <c r="E51" t="inlineStr">
        <is>
          <t>MONITOR:HOLD</t>
        </is>
      </c>
      <c r="F51" t="n">
        <v>87010.85000000001</v>
      </c>
      <c r="G51" t="n">
        <v>13083.84</v>
      </c>
      <c r="H51" t="n">
        <v>369.31</v>
      </c>
      <c r="I51" t="n">
        <v>2</v>
      </c>
      <c r="J51" t="inlineStr">
        <is>
          <t>agent_results/position_monitor/position_monitor_20260608_200738.md</t>
        </is>
      </c>
    </row>
    <row r="52">
      <c r="A52" t="inlineStr">
        <is>
          <t>2026-06-08T20:14:38+00:00</t>
        </is>
      </c>
      <c r="B52" t="inlineStr">
        <is>
          <t>monitor_20260608_201438</t>
        </is>
      </c>
      <c r="C52" t="inlineStr">
        <is>
          <t>XOM APA</t>
        </is>
      </c>
      <c r="D52" t="n">
        <v>0</v>
      </c>
      <c r="E52" t="inlineStr">
        <is>
          <t>MONITOR:HOLD</t>
        </is>
      </c>
      <c r="F52" t="n">
        <v>87010.85000000001</v>
      </c>
      <c r="G52" t="n">
        <v>13083.84</v>
      </c>
      <c r="H52" t="n">
        <v>369.31</v>
      </c>
      <c r="I52" t="n">
        <v>2</v>
      </c>
      <c r="J52" t="inlineStr">
        <is>
          <t>agent_results/position_monitor/position_monitor_20260608_201438.md</t>
        </is>
      </c>
    </row>
    <row r="53">
      <c r="A53" t="inlineStr">
        <is>
          <t>2026-06-08T20:21:42+00:00</t>
        </is>
      </c>
      <c r="B53" t="inlineStr">
        <is>
          <t>monitor_20260608_202142</t>
        </is>
      </c>
      <c r="C53" t="inlineStr">
        <is>
          <t>XOM APA</t>
        </is>
      </c>
      <c r="D53" t="n">
        <v>0</v>
      </c>
      <c r="E53" t="inlineStr">
        <is>
          <t>MONITOR:HOLD</t>
        </is>
      </c>
      <c r="F53" t="n">
        <v>87010.85000000001</v>
      </c>
      <c r="G53" t="n">
        <v>13083.54</v>
      </c>
      <c r="H53" t="n">
        <v>369.01</v>
      </c>
      <c r="I53" t="n">
        <v>2</v>
      </c>
      <c r="J53" t="inlineStr">
        <is>
          <t>agent_results/position_monitor/position_monitor_20260608_202142.md</t>
        </is>
      </c>
    </row>
    <row r="54">
      <c r="A54" t="inlineStr">
        <is>
          <t>2026-06-08T20:28:41+00:00</t>
        </is>
      </c>
      <c r="B54" t="inlineStr">
        <is>
          <t>monitor_20260608_202841</t>
        </is>
      </c>
      <c r="C54" t="inlineStr">
        <is>
          <t>XOM APA</t>
        </is>
      </c>
      <c r="D54" t="n">
        <v>0</v>
      </c>
      <c r="E54" t="inlineStr">
        <is>
          <t>MONITOR:HOLD</t>
        </is>
      </c>
      <c r="F54" t="n">
        <v>87010.85000000001</v>
      </c>
      <c r="G54" t="n">
        <v>13083.54</v>
      </c>
      <c r="H54" t="n">
        <v>369.01</v>
      </c>
      <c r="I54" t="n">
        <v>2</v>
      </c>
      <c r="J54" t="inlineStr">
        <is>
          <t>agent_results/position_monitor/position_monitor_20260608_202841.md</t>
        </is>
      </c>
    </row>
    <row r="55">
      <c r="A55" t="inlineStr">
        <is>
          <t>2026-06-08T20:35:39+00:00</t>
        </is>
      </c>
      <c r="B55" t="inlineStr">
        <is>
          <t>monitor_20260608_203539</t>
        </is>
      </c>
      <c r="C55" t="inlineStr">
        <is>
          <t>XOM APA</t>
        </is>
      </c>
      <c r="D55" t="n">
        <v>0</v>
      </c>
      <c r="E55" t="inlineStr">
        <is>
          <t>MONITOR:HOLD</t>
        </is>
      </c>
      <c r="F55" t="n">
        <v>87010.85000000001</v>
      </c>
      <c r="G55" t="n">
        <v>13083.54</v>
      </c>
      <c r="H55" t="n">
        <v>369.01</v>
      </c>
      <c r="I55" t="n">
        <v>2</v>
      </c>
      <c r="J55" t="inlineStr">
        <is>
          <t>agent_results/position_monitor/position_monitor_20260608_203539.md</t>
        </is>
      </c>
    </row>
    <row r="56">
      <c r="A56" t="inlineStr">
        <is>
          <t>2026-06-08T20:42:39+00:00</t>
        </is>
      </c>
      <c r="B56" t="inlineStr">
        <is>
          <t>monitor_20260608_204239</t>
        </is>
      </c>
      <c r="C56" t="inlineStr">
        <is>
          <t>XOM APA</t>
        </is>
      </c>
      <c r="D56" t="n">
        <v>0</v>
      </c>
      <c r="E56" t="inlineStr">
        <is>
          <t>MONITOR:HOLD</t>
        </is>
      </c>
      <c r="F56" t="n">
        <v>87010.85000000001</v>
      </c>
      <c r="G56" t="n">
        <v>13083.54</v>
      </c>
      <c r="H56" t="n">
        <v>369.01</v>
      </c>
      <c r="I56" t="n">
        <v>2</v>
      </c>
      <c r="J56" t="inlineStr">
        <is>
          <t>agent_results/position_monitor/position_monitor_20260608_204239.md</t>
        </is>
      </c>
    </row>
    <row r="57">
      <c r="A57" t="inlineStr">
        <is>
          <t>2026-06-08T20:49:39+00:00</t>
        </is>
      </c>
      <c r="B57" t="inlineStr">
        <is>
          <t>monitor_20260608_204939</t>
        </is>
      </c>
      <c r="C57" t="inlineStr">
        <is>
          <t>XOM APA</t>
        </is>
      </c>
      <c r="D57" t="n">
        <v>0</v>
      </c>
      <c r="E57" t="inlineStr">
        <is>
          <t>MONITOR:HOLD</t>
        </is>
      </c>
      <c r="F57" t="n">
        <v>87010.85000000001</v>
      </c>
      <c r="G57" t="n">
        <v>13083.54</v>
      </c>
      <c r="H57" t="n">
        <v>369.01</v>
      </c>
      <c r="I57" t="n">
        <v>2</v>
      </c>
      <c r="J57" t="inlineStr">
        <is>
          <t>agent_results/position_monitor/position_monitor_20260608_204939.md</t>
        </is>
      </c>
    </row>
    <row r="58">
      <c r="A58" t="inlineStr">
        <is>
          <t>2026-06-08T20:56:49+00:00</t>
        </is>
      </c>
      <c r="B58" t="inlineStr">
        <is>
          <t>monitor_20260608_205649</t>
        </is>
      </c>
      <c r="C58" t="inlineStr">
        <is>
          <t>XOM APA</t>
        </is>
      </c>
      <c r="D58" t="n">
        <v>0</v>
      </c>
      <c r="E58" t="inlineStr">
        <is>
          <t>MONITOR:HOLD</t>
        </is>
      </c>
      <c r="F58" t="n">
        <v>87010.85000000001</v>
      </c>
      <c r="G58" t="n">
        <v>13083.54</v>
      </c>
      <c r="H58" t="n">
        <v>369.01</v>
      </c>
      <c r="I58" t="n">
        <v>2</v>
      </c>
      <c r="J58" t="inlineStr">
        <is>
          <t>agent_results/position_monitor/position_monitor_20260608_205649.md</t>
        </is>
      </c>
    </row>
    <row r="59">
      <c r="A59" t="inlineStr">
        <is>
          <t>2026-06-08T21:14:42</t>
        </is>
      </c>
      <c r="B59" t="inlineStr">
        <is>
          <t>20260608_210745</t>
        </is>
      </c>
      <c r="C59" t="inlineStr">
        <is>
          <t>XOM HAL CB INTC PH NVDA OXY CRM APA QCOM TMO LNG DLR AMAT LRCX AMD KLAC PANW ORCL MU CRWD SMCI ASML UNH TSM MS URI TXN POWL CAT GS C LLY SLB PSX AAPL BAC ANET JPM UPS UNP MRK GE ABBV NOW</t>
        </is>
      </c>
      <c r="D59" t="n">
        <v>13</v>
      </c>
      <c r="E59" t="inlineStr">
        <is>
          <t>XOM:HOLD, HAL:WATCH, CB:WATCH, INTC:WATCH, PH:WATCH, NVDA:WATCH, OXY:WATCH, CRM:WATCH, APA:HOLD, QCOM:WATCH, TMO:WATCH, LNG:WATCH, DLR:WATCH, AMAT:SKIP, LRCX:SKIP, AMD:SKIP, KLAC:SKIP, PANW:SKIP, ORCL:SKIP, MU:SKIP, CRWD:SKIP, SMCI:SKIP, ASML:SKIP, UNH:SKIP, TSM:SKIP, MS:SKIP, URI:SKIP, TXN:SKIP, POWL:SKIP, CAT:SKIP, GS:SKIP, C:SKIP, LLY:SKIP, SLB:SKIP, PSX:SKIP, AAPL:SKIP, BAC:SKIP, ANET:SKIP, JPM:SKIP, UPS:SKIP, UNP:SKIP, MRK:SKIP, GE:SKIP, ABBV:SKIP, NOW:SKIP</t>
        </is>
      </c>
      <c r="F59" t="n">
        <v>87010.85000000001</v>
      </c>
      <c r="G59" t="n">
        <v>13090.22</v>
      </c>
      <c r="H59" t="n">
        <v>375.69</v>
      </c>
      <c r="I59" t="n">
        <v>2</v>
      </c>
      <c r="J59" t="inlineStr">
        <is>
          <t>agent_results/summaries/market_lens_agent_20260608_210745.md</t>
        </is>
      </c>
      <c r="K59" t="inlineStr">
        <is>
          <t>agent_results/screenshots/market_lens_agent_20260608_210745.png</t>
        </is>
      </c>
      <c r="L59" t="inlineStr">
        <is>
          <t>agent_results/decisions/market_lens_agent_20260608_210745.jsonl</t>
        </is>
      </c>
    </row>
    <row r="60">
      <c r="A60" t="inlineStr">
        <is>
          <t>2026-06-09T13:00:56+00:00</t>
        </is>
      </c>
      <c r="B60" t="inlineStr">
        <is>
          <t>monitor_20260609_130056</t>
        </is>
      </c>
      <c r="C60" t="inlineStr">
        <is>
          <t>XOM APA</t>
        </is>
      </c>
      <c r="D60" t="n">
        <v>0</v>
      </c>
      <c r="E60" t="inlineStr">
        <is>
          <t>MONITOR:HOLD</t>
        </is>
      </c>
      <c r="F60" t="n">
        <v>87010.85000000001</v>
      </c>
      <c r="G60" t="n">
        <v>13083.54</v>
      </c>
      <c r="H60" t="n">
        <v>369.01</v>
      </c>
      <c r="I60" t="n">
        <v>2</v>
      </c>
      <c r="J60" t="inlineStr">
        <is>
          <t>agent_results/position_monitor/position_monitor_20260609_130056.md</t>
        </is>
      </c>
    </row>
    <row r="61">
      <c r="A61" t="inlineStr">
        <is>
          <t>2026-06-09T13:07:40+00:00</t>
        </is>
      </c>
      <c r="B61" t="inlineStr">
        <is>
          <t>monitor_20260609_130740</t>
        </is>
      </c>
      <c r="C61" t="inlineStr">
        <is>
          <t>XOM APA</t>
        </is>
      </c>
      <c r="D61" t="n">
        <v>0</v>
      </c>
      <c r="E61" t="inlineStr">
        <is>
          <t>MONITOR:HOLD</t>
        </is>
      </c>
      <c r="F61" t="n">
        <v>87010.85000000001</v>
      </c>
      <c r="G61" t="n">
        <v>13083.54</v>
      </c>
      <c r="H61" t="n">
        <v>369.01</v>
      </c>
      <c r="I61" t="n">
        <v>2</v>
      </c>
      <c r="J61" t="inlineStr">
        <is>
          <t>agent_results/position_monitor/position_monitor_20260609_130740.md</t>
        </is>
      </c>
    </row>
    <row r="62">
      <c r="A62" t="inlineStr">
        <is>
          <t>2026-06-09T13:14:44+00:00</t>
        </is>
      </c>
      <c r="B62" t="inlineStr">
        <is>
          <t>monitor_20260609_131444</t>
        </is>
      </c>
      <c r="C62" t="inlineStr">
        <is>
          <t>XOM APA</t>
        </is>
      </c>
      <c r="D62" t="n">
        <v>0</v>
      </c>
      <c r="E62" t="inlineStr">
        <is>
          <t>MONITOR:HOLD</t>
        </is>
      </c>
      <c r="F62" t="n">
        <v>87010.85000000001</v>
      </c>
      <c r="G62" t="n">
        <v>13083.54</v>
      </c>
      <c r="H62" t="n">
        <v>369.01</v>
      </c>
      <c r="I62" t="n">
        <v>2</v>
      </c>
      <c r="J62" t="inlineStr">
        <is>
          <t>agent_results/position_monitor/position_monitor_20260609_131444.md</t>
        </is>
      </c>
    </row>
    <row r="63">
      <c r="A63" t="inlineStr">
        <is>
          <t>2026-06-09T13:21:40+00:00</t>
        </is>
      </c>
      <c r="B63" t="inlineStr">
        <is>
          <t>monitor_20260609_132140</t>
        </is>
      </c>
      <c r="C63" t="inlineStr">
        <is>
          <t>XOM APA</t>
        </is>
      </c>
      <c r="D63" t="n">
        <v>0</v>
      </c>
      <c r="E63" t="inlineStr">
        <is>
          <t>MONITOR:HOLD</t>
        </is>
      </c>
      <c r="F63" t="n">
        <v>87010.85000000001</v>
      </c>
      <c r="G63" t="n">
        <v>13083.54</v>
      </c>
      <c r="H63" t="n">
        <v>369.01</v>
      </c>
      <c r="I63" t="n">
        <v>2</v>
      </c>
      <c r="J63" t="inlineStr">
        <is>
          <t>agent_results/position_monitor/position_monitor_20260609_132140.md</t>
        </is>
      </c>
    </row>
    <row r="64">
      <c r="A64" t="inlineStr">
        <is>
          <t>2026-06-09T13:28:47+00:00</t>
        </is>
      </c>
      <c r="B64" t="inlineStr">
        <is>
          <t>monitor_20260609_132847</t>
        </is>
      </c>
      <c r="C64" t="inlineStr">
        <is>
          <t>XOM APA</t>
        </is>
      </c>
      <c r="D64" t="n">
        <v>0</v>
      </c>
      <c r="E64" t="inlineStr">
        <is>
          <t>MONITOR:HOLD</t>
        </is>
      </c>
      <c r="F64" t="n">
        <v>87010.85000000001</v>
      </c>
      <c r="G64" t="n">
        <v>13083.54</v>
      </c>
      <c r="H64" t="n">
        <v>369.01</v>
      </c>
      <c r="I64" t="n">
        <v>2</v>
      </c>
      <c r="J64" t="inlineStr">
        <is>
          <t>agent_results/position_monitor/position_monitor_20260609_132847.md</t>
        </is>
      </c>
    </row>
    <row r="65">
      <c r="A65" t="inlineStr">
        <is>
          <t>2026-06-09T13:35:51+00:00</t>
        </is>
      </c>
      <c r="B65" t="inlineStr">
        <is>
          <t>monitor_20260609_133551</t>
        </is>
      </c>
      <c r="C65" t="inlineStr">
        <is>
          <t>XOM APA</t>
        </is>
      </c>
      <c r="D65" t="n">
        <v>0</v>
      </c>
      <c r="E65" t="inlineStr">
        <is>
          <t>MONITOR:HOLD</t>
        </is>
      </c>
      <c r="F65" t="n">
        <v>87010.85000000001</v>
      </c>
      <c r="G65" t="n">
        <v>12879.4</v>
      </c>
      <c r="H65" t="n">
        <v>164.87</v>
      </c>
      <c r="I65" t="n">
        <v>2</v>
      </c>
      <c r="J65" t="inlineStr">
        <is>
          <t>agent_results/position_monitor/position_monitor_20260609_133551.md</t>
        </is>
      </c>
    </row>
    <row r="66">
      <c r="A66" t="inlineStr">
        <is>
          <t>2026-06-09T13:42:45+00:00</t>
        </is>
      </c>
      <c r="B66" t="inlineStr">
        <is>
          <t>monitor_20260609_134245</t>
        </is>
      </c>
      <c r="C66" t="inlineStr">
        <is>
          <t>APA</t>
        </is>
      </c>
      <c r="D66" t="n">
        <v>0</v>
      </c>
      <c r="E66" t="inlineStr">
        <is>
          <t>XOM:EXIT_STOP</t>
        </is>
      </c>
      <c r="F66" t="n">
        <v>90009.25</v>
      </c>
      <c r="G66" t="n">
        <v>9868.32</v>
      </c>
      <c r="H66" t="n">
        <v>152.19</v>
      </c>
      <c r="I66" t="n">
        <v>1</v>
      </c>
      <c r="J66" t="inlineStr">
        <is>
          <t>agent_results/position_monitor/position_monitor_20260609_134245.md</t>
        </is>
      </c>
    </row>
    <row r="67">
      <c r="A67" t="inlineStr">
        <is>
          <t>2026-06-09T13:49:41+00:00</t>
        </is>
      </c>
      <c r="B67" t="inlineStr">
        <is>
          <t>monitor_20260609_134941</t>
        </is>
      </c>
      <c r="C67" t="inlineStr">
        <is>
          <t>APA</t>
        </is>
      </c>
      <c r="D67" t="n">
        <v>0</v>
      </c>
      <c r="E67" t="inlineStr">
        <is>
          <t>MONITOR:HOLD</t>
        </is>
      </c>
      <c r="F67" t="n">
        <v>90009.25</v>
      </c>
      <c r="G67" t="n">
        <v>9796.23</v>
      </c>
      <c r="H67" t="n">
        <v>80.09999999999999</v>
      </c>
      <c r="I67" t="n">
        <v>1</v>
      </c>
      <c r="J67" t="inlineStr">
        <is>
          <t>agent_results/position_monitor/position_monitor_20260609_134941.md</t>
        </is>
      </c>
    </row>
    <row r="68">
      <c r="A68" t="inlineStr">
        <is>
          <t>2026-06-09T13:56:46+00:00</t>
        </is>
      </c>
      <c r="B68" t="inlineStr">
        <is>
          <t>monitor_20260609_135646</t>
        </is>
      </c>
      <c r="C68" t="inlineStr">
        <is>
          <t>APA</t>
        </is>
      </c>
      <c r="D68" t="n">
        <v>0</v>
      </c>
      <c r="E68" t="inlineStr">
        <is>
          <t>MONITOR:HOLD</t>
        </is>
      </c>
      <c r="F68" t="n">
        <v>90009.25</v>
      </c>
      <c r="G68" t="n">
        <v>9798.9</v>
      </c>
      <c r="H68" t="n">
        <v>82.77</v>
      </c>
      <c r="I68" t="n">
        <v>1</v>
      </c>
      <c r="J68" t="inlineStr">
        <is>
          <t>agent_results/position_monitor/position_monitor_20260609_135646.md</t>
        </is>
      </c>
    </row>
    <row r="69">
      <c r="A69" t="inlineStr">
        <is>
          <t>2026-06-09T14:00:56+00:00</t>
        </is>
      </c>
      <c r="B69" t="inlineStr">
        <is>
          <t>monitor_20260609_140056</t>
        </is>
      </c>
      <c r="C69" t="inlineStr">
        <is>
          <t>APA</t>
        </is>
      </c>
      <c r="D69" t="n">
        <v>0</v>
      </c>
      <c r="E69" t="inlineStr">
        <is>
          <t>MONITOR:HOLD</t>
        </is>
      </c>
      <c r="F69" t="n">
        <v>90009.25</v>
      </c>
      <c r="G69" t="n">
        <v>9788.219999999999</v>
      </c>
      <c r="H69" t="n">
        <v>72.09</v>
      </c>
      <c r="I69" t="n">
        <v>1</v>
      </c>
      <c r="J69" t="inlineStr">
        <is>
          <t>agent_results/position_monitor/position_monitor_20260609_140056.md</t>
        </is>
      </c>
    </row>
    <row r="70">
      <c r="A70" t="inlineStr">
        <is>
          <t>2026-06-09T14:07:47+00:00</t>
        </is>
      </c>
      <c r="B70" t="inlineStr">
        <is>
          <t>monitor_20260609_140747</t>
        </is>
      </c>
      <c r="C70" t="inlineStr">
        <is>
          <t>APA</t>
        </is>
      </c>
      <c r="D70" t="n">
        <v>0</v>
      </c>
      <c r="E70" t="inlineStr">
        <is>
          <t>MONITOR:HOLD</t>
        </is>
      </c>
      <c r="F70" t="n">
        <v>90009.25</v>
      </c>
      <c r="G70" t="n">
        <v>9777.540000000001</v>
      </c>
      <c r="H70" t="n">
        <v>61.41</v>
      </c>
      <c r="I70" t="n">
        <v>1</v>
      </c>
      <c r="J70" t="inlineStr">
        <is>
          <t>agent_results/position_monitor/position_monitor_20260609_140747.md</t>
        </is>
      </c>
    </row>
    <row r="71">
      <c r="A71" t="inlineStr">
        <is>
          <t>2026-06-09T14:14:44+00:00</t>
        </is>
      </c>
      <c r="B71" t="inlineStr">
        <is>
          <t>monitor_20260609_141444</t>
        </is>
      </c>
      <c r="C71" t="inlineStr">
        <is>
          <t>APA</t>
        </is>
      </c>
      <c r="D71" t="n">
        <v>0</v>
      </c>
      <c r="E71" t="inlineStr">
        <is>
          <t>MONITOR:HOLD</t>
        </is>
      </c>
      <c r="F71" t="n">
        <v>90009.25</v>
      </c>
      <c r="G71" t="n">
        <v>9729.48</v>
      </c>
      <c r="H71" t="n">
        <v>13.35</v>
      </c>
      <c r="I71" t="n">
        <v>1</v>
      </c>
      <c r="J71" t="inlineStr">
        <is>
          <t>agent_results/position_monitor/position_monitor_20260609_141444.md</t>
        </is>
      </c>
    </row>
    <row r="72">
      <c r="A72" t="inlineStr">
        <is>
          <t>2026-06-09T14:21:45+00:00</t>
        </is>
      </c>
      <c r="B72" t="inlineStr">
        <is>
          <t>monitor_20260609_142145</t>
        </is>
      </c>
      <c r="C72" t="inlineStr">
        <is>
          <t>APA</t>
        </is>
      </c>
      <c r="D72" t="n">
        <v>0</v>
      </c>
      <c r="E72" t="inlineStr">
        <is>
          <t>APA:EXIT_STOP</t>
        </is>
      </c>
      <c r="F72" t="n">
        <v>99725.38</v>
      </c>
      <c r="G72" t="n">
        <v>0</v>
      </c>
      <c r="H72" t="n">
        <v>0</v>
      </c>
      <c r="I72" t="n">
        <v>0</v>
      </c>
      <c r="J72" t="inlineStr">
        <is>
          <t>agent_results/position_monitor/position_monitor_20260609_142145.md</t>
        </is>
      </c>
    </row>
    <row r="73">
      <c r="A73" t="inlineStr">
        <is>
          <t>2026-06-09T14:28:48+00:00</t>
        </is>
      </c>
      <c r="B73" t="inlineStr">
        <is>
          <t>monitor_20260609_142848</t>
        </is>
      </c>
      <c r="D73" t="n">
        <v>0</v>
      </c>
      <c r="E73" t="inlineStr">
        <is>
          <t>MONITOR:HOLD</t>
        </is>
      </c>
      <c r="F73" t="n">
        <v>99725.38</v>
      </c>
      <c r="G73" t="n">
        <v>0</v>
      </c>
      <c r="H73" t="n">
        <v>0</v>
      </c>
      <c r="I73" t="n">
        <v>0</v>
      </c>
      <c r="J73" t="inlineStr">
        <is>
          <t>agent_results/position_monitor/position_monitor_20260609_142848.md</t>
        </is>
      </c>
    </row>
    <row r="74">
      <c r="A74" t="inlineStr">
        <is>
          <t>2026-06-09T14:35:51+00:00</t>
        </is>
      </c>
      <c r="B74" t="inlineStr">
        <is>
          <t>monitor_20260609_143551</t>
        </is>
      </c>
      <c r="D74" t="n">
        <v>0</v>
      </c>
      <c r="E74" t="inlineStr">
        <is>
          <t>MONITOR:HOLD</t>
        </is>
      </c>
      <c r="F74" t="n">
        <v>99725.38</v>
      </c>
      <c r="G74" t="n">
        <v>0</v>
      </c>
      <c r="H74" t="n">
        <v>0</v>
      </c>
      <c r="I74" t="n">
        <v>0</v>
      </c>
      <c r="J74" t="inlineStr">
        <is>
          <t>agent_results/position_monitor/position_monitor_20260609_143551.md</t>
        </is>
      </c>
    </row>
    <row r="75">
      <c r="A75" t="inlineStr">
        <is>
          <t>2026-06-09T14:42:45+00:00</t>
        </is>
      </c>
      <c r="B75" t="inlineStr">
        <is>
          <t>monitor_20260609_144245</t>
        </is>
      </c>
      <c r="D75" t="n">
        <v>0</v>
      </c>
      <c r="E75" t="inlineStr">
        <is>
          <t>MONITOR:HOLD</t>
        </is>
      </c>
      <c r="F75" t="n">
        <v>99725.38</v>
      </c>
      <c r="G75" t="n">
        <v>0</v>
      </c>
      <c r="H75" t="n">
        <v>0</v>
      </c>
      <c r="I75" t="n">
        <v>0</v>
      </c>
      <c r="J75" t="inlineStr">
        <is>
          <t>agent_results/position_monitor/position_monitor_20260609_144245.md</t>
        </is>
      </c>
    </row>
    <row r="76">
      <c r="A76" t="inlineStr">
        <is>
          <t>2026-06-09T14:57:00+00:00</t>
        </is>
      </c>
      <c r="B76" t="inlineStr">
        <is>
          <t>monitor_20260609_145700</t>
        </is>
      </c>
      <c r="D76" t="n">
        <v>0</v>
      </c>
      <c r="E76" t="inlineStr">
        <is>
          <t>MONITOR:HOLD</t>
        </is>
      </c>
      <c r="F76" t="n">
        <v>99725.38</v>
      </c>
      <c r="G76" t="n">
        <v>0</v>
      </c>
      <c r="H76" t="n">
        <v>0</v>
      </c>
      <c r="I76" t="n">
        <v>0</v>
      </c>
      <c r="J76" t="inlineStr">
        <is>
          <t>agent_results/position_monitor/position_monitor_20260609_145700.md</t>
        </is>
      </c>
    </row>
    <row r="77">
      <c r="A77" t="inlineStr">
        <is>
          <t>2026-06-09T15:09:10+00:00</t>
        </is>
      </c>
      <c r="B77" t="inlineStr">
        <is>
          <t>monitor_20260609_150910</t>
        </is>
      </c>
      <c r="D77" t="n">
        <v>0</v>
      </c>
      <c r="E77" t="inlineStr">
        <is>
          <t>MONITOR:HOLD</t>
        </is>
      </c>
      <c r="F77" t="n">
        <v>99725.38</v>
      </c>
      <c r="G77" t="n">
        <v>0</v>
      </c>
      <c r="H77" t="n">
        <v>0</v>
      </c>
      <c r="I77" t="n">
        <v>0</v>
      </c>
      <c r="J77" t="inlineStr">
        <is>
          <t>agent_results/position_monitor/position_monitor_20260609_150910.md</t>
        </is>
      </c>
    </row>
    <row r="78">
      <c r="A78" t="inlineStr">
        <is>
          <t>2026-06-09T15:14:57+00:00</t>
        </is>
      </c>
      <c r="B78" t="inlineStr">
        <is>
          <t>monitor_20260609_151457</t>
        </is>
      </c>
      <c r="D78" t="n">
        <v>0</v>
      </c>
      <c r="E78" t="inlineStr">
        <is>
          <t>MONITOR:HOLD</t>
        </is>
      </c>
      <c r="F78" t="n">
        <v>99725.38</v>
      </c>
      <c r="G78" t="n">
        <v>0</v>
      </c>
      <c r="H78" t="n">
        <v>0</v>
      </c>
      <c r="I78" t="n">
        <v>0</v>
      </c>
      <c r="J78" t="inlineStr">
        <is>
          <t>agent_results/position_monitor/position_monitor_20260609_151457.md</t>
        </is>
      </c>
    </row>
    <row r="79">
      <c r="A79" t="inlineStr">
        <is>
          <t>2026-06-09T15:20:58+00:00</t>
        </is>
      </c>
      <c r="B79" t="inlineStr">
        <is>
          <t>monitor_20260609_152058</t>
        </is>
      </c>
      <c r="D79" t="n">
        <v>0</v>
      </c>
      <c r="E79" t="inlineStr">
        <is>
          <t>MONITOR:HOLD</t>
        </is>
      </c>
      <c r="F79" t="n">
        <v>99725.38</v>
      </c>
      <c r="G79" t="n">
        <v>0</v>
      </c>
      <c r="H79" t="n">
        <v>0</v>
      </c>
      <c r="I79" t="n">
        <v>0</v>
      </c>
      <c r="J79" t="inlineStr">
        <is>
          <t>agent_results/position_monitor/position_monitor_20260609_152058.md</t>
        </is>
      </c>
    </row>
    <row r="80">
      <c r="A80" t="inlineStr">
        <is>
          <t>2026-06-09T15:39:33+00:00</t>
        </is>
      </c>
      <c r="B80" t="inlineStr">
        <is>
          <t>monitor_20260609_153933</t>
        </is>
      </c>
      <c r="D80" t="n">
        <v>0</v>
      </c>
      <c r="E80" t="inlineStr">
        <is>
          <t>MONITOR:HOLD</t>
        </is>
      </c>
      <c r="F80" t="n">
        <v>99725.38</v>
      </c>
      <c r="G80" t="n">
        <v>0</v>
      </c>
      <c r="H80" t="n">
        <v>0</v>
      </c>
      <c r="I80" t="n">
        <v>0</v>
      </c>
      <c r="J80" t="inlineStr">
        <is>
          <t>agent_results/position_monitor/position_monitor_20260609_153933.md</t>
        </is>
      </c>
    </row>
    <row r="81">
      <c r="A81" t="inlineStr">
        <is>
          <t>2026-06-09T15:40:53+00:00</t>
        </is>
      </c>
      <c r="B81" t="inlineStr">
        <is>
          <t>monitor_20260609_154053</t>
        </is>
      </c>
      <c r="D81" t="n">
        <v>0</v>
      </c>
      <c r="E81" t="inlineStr">
        <is>
          <t>MONITOR:HOLD</t>
        </is>
      </c>
      <c r="F81" t="n">
        <v>99725.38</v>
      </c>
      <c r="G81" t="n">
        <v>0</v>
      </c>
      <c r="H81" t="n">
        <v>0</v>
      </c>
      <c r="I81" t="n">
        <v>0</v>
      </c>
      <c r="J81" t="inlineStr">
        <is>
          <t>agent_results/position_monitor/position_monitor_20260609_154053.md</t>
        </is>
      </c>
    </row>
    <row r="82">
      <c r="A82" t="inlineStr">
        <is>
          <t>2026-06-09T15:54:53+00:00</t>
        </is>
      </c>
      <c r="B82" t="inlineStr">
        <is>
          <t>monitor_20260609_155453</t>
        </is>
      </c>
      <c r="D82" t="n">
        <v>0</v>
      </c>
      <c r="E82" t="inlineStr">
        <is>
          <t>MONITOR:HOLD</t>
        </is>
      </c>
      <c r="F82" t="n">
        <v>99725.38</v>
      </c>
      <c r="G82" t="n">
        <v>0</v>
      </c>
      <c r="H82" t="n">
        <v>0</v>
      </c>
      <c r="I82" t="n">
        <v>0</v>
      </c>
      <c r="J82" t="inlineStr">
        <is>
          <t>agent_results/position_monitor/position_monitor_20260609_155453.md</t>
        </is>
      </c>
    </row>
    <row r="83">
      <c r="A83" t="inlineStr">
        <is>
          <t>2026-06-09T16:12:54+00:00</t>
        </is>
      </c>
      <c r="B83" t="inlineStr">
        <is>
          <t>monitor_20260609_161254</t>
        </is>
      </c>
      <c r="D83" t="n">
        <v>0</v>
      </c>
      <c r="E83" t="inlineStr">
        <is>
          <t>MONITOR:HOLD</t>
        </is>
      </c>
      <c r="F83" t="n">
        <v>99725.38</v>
      </c>
      <c r="G83" t="n">
        <v>0</v>
      </c>
      <c r="H83" t="n">
        <v>0</v>
      </c>
      <c r="I83" t="n">
        <v>0</v>
      </c>
      <c r="J83" t="inlineStr">
        <is>
          <t>agent_results/position_monitor/position_monitor_20260609_161254.md</t>
        </is>
      </c>
    </row>
    <row r="84">
      <c r="A84" t="inlineStr">
        <is>
          <t>2026-06-09T16:22:52+00:00</t>
        </is>
      </c>
      <c r="B84" t="inlineStr">
        <is>
          <t>monitor_20260609_162252</t>
        </is>
      </c>
      <c r="D84" t="n">
        <v>0</v>
      </c>
      <c r="E84" t="inlineStr">
        <is>
          <t>MONITOR:HOLD</t>
        </is>
      </c>
      <c r="F84" t="n">
        <v>99725.38</v>
      </c>
      <c r="G84" t="n">
        <v>0</v>
      </c>
      <c r="H84" t="n">
        <v>0</v>
      </c>
      <c r="I84" t="n">
        <v>0</v>
      </c>
      <c r="J84" t="inlineStr">
        <is>
          <t>agent_results/position_monitor/position_monitor_20260609_162252.md</t>
        </is>
      </c>
    </row>
    <row r="85">
      <c r="A85" t="inlineStr">
        <is>
          <t>2026-06-09T16:39:41+00:00</t>
        </is>
      </c>
      <c r="B85" t="inlineStr">
        <is>
          <t>monitor_20260609_163941</t>
        </is>
      </c>
      <c r="D85" t="n">
        <v>0</v>
      </c>
      <c r="E85" t="inlineStr">
        <is>
          <t>MONITOR:HOLD</t>
        </is>
      </c>
      <c r="F85" t="n">
        <v>99725.38</v>
      </c>
      <c r="G85" t="n">
        <v>0</v>
      </c>
      <c r="H85" t="n">
        <v>0</v>
      </c>
      <c r="I85" t="n">
        <v>0</v>
      </c>
      <c r="J85" t="inlineStr">
        <is>
          <t>agent_results/position_monitor/position_monitor_20260609_163941.md</t>
        </is>
      </c>
    </row>
    <row r="86">
      <c r="A86" t="inlineStr">
        <is>
          <t>2026-06-09T16:40:52+00:00</t>
        </is>
      </c>
      <c r="B86" t="inlineStr">
        <is>
          <t>monitor_20260609_164052</t>
        </is>
      </c>
      <c r="D86" t="n">
        <v>0</v>
      </c>
      <c r="E86" t="inlineStr">
        <is>
          <t>MONITOR:HOLD</t>
        </is>
      </c>
      <c r="F86" t="n">
        <v>99725.38</v>
      </c>
      <c r="G86" t="n">
        <v>0</v>
      </c>
      <c r="H86" t="n">
        <v>0</v>
      </c>
      <c r="I86" t="n">
        <v>0</v>
      </c>
      <c r="J86" t="inlineStr">
        <is>
          <t>agent_results/position_monitor/position_monitor_20260609_164052.md</t>
        </is>
      </c>
    </row>
    <row r="87">
      <c r="A87" t="inlineStr">
        <is>
          <t>2026-06-09T16:59:50</t>
        </is>
      </c>
      <c r="B87" t="inlineStr">
        <is>
          <t>20260609_164637</t>
        </is>
      </c>
      <c r="C87" t="inlineStr">
        <is>
          <t>ORCL OXY TXN PH V DLR AMD LNG UNH AMAT LRCX KLAC MS GS ASML URI C PANW CRWD LLY BAC ESS JPM SPG TSM CAT MRK PRU ABBV AAPL UNP SBAC DLTR GE BRK-B WFC EMR JNJ NVDA CB CRM TMO HAL QCOM INTC</t>
        </is>
      </c>
      <c r="D87" t="n">
        <v>8</v>
      </c>
      <c r="E87" t="inlineStr">
        <is>
          <t>ORCL:WATCH, OXY:SKIP, TXN:WATCH, PH:WATCH, V:WATCH, DLR:WATCH, AMD:WATCH, LNG:SKIP, UNH:SKIP, AMAT:SKIP, LRCX:SKIP, KLAC:SKIP, MS:SKIP, GS:SKIP, ASML:SKIP, URI:SKIP, C:SKIP, PANW:SKIP, CRWD:SKIP, LLY:SKIP, BAC:SKIP, ESS:SKIP, JPM:SKIP, SPG:SKIP, TSM:SKIP, CAT:SKIP, MRK:SKIP, PRU:SKIP, ABBV:SKIP, AAPL:SKIP, UNP:SKIP, SBAC:SKIP, DLTR:SKIP, GE:SKIP, BRK-B:SKIP, WFC:SKIP, EMR:SKIP, JNJ:SKIP, NVDA:SKIP, CB:SKIP, CRM:SKIP, TMO:SKIP, HAL:SKIP, QCOM:SKIP, INTC:SKIP</t>
        </is>
      </c>
      <c r="F87" t="n">
        <v>99725.38</v>
      </c>
      <c r="G87" t="n">
        <v>0</v>
      </c>
      <c r="H87" t="n">
        <v>0</v>
      </c>
      <c r="I87" t="n">
        <v>0</v>
      </c>
      <c r="J87" t="inlineStr">
        <is>
          <t>agent_results/summaries/market_lens_agent_20260609_164637.md</t>
        </is>
      </c>
      <c r="K87" t="inlineStr">
        <is>
          <t>agent_results/screenshots/market_lens_agent_20260609_164637.png</t>
        </is>
      </c>
      <c r="L87" t="inlineStr">
        <is>
          <t>agent_results/decisions/market_lens_agent_20260609_164637.jsonl</t>
        </is>
      </c>
    </row>
    <row r="88">
      <c r="A88" t="inlineStr">
        <is>
          <t>2026-06-09T17:13:48+00:00</t>
        </is>
      </c>
      <c r="B88" t="inlineStr">
        <is>
          <t>monitor_20260609_171348</t>
        </is>
      </c>
      <c r="D88" t="n">
        <v>0</v>
      </c>
      <c r="E88" t="inlineStr">
        <is>
          <t>MONITOR:HOLD</t>
        </is>
      </c>
      <c r="F88" t="n">
        <v>99725.38</v>
      </c>
      <c r="G88" t="n">
        <v>0</v>
      </c>
      <c r="H88" t="n">
        <v>0</v>
      </c>
      <c r="I88" t="n">
        <v>0</v>
      </c>
      <c r="J88" t="inlineStr">
        <is>
          <t>agent_results/position_monitor/position_monitor_20260609_171348.md</t>
        </is>
      </c>
    </row>
    <row r="89">
      <c r="A89" t="inlineStr">
        <is>
          <t>2026-06-09T17:23:17+00:00</t>
        </is>
      </c>
      <c r="B89" t="inlineStr">
        <is>
          <t>monitor_20260609_172317</t>
        </is>
      </c>
      <c r="D89" t="n">
        <v>0</v>
      </c>
      <c r="E89" t="inlineStr">
        <is>
          <t>MONITOR:HOLD</t>
        </is>
      </c>
      <c r="F89" t="n">
        <v>99725.38</v>
      </c>
      <c r="G89" t="n">
        <v>0</v>
      </c>
      <c r="H89" t="n">
        <v>0</v>
      </c>
      <c r="I89" t="n">
        <v>0</v>
      </c>
      <c r="J89" t="inlineStr">
        <is>
          <t>agent_results/position_monitor/position_monitor_20260609_172317.md</t>
        </is>
      </c>
    </row>
    <row r="90">
      <c r="A90" t="inlineStr">
        <is>
          <t>2026-06-09T17:37:36</t>
        </is>
      </c>
      <c r="B90" t="inlineStr">
        <is>
          <t>20260609_173202</t>
        </is>
      </c>
      <c r="C90" t="inlineStr">
        <is>
          <t>DE HON ORCL CASY V DHR DLR NOW PFE GILD UPS ETN GD ANET AMGN AXP AVGO MDT BLK MSFT MA BA SCHW CPB VTR AIG SYK GMED OHI ABT TDY RTX LMT ISRG ICE ACI TXN AMD PH</t>
        </is>
      </c>
      <c r="D90" t="n">
        <v>10</v>
      </c>
      <c r="E90" t="inlineStr">
        <is>
          <t>DE:WATCH, HON:BUY_SIMULATED, ORCL:WATCH, CASY:SKIP, V:WATCH, DHR:WATCH, DLR:WATCH, NOW:WATCH, PFE:WATCH, GILD:WATCH, UPS:SKIP, ETN:SKIP, GD:SKIP, ANET:SKIP, AMGN:SKIP, AXP:SKIP, AVGO:SKIP, MDT:SKIP, BLK:SKIP, MSFT:SKIP, MA:SKIP, BA:SKIP, SCHW:SKIP, CPB:SKIP, VTR:SKIP, AIG:SKIP, SYK:SKIP, GMED:SKIP, OHI:SKIP, ABT:SKIP, TDY:SKIP, RTX:SKIP, LMT:SKIP, ISRG:SKIP, ICE:SKIP, ACI:SKIP, TXN:SKIP, AMD:SKIP, PH:SKIP</t>
        </is>
      </c>
      <c r="F90" t="n">
        <v>93936.03999999999</v>
      </c>
      <c r="G90" t="n">
        <v>5789.34</v>
      </c>
      <c r="H90" t="n">
        <v>104.49</v>
      </c>
      <c r="I90" t="n">
        <v>1</v>
      </c>
      <c r="J90" t="inlineStr">
        <is>
          <t>agent_results/summaries/market_lens_agent_20260609_173202.md</t>
        </is>
      </c>
      <c r="K90" t="inlineStr">
        <is>
          <t>agent_results/screenshots/market_lens_agent_20260609_173202.png</t>
        </is>
      </c>
      <c r="L90" t="inlineStr">
        <is>
          <t>agent_results/decisions/market_lens_agent_20260609_173202.jsonl</t>
        </is>
      </c>
    </row>
    <row r="91">
      <c r="A91" t="inlineStr">
        <is>
          <t>2026-06-09T17:40:57+00:00</t>
        </is>
      </c>
      <c r="B91" t="inlineStr">
        <is>
          <t>monitor_20260609_174057</t>
        </is>
      </c>
      <c r="C91" t="inlineStr">
        <is>
          <t>HON</t>
        </is>
      </c>
      <c r="D91" t="n">
        <v>0</v>
      </c>
      <c r="E91" t="inlineStr">
        <is>
          <t>MONITOR:HOLD</t>
        </is>
      </c>
      <c r="F91" t="n">
        <v>93936.03999999999</v>
      </c>
      <c r="G91" t="n">
        <v>5807.57</v>
      </c>
      <c r="H91" t="n">
        <v>122.72</v>
      </c>
      <c r="I91" t="n">
        <v>1</v>
      </c>
      <c r="J91" t="inlineStr">
        <is>
          <t>agent_results/position_monitor/position_monitor_20260609_174057.md</t>
        </is>
      </c>
    </row>
    <row r="92">
      <c r="A92" t="inlineStr">
        <is>
          <t>2026-06-09T17:53:45+00:00</t>
        </is>
      </c>
      <c r="B92" t="inlineStr">
        <is>
          <t>monitor_20260609_175345</t>
        </is>
      </c>
      <c r="C92" t="inlineStr">
        <is>
          <t>HON</t>
        </is>
      </c>
      <c r="D92" t="n">
        <v>0</v>
      </c>
      <c r="E92" t="inlineStr">
        <is>
          <t>MONITOR:HOLD</t>
        </is>
      </c>
      <c r="F92" t="n">
        <v>93936.03999999999</v>
      </c>
      <c r="G92" t="n">
        <v>5804.05</v>
      </c>
      <c r="H92" t="n">
        <v>119.2</v>
      </c>
      <c r="I92" t="n">
        <v>1</v>
      </c>
      <c r="J92" t="inlineStr">
        <is>
          <t>agent_results/position_monitor/position_monitor_20260609_175345.md</t>
        </is>
      </c>
    </row>
    <row r="93">
      <c r="A93" t="inlineStr">
        <is>
          <t>2026-06-09T18:07:54+00:00</t>
        </is>
      </c>
      <c r="B93" t="inlineStr">
        <is>
          <t>monitor_20260609_180754</t>
        </is>
      </c>
      <c r="C93" t="inlineStr">
        <is>
          <t>HON</t>
        </is>
      </c>
      <c r="D93" t="n">
        <v>0</v>
      </c>
      <c r="E93" t="inlineStr">
        <is>
          <t>MONITOR:HOLD</t>
        </is>
      </c>
      <c r="F93" t="n">
        <v>93936.03999999999</v>
      </c>
      <c r="G93" t="n">
        <v>5791.9</v>
      </c>
      <c r="H93" t="n">
        <v>107.05</v>
      </c>
      <c r="I93" t="n">
        <v>1</v>
      </c>
      <c r="J93" t="inlineStr">
        <is>
          <t>agent_results/position_monitor/position_monitor_20260609_180754.md</t>
        </is>
      </c>
    </row>
    <row r="94">
      <c r="A94" t="inlineStr">
        <is>
          <t>2026-06-09T18:14:20+00:00</t>
        </is>
      </c>
      <c r="B94" t="inlineStr">
        <is>
          <t>monitor_20260609_181420</t>
        </is>
      </c>
      <c r="C94" t="inlineStr">
        <is>
          <t>HON</t>
        </is>
      </c>
      <c r="D94" t="n">
        <v>0</v>
      </c>
      <c r="E94" t="inlineStr">
        <is>
          <t>MONITOR:HOLD</t>
        </is>
      </c>
      <c r="F94" t="n">
        <v>93936.03999999999</v>
      </c>
      <c r="G94" t="n">
        <v>5796.9</v>
      </c>
      <c r="H94" t="n">
        <v>112.05</v>
      </c>
      <c r="I94" t="n">
        <v>1</v>
      </c>
      <c r="J94" t="inlineStr">
        <is>
          <t>agent_results/position_monitor/position_monitor_20260609_181420.md</t>
        </is>
      </c>
    </row>
    <row r="95">
      <c r="A95" t="inlineStr">
        <is>
          <t>2026-06-09T18:19:46</t>
        </is>
      </c>
      <c r="B95" t="inlineStr">
        <is>
          <t>20260609_181706</t>
        </is>
      </c>
      <c r="C95" t="inlineStr">
        <is>
          <t>HON ORCL ADBE V DHR NOW DLR GILD MKC PFE NOC BSX PNR TSN KR TAP RGLD DE</t>
        </is>
      </c>
      <c r="D95" t="n">
        <v>10</v>
      </c>
      <c r="E95" t="inlineStr">
        <is>
          <t>HON:HOLD, ORCL:WATCH, ADBE:SKIP, V:WATCH, DHR:WATCH, NOW:WATCH, DLR:WATCH, GILD:WATCH, MKC:WATCH, PFE:WATCH, NOC:SKIP, BSX:SKIP, PNR:SKIP, TSN:SKIP, KR:SKIP, TAP:SKIP, RGLD:SKIP, DE:SKIP</t>
        </is>
      </c>
      <c r="F95" t="n">
        <v>93936.03999999999</v>
      </c>
      <c r="G95" t="n">
        <v>5791.5</v>
      </c>
      <c r="H95" t="n">
        <v>106.65</v>
      </c>
      <c r="I95" t="n">
        <v>1</v>
      </c>
      <c r="J95" t="inlineStr">
        <is>
          <t>agent_results/summaries/market_lens_agent_20260609_181706.md</t>
        </is>
      </c>
      <c r="K95" t="inlineStr">
        <is>
          <t>agent_results/screenshots/market_lens_agent_20260609_181706.png</t>
        </is>
      </c>
      <c r="L95" t="inlineStr">
        <is>
          <t>agent_results/decisions/market_lens_agent_20260609_181706.jsonl</t>
        </is>
      </c>
    </row>
    <row r="96">
      <c r="A96" t="inlineStr">
        <is>
          <t>2026-06-09T18:21:04+00:00</t>
        </is>
      </c>
      <c r="B96" t="inlineStr">
        <is>
          <t>monitor_20260609_182104</t>
        </is>
      </c>
      <c r="C96" t="inlineStr">
        <is>
          <t>HON</t>
        </is>
      </c>
      <c r="D96" t="n">
        <v>0</v>
      </c>
      <c r="E96" t="inlineStr">
        <is>
          <t>MONITOR:HOLD</t>
        </is>
      </c>
      <c r="F96" t="n">
        <v>93936.03999999999</v>
      </c>
      <c r="G96" t="n">
        <v>5796.63</v>
      </c>
      <c r="H96" t="n">
        <v>111.78</v>
      </c>
      <c r="I96" t="n">
        <v>1</v>
      </c>
      <c r="J96" t="inlineStr">
        <is>
          <t>agent_results/position_monitor/position_monitor_20260609_182104.md</t>
        </is>
      </c>
    </row>
    <row r="97">
      <c r="A97" t="inlineStr">
        <is>
          <t>2026-06-09T18:49:40</t>
        </is>
      </c>
      <c r="B97" t="inlineStr">
        <is>
          <t>20260609_184719</t>
        </is>
      </c>
      <c r="C97" t="inlineStr">
        <is>
          <t>HON V ORCL DLR DHR NOW GILD MKC PFE WPC</t>
        </is>
      </c>
      <c r="D97" t="n">
        <v>9</v>
      </c>
      <c r="E97" t="inlineStr">
        <is>
          <t>HON:HOLD, V:WATCH, ORCL:WATCH, DLR:WATCH, DHR:WATCH, NOW:WATCH, GILD:WATCH, MKC:WATCH, PFE:WATCH, WPC:SKIP</t>
        </is>
      </c>
      <c r="F97" t="n">
        <v>93936.03999999999</v>
      </c>
      <c r="G97" t="n">
        <v>5786.91</v>
      </c>
      <c r="H97" t="n">
        <v>102.06</v>
      </c>
      <c r="I97" t="n">
        <v>1</v>
      </c>
      <c r="J97" t="inlineStr">
        <is>
          <t>agent_results/summaries/market_lens_agent_20260609_184719.md</t>
        </is>
      </c>
      <c r="K97" t="inlineStr">
        <is>
          <t>agent_results/screenshots/market_lens_agent_20260609_184719.png</t>
        </is>
      </c>
      <c r="L97" t="inlineStr">
        <is>
          <t>agent_results/decisions/market_lens_agent_20260609_184719.jsonl</t>
        </is>
      </c>
    </row>
    <row r="98">
      <c r="A98" t="inlineStr">
        <is>
          <t>2026-06-09T18:50:50+00:00</t>
        </is>
      </c>
      <c r="B98" t="inlineStr">
        <is>
          <t>monitor_20260609_185050</t>
        </is>
      </c>
      <c r="C98" t="inlineStr">
        <is>
          <t>HON</t>
        </is>
      </c>
      <c r="D98" t="n">
        <v>0</v>
      </c>
      <c r="E98" t="inlineStr">
        <is>
          <t>MONITOR:HOLD</t>
        </is>
      </c>
      <c r="F98" t="n">
        <v>93936.03999999999</v>
      </c>
      <c r="G98" t="n">
        <v>5789.07</v>
      </c>
      <c r="H98" t="n">
        <v>104.22</v>
      </c>
      <c r="I98" t="n">
        <v>1</v>
      </c>
      <c r="J98" t="inlineStr">
        <is>
          <t>agent_results/position_monitor/position_monitor_20260609_185050.md</t>
        </is>
      </c>
    </row>
    <row r="99">
      <c r="A99" t="inlineStr">
        <is>
          <t>2026-06-09T19:03:08+00:00</t>
        </is>
      </c>
      <c r="B99" t="inlineStr">
        <is>
          <t>monitor_20260609_190308</t>
        </is>
      </c>
      <c r="C99" t="inlineStr">
        <is>
          <t>HON</t>
        </is>
      </c>
      <c r="D99" t="n">
        <v>0</v>
      </c>
      <c r="E99" t="inlineStr">
        <is>
          <t>MONITOR:HOLD</t>
        </is>
      </c>
      <c r="F99" t="n">
        <v>93936.03999999999</v>
      </c>
      <c r="G99" t="n">
        <v>5793.66</v>
      </c>
      <c r="H99" t="n">
        <v>108.81</v>
      </c>
      <c r="I99" t="n">
        <v>1</v>
      </c>
      <c r="J99" t="inlineStr">
        <is>
          <t>agent_results/position_monitor/position_monitor_20260609_190308.md</t>
        </is>
      </c>
    </row>
    <row r="100">
      <c r="A100" t="inlineStr">
        <is>
          <t>2026-06-09T19:10:50+00:00</t>
        </is>
      </c>
      <c r="B100" t="inlineStr">
        <is>
          <t>monitor_20260609_191050</t>
        </is>
      </c>
      <c r="C100" t="inlineStr">
        <is>
          <t>HON</t>
        </is>
      </c>
      <c r="D100" t="n">
        <v>0</v>
      </c>
      <c r="E100" t="inlineStr">
        <is>
          <t>MONITOR:HOLD</t>
        </is>
      </c>
      <c r="F100" t="n">
        <v>93936.03999999999</v>
      </c>
      <c r="G100" t="n">
        <v>5791.1</v>
      </c>
      <c r="H100" t="n">
        <v>106.25</v>
      </c>
      <c r="I100" t="n">
        <v>1</v>
      </c>
      <c r="J100" t="inlineStr">
        <is>
          <t>agent_results/position_monitor/position_monitor_20260609_191050.md</t>
        </is>
      </c>
    </row>
    <row r="101">
      <c r="A101" t="inlineStr">
        <is>
          <t>2026-06-09T19:19:16</t>
        </is>
      </c>
      <c r="B101" t="inlineStr">
        <is>
          <t>20260609_191617</t>
        </is>
      </c>
      <c r="C101" t="inlineStr">
        <is>
          <t>HON ORCL V DHR NOW DLR GILD MKC PFE</t>
        </is>
      </c>
      <c r="D101" t="n">
        <v>9</v>
      </c>
      <c r="E101" t="inlineStr">
        <is>
          <t>HON:HOLD, ORCL:WATCH, V:WATCH, DHR:WATCH, NOW:WATCH, DLR:WATCH, GILD:WATCH, MKC:WATCH, PFE:WATCH</t>
        </is>
      </c>
      <c r="F101" t="n">
        <v>93936.03999999999</v>
      </c>
      <c r="G101" t="n">
        <v>5783.13</v>
      </c>
      <c r="H101" t="n">
        <v>98.28</v>
      </c>
      <c r="I101" t="n">
        <v>1</v>
      </c>
      <c r="J101" t="inlineStr">
        <is>
          <t>agent_results/summaries/market_lens_agent_20260609_191617.md</t>
        </is>
      </c>
      <c r="K101" t="inlineStr">
        <is>
          <t>agent_results/screenshots/market_lens_agent_20260609_191617.png</t>
        </is>
      </c>
      <c r="L101" t="inlineStr">
        <is>
          <t>agent_results/decisions/market_lens_agent_20260609_191617.jsonl</t>
        </is>
      </c>
    </row>
    <row r="102">
      <c r="A102" t="inlineStr">
        <is>
          <t>2026-06-09T19:20:52+00:00</t>
        </is>
      </c>
      <c r="B102" t="inlineStr">
        <is>
          <t>monitor_20260609_192052</t>
        </is>
      </c>
      <c r="C102" t="inlineStr">
        <is>
          <t>HON</t>
        </is>
      </c>
      <c r="D102" t="n">
        <v>0</v>
      </c>
      <c r="E102" t="inlineStr">
        <is>
          <t>MONITOR:HOLD</t>
        </is>
      </c>
      <c r="F102" t="n">
        <v>93936.03999999999</v>
      </c>
      <c r="G102" t="n">
        <v>5786.1</v>
      </c>
      <c r="H102" t="n">
        <v>101.25</v>
      </c>
      <c r="I102" t="n">
        <v>1</v>
      </c>
      <c r="J102" t="inlineStr">
        <is>
          <t>agent_results/position_monitor/position_monitor_20260609_192052.md</t>
        </is>
      </c>
    </row>
    <row r="103">
      <c r="A103" t="inlineStr">
        <is>
          <t>2026-06-09T19:39:48+00:00</t>
        </is>
      </c>
      <c r="B103" t="inlineStr">
        <is>
          <t>monitor_20260609_193948</t>
        </is>
      </c>
      <c r="C103" t="inlineStr">
        <is>
          <t>HON</t>
        </is>
      </c>
      <c r="D103" t="n">
        <v>0</v>
      </c>
      <c r="E103" t="inlineStr">
        <is>
          <t>MONITOR:HOLD</t>
        </is>
      </c>
      <c r="F103" t="n">
        <v>93936.03999999999</v>
      </c>
      <c r="G103" t="n">
        <v>5788.53</v>
      </c>
      <c r="H103" t="n">
        <v>103.68</v>
      </c>
      <c r="I103" t="n">
        <v>1</v>
      </c>
      <c r="J103" t="inlineStr">
        <is>
          <t>agent_results/position_monitor/position_monitor_20260609_193948.md</t>
        </is>
      </c>
    </row>
    <row r="104">
      <c r="A104" t="inlineStr">
        <is>
          <t>2026-06-09T19:40:47+00:00</t>
        </is>
      </c>
      <c r="B104" t="inlineStr">
        <is>
          <t>monitor_20260609_194047</t>
        </is>
      </c>
      <c r="C104" t="inlineStr">
        <is>
          <t>HON</t>
        </is>
      </c>
      <c r="D104" t="n">
        <v>0</v>
      </c>
      <c r="E104" t="inlineStr">
        <is>
          <t>MONITOR:HOLD</t>
        </is>
      </c>
      <c r="F104" t="n">
        <v>93936.03999999999</v>
      </c>
      <c r="G104" t="n">
        <v>5786.1</v>
      </c>
      <c r="H104" t="n">
        <v>101.25</v>
      </c>
      <c r="I104" t="n">
        <v>1</v>
      </c>
      <c r="J104" t="inlineStr">
        <is>
          <t>agent_results/position_monitor/position_monitor_20260609_194047.md</t>
        </is>
      </c>
    </row>
    <row r="105">
      <c r="A105" t="inlineStr">
        <is>
          <t>2026-06-09T19:48:51</t>
        </is>
      </c>
      <c r="B105" t="inlineStr">
        <is>
          <t>20260609_194647</t>
        </is>
      </c>
      <c r="C105" t="inlineStr">
        <is>
          <t>HON ORCL V PFE DHR DLR NOW GILD MKC</t>
        </is>
      </c>
      <c r="D105" t="n">
        <v>9</v>
      </c>
      <c r="E105" t="inlineStr">
        <is>
          <t>HON:HOLD, ORCL:WATCH, V:WATCH, PFE:WATCH, DHR:WATCH, DLR:WATCH, NOW:WATCH, GILD:WATCH, MKC:WATCH</t>
        </is>
      </c>
      <c r="F105" t="n">
        <v>93936.03999999999</v>
      </c>
      <c r="G105" t="n">
        <v>5795.82</v>
      </c>
      <c r="H105" t="n">
        <v>110.97</v>
      </c>
      <c r="I105" t="n">
        <v>1</v>
      </c>
      <c r="J105" t="inlineStr">
        <is>
          <t>agent_results/summaries/market_lens_agent_20260609_194647.md</t>
        </is>
      </c>
      <c r="K105" t="inlineStr">
        <is>
          <t>agent_results/screenshots/market_lens_agent_20260609_194647.png</t>
        </is>
      </c>
      <c r="L105" t="inlineStr">
        <is>
          <t>agent_results/decisions/market_lens_agent_20260609_194647.jsonl</t>
        </is>
      </c>
    </row>
    <row r="106">
      <c r="A106" t="inlineStr">
        <is>
          <t>2026-06-09T19:50:57+00:00</t>
        </is>
      </c>
      <c r="B106" t="inlineStr">
        <is>
          <t>monitor_20260609_195057</t>
        </is>
      </c>
      <c r="C106" t="inlineStr">
        <is>
          <t>HON</t>
        </is>
      </c>
      <c r="D106" t="n">
        <v>0</v>
      </c>
      <c r="E106" t="inlineStr">
        <is>
          <t>MONITOR:HOLD</t>
        </is>
      </c>
      <c r="F106" t="n">
        <v>93936.03999999999</v>
      </c>
      <c r="G106" t="n">
        <v>5805.27</v>
      </c>
      <c r="H106" t="n">
        <v>120.42</v>
      </c>
      <c r="I106" t="n">
        <v>1</v>
      </c>
      <c r="J106" t="inlineStr">
        <is>
          <t>agent_results/position_monitor/position_monitor_20260609_195057.md</t>
        </is>
      </c>
    </row>
    <row r="107">
      <c r="A107" t="inlineStr">
        <is>
          <t>2026-06-09T20:06:16+00:00</t>
        </is>
      </c>
      <c r="B107" t="inlineStr">
        <is>
          <t>monitor_20260609_200616</t>
        </is>
      </c>
      <c r="C107" t="inlineStr">
        <is>
          <t>HON</t>
        </is>
      </c>
      <c r="D107" t="n">
        <v>0</v>
      </c>
      <c r="E107" t="inlineStr">
        <is>
          <t>MONITOR:HOLD</t>
        </is>
      </c>
      <c r="F107" t="n">
        <v>93936.03999999999</v>
      </c>
      <c r="G107" t="n">
        <v>5805.27</v>
      </c>
      <c r="H107" t="n">
        <v>120.42</v>
      </c>
      <c r="I107" t="n">
        <v>1</v>
      </c>
      <c r="J107" t="inlineStr">
        <is>
          <t>agent_results/position_monitor/position_monitor_20260609_200616.md</t>
        </is>
      </c>
    </row>
    <row r="108">
      <c r="A108" t="inlineStr">
        <is>
          <t>2026-06-09T20:11:56+00:00</t>
        </is>
      </c>
      <c r="B108" t="inlineStr">
        <is>
          <t>monitor_20260609_201156</t>
        </is>
      </c>
      <c r="C108" t="inlineStr">
        <is>
          <t>HON</t>
        </is>
      </c>
      <c r="D108" t="n">
        <v>0</v>
      </c>
      <c r="E108" t="inlineStr">
        <is>
          <t>MONITOR:HOLD</t>
        </is>
      </c>
      <c r="F108" t="n">
        <v>93936.03999999999</v>
      </c>
      <c r="G108" t="n">
        <v>5823.09</v>
      </c>
      <c r="H108" t="n">
        <v>138.24</v>
      </c>
      <c r="I108" t="n">
        <v>1</v>
      </c>
      <c r="J108" t="inlineStr">
        <is>
          <t>agent_results/position_monitor/position_monitor_20260609_201156.md</t>
        </is>
      </c>
    </row>
    <row r="109">
      <c r="A109" t="inlineStr">
        <is>
          <t>2026-06-09T20:19:37</t>
        </is>
      </c>
      <c r="B109" t="inlineStr">
        <is>
          <t>20260609_201631</t>
        </is>
      </c>
      <c r="C109" t="inlineStr">
        <is>
          <t>ORCL HON PFE DHR DLR NOW GILD MKC MU V</t>
        </is>
      </c>
      <c r="D109" t="n">
        <v>8</v>
      </c>
      <c r="E109" t="inlineStr">
        <is>
          <t>ORCL:WATCH, HON:HOLD, PFE:WATCH, DHR:WATCH, DLR:WATCH, NOW:WATCH, GILD:WATCH, MKC:WATCH, MU:SKIP, V:SKIP</t>
        </is>
      </c>
      <c r="F109" t="n">
        <v>93936.03999999999</v>
      </c>
      <c r="G109" t="n">
        <v>5823.9</v>
      </c>
      <c r="H109" t="n">
        <v>139.05</v>
      </c>
      <c r="I109" t="n">
        <v>1</v>
      </c>
      <c r="J109" t="inlineStr">
        <is>
          <t>agent_results/summaries/market_lens_agent_20260609_201631.md</t>
        </is>
      </c>
      <c r="K109" t="inlineStr">
        <is>
          <t>agent_results/screenshots/market_lens_agent_20260609_201631.png</t>
        </is>
      </c>
      <c r="L109" t="inlineStr">
        <is>
          <t>agent_results/decisions/market_lens_agent_20260609_201631.jsonl</t>
        </is>
      </c>
    </row>
    <row r="110">
      <c r="A110" t="inlineStr">
        <is>
          <t>2026-06-09T20:20:54+00:00</t>
        </is>
      </c>
      <c r="B110" t="inlineStr">
        <is>
          <t>monitor_20260609_202054</t>
        </is>
      </c>
      <c r="C110" t="inlineStr">
        <is>
          <t>HON</t>
        </is>
      </c>
      <c r="D110" t="n">
        <v>0</v>
      </c>
      <c r="E110" t="inlineStr">
        <is>
          <t>MONITOR:HOLD</t>
        </is>
      </c>
      <c r="F110" t="n">
        <v>93936.03999999999</v>
      </c>
      <c r="G110" t="n">
        <v>5823.09</v>
      </c>
      <c r="H110" t="n">
        <v>138.24</v>
      </c>
      <c r="I110" t="n">
        <v>1</v>
      </c>
      <c r="J110" t="inlineStr">
        <is>
          <t>agent_results/position_monitor/position_monitor_20260609_202054.md</t>
        </is>
      </c>
    </row>
    <row r="111">
      <c r="A111" t="inlineStr">
        <is>
          <t>2026-06-09T20:25:46</t>
        </is>
      </c>
      <c r="B111" t="inlineStr">
        <is>
          <t>20260609_202348</t>
        </is>
      </c>
      <c r="C111" t="inlineStr">
        <is>
          <t>ORCL HON PFE DHR DLR NOW GILD MKC</t>
        </is>
      </c>
      <c r="D111" t="n">
        <v>8</v>
      </c>
      <c r="E111" t="inlineStr">
        <is>
          <t>ORCL:WATCH, HON:HOLD, PFE:WATCH, DHR:WATCH, DLR:WATCH, NOW:WATCH, GILD:WATCH, MKC:WATCH</t>
        </is>
      </c>
      <c r="F111" t="n">
        <v>93936.03999999999</v>
      </c>
      <c r="G111" t="n">
        <v>5823.9</v>
      </c>
      <c r="H111" t="n">
        <v>139.05</v>
      </c>
      <c r="I111" t="n">
        <v>1</v>
      </c>
      <c r="J111" t="inlineStr">
        <is>
          <t>agent_results/summaries/market_lens_agent_20260609_202348.md</t>
        </is>
      </c>
      <c r="K111" t="inlineStr">
        <is>
          <t>agent_results/screenshots/market_lens_agent_20260609_202348.png</t>
        </is>
      </c>
      <c r="L111" t="inlineStr">
        <is>
          <t>agent_results/decisions/market_lens_agent_20260609_202348.jsonl</t>
        </is>
      </c>
    </row>
    <row r="112">
      <c r="A112" t="inlineStr">
        <is>
          <t>2026-06-09T20:34:35+00:00</t>
        </is>
      </c>
      <c r="B112" t="inlineStr">
        <is>
          <t>monitor_20260609_203435</t>
        </is>
      </c>
      <c r="C112" t="inlineStr">
        <is>
          <t>HON</t>
        </is>
      </c>
      <c r="D112" t="n">
        <v>0</v>
      </c>
      <c r="E112" t="inlineStr">
        <is>
          <t>MONITOR:HOLD</t>
        </is>
      </c>
      <c r="F112" t="n">
        <v>93936.03999999999</v>
      </c>
      <c r="G112" t="n">
        <v>5823.09</v>
      </c>
      <c r="H112" t="n">
        <v>138.24</v>
      </c>
      <c r="I112" t="n">
        <v>1</v>
      </c>
      <c r="J112" t="inlineStr">
        <is>
          <t>agent_results/position_monitor/position_monitor_20260609_203435.md</t>
        </is>
      </c>
    </row>
    <row r="113">
      <c r="A113" t="inlineStr">
        <is>
          <t>2026-06-09T20:40:52+00:00</t>
        </is>
      </c>
      <c r="B113" t="inlineStr">
        <is>
          <t>monitor_20260609_204052</t>
        </is>
      </c>
      <c r="C113" t="inlineStr">
        <is>
          <t>HON</t>
        </is>
      </c>
      <c r="D113" t="n">
        <v>0</v>
      </c>
      <c r="E113" t="inlineStr">
        <is>
          <t>MONITOR:HOLD</t>
        </is>
      </c>
      <c r="F113" t="n">
        <v>93936.03999999999</v>
      </c>
      <c r="G113" t="n">
        <v>5823.09</v>
      </c>
      <c r="H113" t="n">
        <v>138.24</v>
      </c>
      <c r="I113" t="n">
        <v>1</v>
      </c>
      <c r="J113" t="inlineStr">
        <is>
          <t>agent_results/position_monitor/position_monitor_20260609_204052.md</t>
        </is>
      </c>
    </row>
    <row r="114">
      <c r="A114" t="inlineStr">
        <is>
          <t>2026-06-09T20:48:19</t>
        </is>
      </c>
      <c r="B114" t="inlineStr">
        <is>
          <t>20260609_204623</t>
        </is>
      </c>
      <c r="C114" t="inlineStr">
        <is>
          <t>ORCL HON PFE DHR DLR NOW GILD MKC</t>
        </is>
      </c>
      <c r="D114" t="n">
        <v>8</v>
      </c>
      <c r="E114" t="inlineStr">
        <is>
          <t>ORCL:WATCH, HON:HOLD, PFE:WATCH, DHR:WATCH, DLR:WATCH, NOW:WATCH, GILD:WATCH, MKC:WATCH</t>
        </is>
      </c>
      <c r="F114" t="n">
        <v>93936.03999999999</v>
      </c>
      <c r="G114" t="n">
        <v>5823.9</v>
      </c>
      <c r="H114" t="n">
        <v>139.05</v>
      </c>
      <c r="I114" t="n">
        <v>1</v>
      </c>
      <c r="J114" t="inlineStr">
        <is>
          <t>agent_results/summaries/market_lens_agent_20260609_204623.md</t>
        </is>
      </c>
      <c r="K114" t="inlineStr">
        <is>
          <t>agent_results/screenshots/market_lens_agent_20260609_204623.png</t>
        </is>
      </c>
      <c r="L114" t="inlineStr">
        <is>
          <t>agent_results/decisions/market_lens_agent_20260609_204623.jsonl</t>
        </is>
      </c>
    </row>
    <row r="115">
      <c r="A115" t="inlineStr">
        <is>
          <t>2026-06-09T20:50:49+00:00</t>
        </is>
      </c>
      <c r="B115" t="inlineStr">
        <is>
          <t>monitor_20260609_205049</t>
        </is>
      </c>
      <c r="C115" t="inlineStr">
        <is>
          <t>HON</t>
        </is>
      </c>
      <c r="D115" t="n">
        <v>0</v>
      </c>
      <c r="E115" t="inlineStr">
        <is>
          <t>MONITOR:HOLD</t>
        </is>
      </c>
      <c r="F115" t="n">
        <v>93936.03999999999</v>
      </c>
      <c r="G115" t="n">
        <v>5823.09</v>
      </c>
      <c r="H115" t="n">
        <v>138.24</v>
      </c>
      <c r="I115" t="n">
        <v>1</v>
      </c>
      <c r="J115" t="inlineStr">
        <is>
          <t>agent_results/position_monitor/position_monitor_20260609_205049.md</t>
        </is>
      </c>
    </row>
    <row r="116">
      <c r="A116" t="inlineStr">
        <is>
          <t>2026-06-09T22:17:12</t>
        </is>
      </c>
      <c r="B116" t="inlineStr">
        <is>
          <t>20260609_221351</t>
        </is>
      </c>
      <c r="C116" t="inlineStr">
        <is>
          <t>ORCL HON PFE DHR DLR NOW GILD MKC</t>
        </is>
      </c>
      <c r="D116" t="n">
        <v>8</v>
      </c>
      <c r="E116" t="inlineStr">
        <is>
          <t>ORCL:WATCH, HON:HOLD, PFE:WATCH, DHR:WATCH, DLR:WATCH, NOW:WATCH, GILD:WATCH, MKC:WATCH</t>
        </is>
      </c>
      <c r="F116" t="n">
        <v>93936.03999999999</v>
      </c>
      <c r="G116" t="n">
        <v>5823.9</v>
      </c>
      <c r="H116" t="n">
        <v>139.05</v>
      </c>
      <c r="I116" t="n">
        <v>1</v>
      </c>
      <c r="J116" t="inlineStr">
        <is>
          <t>agent_results/summaries/market_lens_agent_20260609_221351.md</t>
        </is>
      </c>
      <c r="K116" t="inlineStr">
        <is>
          <t>agent_results/screenshots/market_lens_agent_20260609_221351.png</t>
        </is>
      </c>
      <c r="L116" t="inlineStr">
        <is>
          <t>agent_results/decisions/market_lens_agent_20260609_221351.jsonl</t>
        </is>
      </c>
    </row>
    <row r="117">
      <c r="A117" t="inlineStr">
        <is>
          <t>2026-06-10T13:01:02+00:00</t>
        </is>
      </c>
      <c r="B117" t="inlineStr">
        <is>
          <t>monitor_20260610_130102</t>
        </is>
      </c>
      <c r="C117" t="inlineStr">
        <is>
          <t>HON</t>
        </is>
      </c>
      <c r="D117" t="n">
        <v>0</v>
      </c>
      <c r="E117" t="inlineStr">
        <is>
          <t>MONITOR:HOLD</t>
        </is>
      </c>
      <c r="F117" t="n">
        <v>93936.03999999999</v>
      </c>
      <c r="G117" t="n">
        <v>5823.09</v>
      </c>
      <c r="H117" t="n">
        <v>138.24</v>
      </c>
      <c r="I117" t="n">
        <v>1</v>
      </c>
      <c r="J117" t="inlineStr">
        <is>
          <t>agent_results/position_monitor/position_monitor_20260610_130102.md</t>
        </is>
      </c>
    </row>
    <row r="118">
      <c r="A118" t="inlineStr">
        <is>
          <t>2026-06-10T13:10:59+00:00</t>
        </is>
      </c>
      <c r="B118" t="inlineStr">
        <is>
          <t>monitor_20260610_131059</t>
        </is>
      </c>
      <c r="C118" t="inlineStr">
        <is>
          <t>HON</t>
        </is>
      </c>
      <c r="D118" t="n">
        <v>0</v>
      </c>
      <c r="E118" t="inlineStr">
        <is>
          <t>MONITOR:HOLD</t>
        </is>
      </c>
      <c r="F118" t="n">
        <v>93936.03999999999</v>
      </c>
      <c r="G118" t="n">
        <v>5823.09</v>
      </c>
      <c r="H118" t="n">
        <v>138.24</v>
      </c>
      <c r="I118" t="n">
        <v>1</v>
      </c>
      <c r="J118" t="inlineStr">
        <is>
          <t>agent_results/position_monitor/position_monitor_20260610_131059.md</t>
        </is>
      </c>
    </row>
    <row r="119">
      <c r="A119" t="inlineStr">
        <is>
          <t>2026-06-10T13:23:57+00:00</t>
        </is>
      </c>
      <c r="B119" t="inlineStr">
        <is>
          <t>monitor_20260610_132357</t>
        </is>
      </c>
      <c r="C119" t="inlineStr">
        <is>
          <t>HON</t>
        </is>
      </c>
      <c r="D119" t="n">
        <v>0</v>
      </c>
      <c r="E119" t="inlineStr">
        <is>
          <t>MONITOR:HOLD</t>
        </is>
      </c>
      <c r="F119" t="n">
        <v>93936.03999999999</v>
      </c>
      <c r="G119" t="n">
        <v>5823.09</v>
      </c>
      <c r="H119" t="n">
        <v>138.24</v>
      </c>
      <c r="I119" t="n">
        <v>1</v>
      </c>
      <c r="J119" t="inlineStr">
        <is>
          <t>agent_results/position_monitor/position_monitor_20260610_132357.md</t>
        </is>
      </c>
    </row>
    <row r="120">
      <c r="A120" t="inlineStr">
        <is>
          <t>2026-06-10T13:39:21</t>
        </is>
      </c>
      <c r="B120" t="inlineStr">
        <is>
          <t>20260610_133231</t>
        </is>
      </c>
      <c r="C120" t="inlineStr">
        <is>
          <t>HON MDB ORCL GLW SLB V NOW DLR PFE GILD AMAT LRCX KLAC MU ASML UNH MS PANW GS ELV URI C CAT TXN AMD CRWD TSM LLY BAC FDX AIZ MPC KDP JPM UNP VLO GE MAA AVB MRK EMR DHR MKC</t>
        </is>
      </c>
      <c r="D120" t="n">
        <v>10</v>
      </c>
      <c r="E120" t="inlineStr">
        <is>
          <t>HON:HOLD, MDB:WATCH, ORCL:WATCH, GLW:WATCH, SLB:WATCH, V:WATCH, NOW:WATCH, DLR:WATCH, PFE:WATCH, GILD:WATCH, AMAT:SKIP, LRCX:SKIP, KLAC:SKIP, MU:SKIP, ASML:SKIP, UNH:SKIP, MS:SKIP, PANW:SKIP, GS:SKIP, ELV:SKIP, URI:SKIP, C:SKIP, CAT:SKIP, TXN:SKIP, AMD:SKIP, CRWD:SKIP, TSM:SKIP, LLY:SKIP, BAC:SKIP, FDX:SKIP, AIZ:SKIP, MPC:SKIP, KDP:SKIP, JPM:SKIP, UNP:SKIP, VLO:SKIP, GE:SKIP, MAA:SKIP, AVB:SKIP, MRK:SKIP, EMR:SKIP, DHR:SKIP, MKC:SKIP</t>
        </is>
      </c>
      <c r="F120" t="n">
        <v>93936.03999999999</v>
      </c>
      <c r="G120" t="n">
        <v>5700.24</v>
      </c>
      <c r="H120" t="n">
        <v>15.39</v>
      </c>
      <c r="I120" t="n">
        <v>1</v>
      </c>
      <c r="J120" t="inlineStr">
        <is>
          <t>agent_results/summaries/market_lens_agent_20260610_133231.md</t>
        </is>
      </c>
      <c r="K120" t="inlineStr">
        <is>
          <t>agent_results/screenshots/market_lens_agent_20260610_133231.png</t>
        </is>
      </c>
      <c r="L120" t="inlineStr">
        <is>
          <t>agent_results/decisions/market_lens_agent_20260610_133231.jsonl</t>
        </is>
      </c>
    </row>
    <row r="121">
      <c r="A121" t="inlineStr">
        <is>
          <t>2026-06-10T13:41:04+00:00</t>
        </is>
      </c>
      <c r="B121" t="inlineStr">
        <is>
          <t>monitor_20260610_134104</t>
        </is>
      </c>
      <c r="C121" t="inlineStr">
        <is>
          <t>HON</t>
        </is>
      </c>
      <c r="D121" t="n">
        <v>0</v>
      </c>
      <c r="E121" t="inlineStr">
        <is>
          <t>HON:EXIT_STOP</t>
        </is>
      </c>
      <c r="F121" t="n">
        <v>99620.89</v>
      </c>
      <c r="G121" t="n">
        <v>0</v>
      </c>
      <c r="H121" t="n">
        <v>0</v>
      </c>
      <c r="I121" t="n">
        <v>0</v>
      </c>
      <c r="J121" t="inlineStr">
        <is>
          <t>agent_results/position_monitor/position_monitor_20260610_134104.md</t>
        </is>
      </c>
    </row>
    <row r="122">
      <c r="A122" t="inlineStr">
        <is>
          <t>2026-06-10T13:55:18+00:00</t>
        </is>
      </c>
      <c r="B122" t="inlineStr">
        <is>
          <t>monitor_20260610_135518</t>
        </is>
      </c>
      <c r="D122" t="n">
        <v>0</v>
      </c>
      <c r="E122" t="inlineStr">
        <is>
          <t>MONITOR:HOLD</t>
        </is>
      </c>
      <c r="F122" t="n">
        <v>99620.89</v>
      </c>
      <c r="G122" t="n">
        <v>0</v>
      </c>
      <c r="H122" t="n">
        <v>0</v>
      </c>
      <c r="I122" t="n">
        <v>0</v>
      </c>
      <c r="J122" t="inlineStr">
        <is>
          <t>agent_results/position_monitor/position_monitor_20260610_135518.md</t>
        </is>
      </c>
    </row>
    <row r="123">
      <c r="A123" t="inlineStr">
        <is>
          <t>2026-06-10T14:13:42</t>
        </is>
      </c>
      <c r="B123" t="inlineStr">
        <is>
          <t>20260610_140239</t>
        </is>
      </c>
      <c r="C123" t="inlineStr"/>
      <c r="D123" t="n">
        <v>0</v>
      </c>
      <c r="E123" t="inlineStr"/>
      <c r="F123" t="n">
        <v>99620.89</v>
      </c>
      <c r="G123" t="n">
        <v>0</v>
      </c>
      <c r="H123" t="n">
        <v>0</v>
      </c>
      <c r="I123" t="n">
        <v>0</v>
      </c>
      <c r="J123" t="inlineStr">
        <is>
          <t>agent_results/summaries/market_lens_agent_20260610_140239.md</t>
        </is>
      </c>
      <c r="K123" t="inlineStr">
        <is>
          <t>agent_results/screenshots/market_lens_agent_20260610_140239.png</t>
        </is>
      </c>
      <c r="L123" t="inlineStr">
        <is>
          <t>agent_results/decisions/market_lens_agent_20260610_140239.jsonl</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D16"/>
  <sheetViews>
    <sheetView workbookViewId="0">
      <selection activeCell="A1" sqref="A1"/>
    </sheetView>
  </sheetViews>
  <sheetFormatPr baseColWidth="8" defaultRowHeight="15"/>
  <cols>
    <col width="23.01000022888184" customWidth="1" style="52" min="1" max="1"/>
    <col width="39.29999923706055" customWidth="1" style="52" min="2" max="2"/>
    <col width="38" customWidth="1" style="52" min="3" max="3"/>
    <col width="24" customWidth="1" style="52" min="4" max="4"/>
  </cols>
  <sheetData>
    <row r="1">
      <c r="A1" s="22" t="inlineStr">
        <is>
          <t>Setting</t>
        </is>
      </c>
      <c r="B1" s="22" t="inlineStr">
        <is>
          <t>Value</t>
        </is>
      </c>
      <c r="C1" s="22" t="inlineStr">
        <is>
          <t>Description</t>
        </is>
      </c>
      <c r="D1" s="22" t="inlineStr">
        <is>
          <t>Source/Note</t>
        </is>
      </c>
    </row>
    <row r="2">
      <c r="A2" t="inlineStr">
        <is>
          <t>starting_capital_usd</t>
        </is>
      </c>
      <c r="B2" s="66" t="n">
        <v>100000</v>
      </c>
      <c r="C2" t="inlineStr">
        <is>
          <t>Initial paper portfolio capital</t>
        </is>
      </c>
      <c r="D2" t="inlineStr">
        <is>
          <t>User requirement</t>
        </is>
      </c>
    </row>
    <row r="3">
      <c r="A3" t="inlineStr">
        <is>
          <t>usd_conversion_rate</t>
        </is>
      </c>
      <c r="B3" s="66" t="n">
        <v>1</v>
      </c>
      <c r="C3" t="inlineStr">
        <is>
          <t>Used for converting USD trade prices to USD; update manually</t>
        </is>
      </c>
      <c r="D3" t="inlineStr">
        <is>
          <t>Manual input</t>
        </is>
      </c>
    </row>
    <row r="4">
      <c r="A4" t="inlineStr">
        <is>
          <t>max_position_allocation_pct</t>
        </is>
      </c>
      <c r="B4" s="66" t="n">
        <v>0.1</v>
      </c>
      <c r="C4" t="inlineStr">
        <is>
          <t>Max 10% allocation per ticker</t>
        </is>
      </c>
      <c r="D4" t="inlineStr">
        <is>
          <t>Agent risk rule</t>
        </is>
      </c>
    </row>
    <row r="5">
      <c r="A5" t="inlineStr">
        <is>
          <t>max_total_exposure_pct</t>
        </is>
      </c>
      <c r="B5" s="66" t="n">
        <v>0.4</v>
      </c>
      <c r="C5" t="inlineStr">
        <is>
          <t>Max starting total exposure</t>
        </is>
      </c>
      <c r="D5" t="inlineStr">
        <is>
          <t>Agent risk rule</t>
        </is>
      </c>
    </row>
    <row r="6">
      <c r="A6" t="inlineStr">
        <is>
          <t>max_risk_per_trade_pct</t>
        </is>
      </c>
      <c r="B6" s="66" t="n">
        <v>0.01</v>
      </c>
      <c r="C6" t="inlineStr">
        <is>
          <t>Max 1% risk per setup</t>
        </is>
      </c>
      <c r="D6" t="inlineStr">
        <is>
          <t>Agent risk rule</t>
        </is>
      </c>
    </row>
    <row r="7">
      <c r="A7" t="inlineStr">
        <is>
          <t>min_risk_reward</t>
        </is>
      </c>
      <c r="B7" t="n">
        <v>2</v>
      </c>
      <c r="C7" t="inlineStr">
        <is>
          <t>Minimum R/R for simulated entry</t>
        </is>
      </c>
      <c r="D7" t="inlineStr">
        <is>
          <t>Agent risk rule</t>
        </is>
      </c>
    </row>
    <row r="8">
      <c r="A8" t="inlineStr">
        <is>
          <t>paper_trading_only</t>
        </is>
      </c>
      <c r="B8" t="b">
        <v>1</v>
      </c>
      <c r="C8" t="inlineStr">
        <is>
          <t>No real orders are executed</t>
        </is>
      </c>
      <c r="D8" t="inlineStr">
        <is>
          <t>Safety constraint</t>
        </is>
      </c>
    </row>
    <row r="9">
      <c r="A9" t="inlineStr">
        <is>
          <t>app_url</t>
        </is>
      </c>
      <c r="B9" t="inlineStr">
        <is>
          <t>https://market-lens-scanner.onrender.com/</t>
        </is>
      </c>
      <c r="C9" t="inlineStr">
        <is>
          <t>Market Lens UI</t>
        </is>
      </c>
      <c r="D9" t="inlineStr">
        <is>
          <t>App URL</t>
        </is>
      </c>
    </row>
    <row r="10">
      <c r="A10" t="inlineStr">
        <is>
          <t>tracking_days</t>
        </is>
      </c>
      <c r="B10" t="n">
        <v>30</v>
      </c>
      <c r="C10" t="inlineStr">
        <is>
          <t>Planned monitoring period</t>
        </is>
      </c>
      <c r="D10" t="inlineStr">
        <is>
          <t>User requirement</t>
        </is>
      </c>
    </row>
    <row r="11">
      <c r="A11" t="inlineStr">
        <is>
          <t>Budget Definition</t>
        </is>
      </c>
    </row>
    <row r="12">
      <c r="A12" s="64" t="inlineStr">
        <is>
          <t>agent_budget_usd</t>
        </is>
      </c>
      <c r="B12" t="n">
        <v>100000</v>
      </c>
    </row>
    <row r="13">
      <c r="A13" s="56" t="inlineStr">
        <is>
          <t>budget_currency</t>
        </is>
      </c>
      <c r="B13" s="65" t="inlineStr">
        <is>
          <t>USD</t>
        </is>
      </c>
      <c r="C13" t="inlineStr">
        <is>
          <t>Total budget available for the Market Lens paper-trading agent</t>
        </is>
      </c>
      <c r="D13" t="inlineStr">
        <is>
          <t>User requirement</t>
        </is>
      </c>
    </row>
    <row r="14">
      <c r="A14" s="56" t="inlineStr">
        <is>
          <t>budget_mode</t>
        </is>
      </c>
      <c r="B14" t="inlineStr">
        <is>
          <t>Paper Trading</t>
        </is>
      </c>
      <c r="C14" t="inlineStr">
        <is>
          <t>Budget currency for portfolio tracking</t>
        </is>
      </c>
      <c r="D14" t="inlineStr">
        <is>
          <t>User requirement</t>
        </is>
      </c>
    </row>
    <row r="15">
      <c r="A15" s="56" t="inlineStr">
        <is>
          <t>budget_rule</t>
        </is>
      </c>
      <c r="B15" t="inlineStr">
        <is>
          <t>Do not exceed 100,000 USD total simulated capital</t>
        </is>
      </c>
      <c r="C15" t="inlineStr">
        <is>
          <t>100,000 USD is simulated capital only, not real-money execution</t>
        </is>
      </c>
      <c r="D15" t="inlineStr">
        <is>
          <t>Safety constraint</t>
        </is>
      </c>
    </row>
    <row r="16">
      <c r="A16" s="56" t="n"/>
      <c r="C16" t="inlineStr">
        <is>
          <t>Agent must manage cash, exposure and risk inside this budget</t>
        </is>
      </c>
      <c r="D16" t="inlineStr">
        <is>
          <t>Agent rule</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C6"/>
  <sheetViews>
    <sheetView workbookViewId="0">
      <selection activeCell="A1" sqref="A1"/>
    </sheetView>
  </sheetViews>
  <sheetFormatPr baseColWidth="8" defaultRowHeight="15"/>
  <cols>
    <col width="36" customWidth="1" style="52" min="1" max="1"/>
    <col width="36" customWidth="1" style="52" min="2" max="2"/>
    <col width="36" customWidth="1" style="52" min="3" max="3"/>
  </cols>
  <sheetData>
    <row r="1">
      <c r="A1" s="50" t="inlineStr">
        <is>
          <t>Topic</t>
        </is>
      </c>
      <c r="B1" s="50" t="inlineStr">
        <is>
          <t>URL</t>
        </is>
      </c>
      <c r="C1" s="50" t="inlineStr">
        <is>
          <t>Why it matters</t>
        </is>
      </c>
    </row>
    <row r="2">
      <c r="A2" s="13" t="inlineStr">
        <is>
          <t>Market Lens app</t>
        </is>
      </c>
      <c r="B2" s="13" t="inlineStr">
        <is>
          <t>https://market-lens-scanner.onrender.com/</t>
        </is>
      </c>
      <c r="C2" s="13" t="inlineStr">
        <is>
          <t>UI used by the Agent</t>
        </is>
      </c>
    </row>
    <row r="3">
      <c r="A3" s="13" t="inlineStr">
        <is>
          <t>Playwright Python docs</t>
        </is>
      </c>
      <c r="B3" s="13" t="inlineStr">
        <is>
          <t>https://playwright.dev/python/docs/intro</t>
        </is>
      </c>
      <c r="C3" s="13" t="inlineStr">
        <is>
          <t>Browser automation / UI Agent framework</t>
        </is>
      </c>
    </row>
    <row r="4">
      <c r="A4" s="13" t="inlineStr">
        <is>
          <t>Playwright Locator docs</t>
        </is>
      </c>
      <c r="B4" s="13" t="inlineStr">
        <is>
          <t>https://playwright.dev/python/docs/api/class-locator</t>
        </is>
      </c>
      <c r="C4" s="13" t="inlineStr">
        <is>
          <t>Reliable element selection</t>
        </is>
      </c>
    </row>
    <row r="5">
      <c r="A5" s="13" t="inlineStr">
        <is>
          <t>openpyxl docs</t>
        </is>
      </c>
      <c r="B5" s="13" t="inlineStr">
        <is>
          <t>https://openpyxl.readthedocs.io/</t>
        </is>
      </c>
      <c r="C5" s="13" t="inlineStr">
        <is>
          <t>Excel read/write library used by the external Agent</t>
        </is>
      </c>
    </row>
    <row r="6">
      <c r="A6" s="13" t="inlineStr">
        <is>
          <t>Microsoft schtasks docs</t>
        </is>
      </c>
      <c r="B6" s="13" t="inlineStr">
        <is>
          <t>https://learn.microsoft.com/en-us/windows-server/administration/windows-commands/schtasks</t>
        </is>
      </c>
      <c r="C6" s="13" t="inlineStr">
        <is>
          <t>Windows scheduled task automation</t>
        </is>
      </c>
    </row>
  </sheetData>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D12"/>
  <sheetViews>
    <sheetView workbookViewId="0">
      <selection activeCell="A1" sqref="A1"/>
    </sheetView>
  </sheetViews>
  <sheetFormatPr baseColWidth="8" defaultRowHeight="15"/>
  <cols>
    <col width="43.7400016784668" customWidth="1" style="52" min="1" max="1"/>
    <col width="10.89999961853027" customWidth="1" style="52" min="2" max="2"/>
    <col width="34" customWidth="1" style="52" min="3" max="3"/>
    <col width="22" customWidth="1" style="52" min="4" max="4"/>
  </cols>
  <sheetData>
    <row r="1">
      <c r="A1" s="67" t="inlineStr">
        <is>
          <t>Market Lens UI Agent — Control &amp; Budget</t>
        </is>
      </c>
      <c r="B1" s="21" t="n"/>
      <c r="C1" s="21" t="n"/>
      <c r="D1" s="21" t="n"/>
    </row>
    <row r="3">
      <c r="A3" s="55" t="inlineStr">
        <is>
          <t>Parameter</t>
        </is>
      </c>
      <c r="B3" s="55" t="inlineStr">
        <is>
          <t>Value</t>
        </is>
      </c>
      <c r="C3" s="55" t="inlineStr">
        <is>
          <t>Meaning</t>
        </is>
      </c>
      <c r="D3" s="55" t="inlineStr">
        <is>
          <t>Rule</t>
        </is>
      </c>
    </row>
    <row r="4">
      <c r="A4" s="56" t="inlineStr">
        <is>
          <t>Agent Budget</t>
        </is>
      </c>
      <c r="B4" s="65" t="n">
        <v>100000</v>
      </c>
      <c r="C4" t="inlineStr">
        <is>
          <t>Total simulated capital available to the agent</t>
        </is>
      </c>
      <c r="D4" t="inlineStr">
        <is>
          <t>Hard limit</t>
        </is>
      </c>
    </row>
    <row r="5">
      <c r="A5" s="56" t="inlineStr">
        <is>
          <t>Currency</t>
        </is>
      </c>
      <c r="B5" t="inlineStr">
        <is>
          <t>USD</t>
        </is>
      </c>
      <c r="C5" t="inlineStr">
        <is>
          <t>Portfolio and Excel tracking currency</t>
        </is>
      </c>
      <c r="D5" t="inlineStr">
        <is>
          <t>Fixed</t>
        </is>
      </c>
    </row>
    <row r="6">
      <c r="A6" s="56" t="inlineStr">
        <is>
          <t>Mode</t>
        </is>
      </c>
      <c r="B6" t="inlineStr">
        <is>
          <t>Paper Trading</t>
        </is>
      </c>
      <c r="C6" t="inlineStr">
        <is>
          <t>Simulated trading only</t>
        </is>
      </c>
      <c r="D6" t="inlineStr">
        <is>
          <t>No real orders</t>
        </is>
      </c>
    </row>
    <row r="7">
      <c r="A7" s="56" t="inlineStr">
        <is>
          <t>Tracking Period</t>
        </is>
      </c>
      <c r="B7" t="inlineStr">
        <is>
          <t>30 days</t>
        </is>
      </c>
      <c r="C7" t="inlineStr">
        <is>
          <t>The agent should keep daily activity logs for one month</t>
        </is>
      </c>
      <c r="D7" t="inlineStr">
        <is>
          <t>User requirement</t>
        </is>
      </c>
    </row>
    <row r="8">
      <c r="A8" s="56" t="inlineStr">
        <is>
          <t>Max Allocation per Ticker</t>
        </is>
      </c>
      <c r="B8" s="68" t="inlineStr">
        <is>
          <t>10%</t>
        </is>
      </c>
      <c r="C8" t="inlineStr">
        <is>
          <t>Maximum exposure to one simulated position</t>
        </is>
      </c>
      <c r="D8" t="inlineStr">
        <is>
          <t>Risk rule</t>
        </is>
      </c>
    </row>
    <row r="9">
      <c r="A9" s="56" t="inlineStr">
        <is>
          <t>Max Total Starting Exposure</t>
        </is>
      </c>
      <c r="B9" s="68" t="inlineStr">
        <is>
          <t>40%</t>
        </is>
      </c>
      <c r="C9" t="inlineStr">
        <is>
          <t>Maximum deployed capital at the beginning</t>
        </is>
      </c>
      <c r="D9" t="inlineStr">
        <is>
          <t>Risk rule</t>
        </is>
      </c>
    </row>
    <row r="10">
      <c r="A10" s="56" t="inlineStr">
        <is>
          <t>Max Risk per Trade</t>
        </is>
      </c>
      <c r="B10" s="68" t="inlineStr">
        <is>
          <t>1%</t>
        </is>
      </c>
      <c r="C10" t="inlineStr">
        <is>
          <t>Maximum loss risk per simulated setup</t>
        </is>
      </c>
      <c r="D10" t="inlineStr">
        <is>
          <t>Risk rule</t>
        </is>
      </c>
    </row>
    <row r="11">
      <c r="A11" s="56" t="inlineStr">
        <is>
          <t>Minimum Risk/Reward</t>
        </is>
      </c>
      <c r="B11" t="inlineStr">
        <is>
          <t>2.0</t>
        </is>
      </c>
      <c r="C11" t="inlineStr">
        <is>
          <t>Required R/R before simulated entry</t>
        </is>
      </c>
      <c r="D11" t="inlineStr">
        <is>
          <t>Entry rule</t>
        </is>
      </c>
    </row>
    <row r="12">
      <c r="A12" s="56" t="inlineStr">
        <is>
          <t>Excel Update</t>
        </is>
      </c>
      <c r="B12" t="inlineStr">
        <is>
          <t>Every run</t>
        </is>
      </c>
      <c r="C12" t="inlineStr">
        <is>
          <t>Agent must update workbook and summary after every run</t>
        </is>
      </c>
      <c r="D12" t="inlineStr">
        <is>
          <t>Reporting rule</t>
        </is>
      </c>
    </row>
  </sheetData>
  <mergeCells count="1">
    <mergeCell ref="A1:D1"/>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O6"/>
  <sheetViews>
    <sheetView workbookViewId="0">
      <selection activeCell="A1" sqref="A1"/>
    </sheetView>
  </sheetViews>
  <sheetFormatPr baseColWidth="8" defaultRowHeight="15"/>
  <sheetData>
    <row r="1">
      <c r="A1" t="inlineStr">
        <is>
          <t>Timestamp</t>
        </is>
      </c>
      <c r="B1" t="inlineStr">
        <is>
          <t>Run ID</t>
        </is>
      </c>
      <c r="C1" t="inlineStr">
        <is>
          <t>Ticker</t>
        </is>
      </c>
      <c r="D1" t="inlineStr">
        <is>
          <t>Action</t>
        </is>
      </c>
      <c r="E1" t="inlineStr">
        <is>
          <t>Triggered At</t>
        </is>
      </c>
      <c r="F1" t="inlineStr">
        <is>
          <t>Trigger Price USD</t>
        </is>
      </c>
      <c r="G1" t="inlineStr">
        <is>
          <t>Bar High USD</t>
        </is>
      </c>
      <c r="H1" t="inlineStr">
        <is>
          <t>Bar Low USD</t>
        </is>
      </c>
      <c r="I1" t="inlineStr">
        <is>
          <t>Bar Close USD</t>
        </is>
      </c>
      <c r="J1" t="inlineStr">
        <is>
          <t>Quantity</t>
        </is>
      </c>
      <c r="K1" t="inlineStr">
        <is>
          <t>Cash In</t>
        </is>
      </c>
      <c r="L1" t="inlineStr">
        <is>
          <t>Stop Loss USD</t>
        </is>
      </c>
      <c r="M1" t="inlineStr">
        <is>
          <t>Target 1 USD</t>
        </is>
      </c>
      <c r="N1" t="inlineStr">
        <is>
          <t>Target 2 USD</t>
        </is>
      </c>
      <c r="O1" t="inlineStr">
        <is>
          <t>Notes</t>
        </is>
      </c>
    </row>
    <row r="2">
      <c r="A2" t="inlineStr">
        <is>
          <t>2026-06-08T14:04:49+00:00</t>
        </is>
      </c>
      <c r="B2" t="inlineStr">
        <is>
          <t>20260608_140449</t>
        </is>
      </c>
      <c r="C2" t="inlineStr">
        <is>
          <t>XOM</t>
        </is>
      </c>
      <c r="D2" t="inlineStr">
        <is>
          <t>TAKE_PARTIAL_PROFIT</t>
        </is>
      </c>
      <c r="E2" t="inlineStr">
        <is>
          <t>2026-06-08T13:30:00+00:00</t>
        </is>
      </c>
      <c r="F2" t="n">
        <v>150.49</v>
      </c>
      <c r="G2" t="n">
        <v>151.345</v>
      </c>
      <c r="H2" t="n">
        <v>151.11</v>
      </c>
      <c r="I2" t="n">
        <v>151.11</v>
      </c>
      <c r="J2" t="n">
        <v>20</v>
      </c>
      <c r="K2" t="n">
        <v>3009.8</v>
      </c>
      <c r="L2" t="n">
        <v>146.99</v>
      </c>
      <c r="M2" t="n">
        <v>150.49</v>
      </c>
      <c r="N2" t="n">
        <v>173.86</v>
      </c>
      <c r="O2" t="inlineStr">
        <is>
          <t>Target 1 touched by intraday high; taking partial profit and moving stop to breakeven.</t>
        </is>
      </c>
    </row>
    <row r="3">
      <c r="A3" t="inlineStr">
        <is>
          <t>2026-06-08T14:04:49+00:00</t>
        </is>
      </c>
      <c r="B3" t="inlineStr">
        <is>
          <t>20260608_140449</t>
        </is>
      </c>
      <c r="C3" t="inlineStr">
        <is>
          <t>HIG</t>
        </is>
      </c>
      <c r="D3" t="inlineStr">
        <is>
          <t>EXIT_STOP</t>
        </is>
      </c>
      <c r="E3" t="inlineStr">
        <is>
          <t>2026-06-08T13:30:00+00:00</t>
        </is>
      </c>
      <c r="F3" t="n">
        <v>131.48</v>
      </c>
      <c r="G3" t="n">
        <v>130.75</v>
      </c>
      <c r="H3" t="n">
        <v>130.385</v>
      </c>
      <c r="I3" t="n">
        <v>130.53</v>
      </c>
      <c r="J3" t="n">
        <v>45</v>
      </c>
      <c r="K3" t="n">
        <v>5916.6</v>
      </c>
      <c r="L3" t="n">
        <v>131.48</v>
      </c>
      <c r="M3" t="n">
        <v>133.49</v>
      </c>
      <c r="N3" t="n">
        <v>139.89</v>
      </c>
      <c r="O3" t="inlineStr">
        <is>
          <t>Stop loss touched by intraday low.</t>
        </is>
      </c>
    </row>
    <row r="4">
      <c r="A4" t="inlineStr">
        <is>
          <t>2026-06-09T13:42:45+00:00</t>
        </is>
      </c>
      <c r="B4" t="inlineStr">
        <is>
          <t>20260609_134245</t>
        </is>
      </c>
      <c r="C4" t="inlineStr">
        <is>
          <t>XOM</t>
        </is>
      </c>
      <c r="D4" t="inlineStr">
        <is>
          <t>EXIT_STOP</t>
        </is>
      </c>
      <c r="E4" t="inlineStr">
        <is>
          <t>2026-06-09T13:35:00+00:00</t>
        </is>
      </c>
      <c r="F4" t="n">
        <v>149.92</v>
      </c>
      <c r="G4" t="n">
        <v>150.7</v>
      </c>
      <c r="H4" t="n">
        <v>149.8201</v>
      </c>
      <c r="I4" t="n">
        <v>149.9</v>
      </c>
      <c r="J4" t="n">
        <v>20</v>
      </c>
      <c r="K4" t="n">
        <v>2998.4</v>
      </c>
      <c r="L4" t="n">
        <v>149.92</v>
      </c>
      <c r="M4" t="n">
        <v>150.49</v>
      </c>
      <c r="N4" t="n">
        <v>173.86</v>
      </c>
      <c r="O4" t="inlineStr">
        <is>
          <t>Stop loss touched by intraday low.</t>
        </is>
      </c>
    </row>
    <row r="5">
      <c r="A5" t="inlineStr">
        <is>
          <t>2026-06-09T14:21:45+00:00</t>
        </is>
      </c>
      <c r="B5" t="inlineStr">
        <is>
          <t>20260609_142145</t>
        </is>
      </c>
      <c r="C5" t="inlineStr">
        <is>
          <t>APA</t>
        </is>
      </c>
      <c r="D5" t="inlineStr">
        <is>
          <t>EXIT_STOP</t>
        </is>
      </c>
      <c r="E5" t="inlineStr">
        <is>
          <t>2026-06-09T14:15:00+00:00</t>
        </is>
      </c>
      <c r="F5" t="n">
        <v>36.39</v>
      </c>
      <c r="G5" t="n">
        <v>36.425</v>
      </c>
      <c r="H5" t="n">
        <v>36.33</v>
      </c>
      <c r="I5" t="n">
        <v>36.35</v>
      </c>
      <c r="J5" t="n">
        <v>267</v>
      </c>
      <c r="K5" t="n">
        <v>9716.129999999999</v>
      </c>
      <c r="L5" t="n">
        <v>36.39</v>
      </c>
      <c r="M5" t="n">
        <v>38.38</v>
      </c>
      <c r="N5" t="n">
        <v>44.19</v>
      </c>
      <c r="O5" t="inlineStr">
        <is>
          <t>Stop loss touched by intraday low.</t>
        </is>
      </c>
    </row>
    <row r="6">
      <c r="A6" t="inlineStr">
        <is>
          <t>2026-06-10T13:41:04+00:00</t>
        </is>
      </c>
      <c r="B6" t="inlineStr">
        <is>
          <t>20260610_134104</t>
        </is>
      </c>
      <c r="C6" t="inlineStr">
        <is>
          <t>HON</t>
        </is>
      </c>
      <c r="D6" t="inlineStr">
        <is>
          <t>EXIT_STOP</t>
        </is>
      </c>
      <c r="E6" t="inlineStr">
        <is>
          <t>2026-06-10T13:33:00+00:00</t>
        </is>
      </c>
      <c r="F6" t="n">
        <v>210.55</v>
      </c>
      <c r="G6" t="n">
        <v>211.9</v>
      </c>
      <c r="H6" t="n">
        <v>210.5</v>
      </c>
      <c r="I6" t="n">
        <v>211.73</v>
      </c>
      <c r="J6" t="n">
        <v>27</v>
      </c>
      <c r="K6" t="n">
        <v>5684.85</v>
      </c>
      <c r="L6" t="n">
        <v>210.55</v>
      </c>
      <c r="M6" t="n">
        <v>219.83</v>
      </c>
      <c r="N6" t="n">
        <v>239.94</v>
      </c>
      <c r="O6" t="inlineStr">
        <is>
          <t>Stop loss touched by intraday low.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2026-06-06T10:21:08Z</dcterms:created>
  <dcterms:modified xsi:type="dcterms:W3CDTF">2026-06-10T14:13:42Z</dcterms:modified>
</cp:coreProperties>
</file>