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Setup Watchlist" sheetId="2" state="visible" r:id="rId2"/>
    <sheet xmlns:r="http://schemas.openxmlformats.org/officeDocument/2006/relationships" name="Trade Log" sheetId="3" state="visible" r:id="rId3"/>
    <sheet xmlns:r="http://schemas.openxmlformats.org/officeDocument/2006/relationships" name="Open Positions" sheetId="4" state="visible" r:id="rId4"/>
    <sheet xmlns:r="http://schemas.openxmlformats.org/officeDocument/2006/relationships" name="Update Log" sheetId="5" state="visible" r:id="rId5"/>
    <sheet xmlns:r="http://schemas.openxmlformats.org/officeDocument/2006/relationships" name="Settings" sheetId="6" state="visible" r:id="rId6"/>
    <sheet xmlns:r="http://schemas.openxmlformats.org/officeDocument/2006/relationships" name="Sources" sheetId="7" state="visible" r:id="rId7"/>
    <sheet xmlns:r="http://schemas.openxmlformats.org/officeDocument/2006/relationships" name="Agent Control" sheetId="8" state="visible" r:id="rId8"/>
    <sheet xmlns:r="http://schemas.openxmlformats.org/officeDocument/2006/relationships" name="Position Events" sheetId="9" state="visible" r:id="rId9"/>
  </sheets>
  <definedNames/>
</workbook>
</file>

<file path=xl/styles.xml><?xml version="1.0" encoding="utf-8"?>
<styleSheet xmlns="http://schemas.openxmlformats.org/spreadsheetml/2006/main">
  <numFmts count="1">
    <numFmt numFmtId="164" formatCode="#,##0 &quot;₪&quot;"/>
  </numFmts>
  <fonts count="4">
    <font>
      <name val="Carlito"/>
      <sz val="11"/>
    </font>
    <font>
      <name val="Carlito"/>
      <b val="1"/>
      <color rgb="00FFFFFF"/>
      <sz val="14"/>
    </font>
    <font>
      <name val="Carlito"/>
      <b val="1"/>
      <color rgb="00FFFFFF"/>
      <sz val="11"/>
    </font>
    <font>
      <name val="Carlito"/>
      <b val="1"/>
      <sz val="11"/>
    </font>
  </fonts>
  <fills count="10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2563EB"/>
      </patternFill>
    </fill>
    <fill>
      <patternFill patternType="solid">
        <fgColor rgb="000F766E"/>
      </patternFill>
    </fill>
    <fill>
      <patternFill patternType="solid">
        <fgColor rgb="007C3AED"/>
      </patternFill>
    </fill>
    <fill>
      <patternFill patternType="solid">
        <fgColor rgb="00EA580C"/>
      </patternFill>
    </fill>
    <fill>
      <patternFill patternType="solid">
        <fgColor rgb="00334155"/>
      </patternFill>
    </fill>
    <fill>
      <patternFill patternType="solid">
        <fgColor rgb="001F4E79"/>
      </patternFill>
    </fill>
    <fill>
      <patternFill patternType="solid">
        <fgColor rgb="000F172A"/>
      </patternFill>
    </fill>
  </fills>
  <borders count="2">
    <border/>
    <border/>
  </borders>
  <cellStyleXfs count="1">
    <xf numFmtId="0" fontId="0" fillId="0" borderId="1"/>
  </cellStyleXfs>
  <cellXfs count="6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2" fillId="3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4" fontId="0" fillId="0" borderId="1" applyAlignment="1" pivotButton="0" quotePrefix="0" xfId="0">
      <alignment wrapText="1"/>
    </xf>
    <xf numFmtId="10" fontId="0" fillId="0" borderId="0" applyAlignment="1" pivotButton="0" quotePrefix="0" xfId="0">
      <alignment wrapText="1"/>
    </xf>
    <xf numFmtId="0" fontId="0" fillId="0" borderId="0" pivotButton="0" quotePrefix="0" xfId="0"/>
    <xf numFmtId="10" fontId="0" fillId="0" borderId="1" applyAlignment="1" pivotButton="0" quotePrefix="0" xfId="0">
      <alignment wrapText="1"/>
    </xf>
    <xf numFmtId="0" fontId="0" fillId="0" borderId="1" pivotButton="0" quotePrefix="0" xfId="0"/>
    <xf numFmtId="0" fontId="2" fillId="2" borderId="0" pivotButton="0" quotePrefix="0" xfId="0"/>
    <xf numFmtId="0" fontId="2" fillId="2" borderId="1" pivotButton="0" quotePrefix="0" xfId="0"/>
    <xf numFmtId="2" fontId="0" fillId="0" borderId="0" pivotButton="0" quotePrefix="0" xfId="0"/>
    <xf numFmtId="2" fontId="0" fillId="0" borderId="1" pivotButton="0" quotePrefix="0" xfId="0"/>
    <xf numFmtId="0" fontId="0" fillId="4" borderId="0" pivotButton="0" quotePrefix="0" xfId="0"/>
    <xf numFmtId="0" fontId="2" fillId="4" borderId="0" pivotButton="0" quotePrefix="0" xfId="0"/>
    <xf numFmtId="0" fontId="0" fillId="4" borderId="1" pivotButton="0" quotePrefix="0" xfId="0"/>
    <xf numFmtId="0" fontId="2" fillId="4" borderId="1" pivotButton="0" quotePrefix="0" xfId="0"/>
    <xf numFmtId="0" fontId="2" fillId="4" borderId="0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0" fillId="5" borderId="1" pivotButton="0" quotePrefix="0" xfId="0"/>
    <xf numFmtId="0" fontId="2" fillId="5" borderId="1" pivotButton="0" quotePrefix="0" xfId="0"/>
    <xf numFmtId="0" fontId="2" fillId="5" borderId="0" applyAlignment="1" pivotButton="0" quotePrefix="0" xfId="0">
      <alignment wrapText="1"/>
    </xf>
    <xf numFmtId="0" fontId="2" fillId="5" borderId="1" applyAlignment="1" pivotButton="0" quotePrefix="0" xfId="0">
      <alignment wrapText="1"/>
    </xf>
    <xf numFmtId="0" fontId="0" fillId="6" borderId="0" pivotButton="0" quotePrefix="0" xfId="0"/>
    <xf numFmtId="0" fontId="2" fillId="6" borderId="0" pivotButton="0" quotePrefix="0" xfId="0"/>
    <xf numFmtId="0" fontId="0" fillId="6" borderId="1" pivotButton="0" quotePrefix="0" xfId="0"/>
    <xf numFmtId="0" fontId="2" fillId="6" borderId="1" pivotButton="0" quotePrefix="0" xfId="0"/>
    <xf numFmtId="0" fontId="2" fillId="6" borderId="0" applyAlignment="1" pivotButton="0" quotePrefix="0" xfId="0">
      <alignment wrapText="1"/>
    </xf>
    <xf numFmtId="0" fontId="2" fillId="6" borderId="1" applyAlignment="1" pivotButton="0" quotePrefix="0" xfId="0">
      <alignment wrapText="1"/>
    </xf>
    <xf numFmtId="0" fontId="0" fillId="7" borderId="0" pivotButton="0" quotePrefix="0" xfId="0"/>
    <xf numFmtId="0" fontId="2" fillId="7" borderId="0" pivotButton="0" quotePrefix="0" xfId="0"/>
    <xf numFmtId="0" fontId="0" fillId="7" borderId="1" pivotButton="0" quotePrefix="0" xfId="0"/>
    <xf numFmtId="0" fontId="2" fillId="7" borderId="1" pivotButton="0" quotePrefix="0" xfId="0"/>
    <xf numFmtId="0" fontId="2" fillId="7" borderId="0" applyAlignment="1" pivotButton="0" quotePrefix="0" xfId="0">
      <alignment wrapText="1"/>
    </xf>
    <xf numFmtId="0" fontId="2" fillId="7" borderId="1" applyAlignment="1" pivotButton="0" quotePrefix="0" xfId="0">
      <alignment wrapText="1"/>
    </xf>
    <xf numFmtId="0" fontId="2" fillId="2" borderId="0" applyAlignment="1" pivotButton="0" quotePrefix="0" xfId="0">
      <alignment wrapText="1"/>
    </xf>
    <xf numFmtId="0" fontId="0" fillId="0" borderId="0" pivotButton="0" quotePrefix="0" xfId="0"/>
    <xf numFmtId="0" fontId="0" fillId="0" borderId="0" pivotButton="0" quotePrefix="0" xfId="0"/>
    <xf numFmtId="0" fontId="0" fillId="8" borderId="0" pivotButton="0" quotePrefix="0" xfId="0"/>
    <xf numFmtId="0" fontId="2" fillId="8" borderId="0" pivotButton="0" quotePrefix="0" xfId="0"/>
    <xf numFmtId="0" fontId="2" fillId="8" borderId="0" applyAlignment="1" pivotButton="0" quotePrefix="0" xfId="0">
      <alignment horizontal="center"/>
    </xf>
    <xf numFmtId="0" fontId="3" fillId="0" borderId="0" pivotButton="0" quotePrefix="0" xfId="0"/>
    <xf numFmtId="164" fontId="0" fillId="0" borderId="0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center"/>
    </xf>
    <xf numFmtId="9" fontId="0" fillId="0" borderId="0" pivotButton="0" quotePrefix="0" xfId="0"/>
    <xf numFmtId="4" fontId="0" fillId="0" borderId="0" applyAlignment="1" pivotButton="0" quotePrefix="0" xfId="0">
      <alignment wrapText="1"/>
    </xf>
    <xf numFmtId="10" fontId="0" fillId="0" borderId="0" applyAlignment="1" pivotButton="0" quotePrefix="0" xfId="0">
      <alignment wrapText="1"/>
    </xf>
    <xf numFmtId="0" fontId="2" fillId="8" borderId="1" applyAlignment="1" pivotButton="0" quotePrefix="0" xfId="0">
      <alignment horizontal="center"/>
    </xf>
    <xf numFmtId="164" fontId="0" fillId="0" borderId="0" pivotButton="0" quotePrefix="0" xfId="0"/>
    <xf numFmtId="2" fontId="0" fillId="0" borderId="0" pivotButton="0" quotePrefix="0" xfId="0"/>
    <xf numFmtId="0" fontId="1" fillId="9" borderId="1" applyAlignment="1" pivotButton="0" quotePrefix="0" xfId="0">
      <alignment horizontal="center"/>
    </xf>
    <xf numFmtId="9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etupWatchlistTable" displayName="SetupWatchlistTable" ref="A1:O200" headerRowCount="1">
  <tableColumns count="15">
    <tableColumn id="1" name="Run Date"/>
    <tableColumn id="2" name="Ticker"/>
    <tableColumn id="3" name="Setup Type"/>
    <tableColumn id="4" name="Score"/>
    <tableColumn id="5" name="Current Price USD"/>
    <tableColumn id="6" name="Buy Zone Low"/>
    <tableColumn id="7" name="Buy Zone High"/>
    <tableColumn id="8" name="Stop Loss"/>
    <tableColumn id="9" name="Target 1"/>
    <tableColumn id="10" name="Target 2"/>
    <tableColumn id="11" name="Risk/Reward"/>
    <tableColumn id="12" name="Reason"/>
    <tableColumn id="13" name="Agent Decision"/>
    <tableColumn id="14" name="Feedback"/>
    <tableColumn id="15" name="Raw UI Text"/>
  </tableColumns>
  <tableStyleInfo name="TableStyleMedium2" showRowStripes="1"/>
</table>
</file>

<file path=xl/tables/table2.xml><?xml version="1.0" encoding="utf-8"?>
<table xmlns="http://schemas.openxmlformats.org/spreadsheetml/2006/main" id="2" name="TradeLogTable" displayName="TradeLogTable" ref="A1:Q300" headerRowCount="1">
  <tableColumns count="17">
    <tableColumn id="1" name="Timestamp"/>
    <tableColumn id="2" name="Action"/>
    <tableColumn id="3" name="Ticker"/>
    <tableColumn id="4" name="Entry Price USD"/>
    <tableColumn id="5" name="Exit Price USD"/>
    <tableColumn id="6" name="Quantity"/>
    <tableColumn id="7" name="USD/ILS"/>
    <tableColumn id="8" name="Buy Value ILS"/>
    <tableColumn id="9" name="Sell Value ILS"/>
    <tableColumn id="10" name="Cash Out ILS"/>
    <tableColumn id="11" name="Cash In ILS"/>
    <tableColumn id="12" name="Stop Loss"/>
    <tableColumn id="13" name="Target 1"/>
    <tableColumn id="14" name="Target 2"/>
    <tableColumn id="15" name="Risk ILS"/>
    <tableColumn id="16" name="Reason"/>
    <tableColumn id="17" name="Screenshot"/>
  </tableColumns>
  <tableStyleInfo name="TableStyleMedium2" showRowStripes="1"/>
</table>
</file>

<file path=xl/tables/table3.xml><?xml version="1.0" encoding="utf-8"?>
<table xmlns="http://schemas.openxmlformats.org/spreadsheetml/2006/main" id="3" name="OpenPositionsTable" displayName="OpenPositionsTable" ref="A1:O200" headerRowCount="1">
  <tableColumns count="15">
    <tableColumn id="1" name="Ticker"/>
    <tableColumn id="2" name="Entry Date"/>
    <tableColumn id="3" name="Entry Price USD"/>
    <tableColumn id="4" name="Current Price USD"/>
    <tableColumn id="5" name="Quantity"/>
    <tableColumn id="6" name="Stop Loss"/>
    <tableColumn id="7" name="Target 1"/>
    <tableColumn id="8" name="Target 2"/>
    <tableColumn id="9" name="Status"/>
    <tableColumn id="10" name="Unrealized P/L USD"/>
    <tableColumn id="11" name="Unrealized P/L ILS"/>
    <tableColumn id="12" name="Exposure ILS"/>
    <tableColumn id="13" name="Open Risk ILS"/>
    <tableColumn id="14" name="Notes"/>
    <tableColumn id="15" name="Last Screenshot"/>
  </tableColumns>
  <tableStyleInfo name="TableStyleMedium2" showRowStripes="1"/>
</table>
</file>

<file path=xl/tables/table4.xml><?xml version="1.0" encoding="utf-8"?>
<table xmlns="http://schemas.openxmlformats.org/spreadsheetml/2006/main" id="4" name="UpdateLogTable" displayName="UpdateLogTable" ref="A1:K200" headerRowCount="1">
  <tableColumns count="11">
    <tableColumn id="1" name="Run Timestamp"/>
    <tableColumn id="2" name="Run ID"/>
    <tableColumn id="3" name="Scanned Tickers"/>
    <tableColumn id="4" name="Valid Setups"/>
    <tableColumn id="5" name="Actions Summary"/>
    <tableColumn id="6" name="Cash ILS"/>
    <tableColumn id="7" name="Exposure ILS"/>
    <tableColumn id="8" name="Open Risk ILS"/>
    <tableColumn id="9" name="Open Positions"/>
    <tableColumn id="10" name="Summary File"/>
    <tableColumn id="11" name="Screenshot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0" customWidth="1" style="52" min="1" max="1"/>
    <col width="20" customWidth="1" style="52" min="2" max="2"/>
    <col width="20" customWidth="1" style="52" min="3" max="3"/>
    <col width="20" customWidth="1" style="52" min="4" max="4"/>
    <col width="20" customWidth="1" style="52" min="5" max="5"/>
    <col width="20" customWidth="1" style="52" min="6" max="6"/>
    <col width="20" customWidth="1" style="52" min="7" max="7"/>
    <col width="20" customWidth="1" style="52" min="8" max="8"/>
  </cols>
  <sheetData>
    <row r="1">
      <c r="A1" s="7" t="inlineStr">
        <is>
          <t>Market Lens UI Agent — Portfolio Dashboard</t>
        </is>
      </c>
      <c r="B1" s="21" t="n"/>
      <c r="C1" s="21" t="n"/>
      <c r="D1" s="21" t="n"/>
      <c r="E1" s="21" t="n"/>
      <c r="F1" s="21" t="n"/>
      <c r="G1" s="21" t="n"/>
      <c r="H1" s="21" t="n"/>
    </row>
    <row r="3">
      <c r="A3" s="12" t="inlineStr">
        <is>
          <t>Starting Capital (USD)</t>
        </is>
      </c>
      <c r="B3" s="12" t="inlineStr">
        <is>
          <t>Value</t>
        </is>
      </c>
      <c r="C3" s="13" t="n"/>
      <c r="D3" s="12" t="inlineStr">
        <is>
          <t>Agent Rules</t>
        </is>
      </c>
      <c r="E3" s="12" t="str"/>
      <c r="F3" s="12" t="str"/>
      <c r="G3" s="12" t="str"/>
      <c r="H3" s="12" t="str"/>
    </row>
    <row r="4">
      <c r="A4" s="13" t="inlineStr">
        <is>
          <t>Current Cash (USD)</t>
        </is>
      </c>
      <c r="B4" s="62">
        <f>Settings!B2</f>
        <v/>
      </c>
      <c r="C4" s="13" t="n"/>
      <c r="D4" s="13" t="inlineStr">
        <is>
          <t>Mode</t>
        </is>
      </c>
      <c r="E4" s="13" t="inlineStr">
        <is>
          <t>Paper Trading only</t>
        </is>
      </c>
      <c r="F4" s="13" t="str"/>
      <c r="G4" s="13" t="str"/>
      <c r="H4" s="13" t="str"/>
    </row>
    <row r="5">
      <c r="A5" s="13" t="inlineStr">
        <is>
          <t>Open Exposure (USD)</t>
        </is>
      </c>
      <c r="B5" s="62">
        <f>Settings!B2-SUM('Trade Log'!J:J)+SUM('Trade Log'!K:K)</f>
        <v/>
      </c>
      <c r="C5" s="13" t="n"/>
      <c r="D5" s="13" t="inlineStr">
        <is>
          <t>Max position allocation</t>
        </is>
      </c>
      <c r="E5" s="13">
        <f>Settings!B4</f>
        <v/>
      </c>
      <c r="F5" s="13" t="str"/>
      <c r="G5" s="13" t="str"/>
      <c r="H5" s="13" t="str"/>
    </row>
    <row r="6">
      <c r="A6" s="13" t="inlineStr">
        <is>
          <t>Total Portfolio Value (USD)</t>
        </is>
      </c>
      <c r="B6" s="62">
        <f>SUM('Open Positions'!L:L)</f>
        <v/>
      </c>
      <c r="C6" s="13" t="n"/>
      <c r="D6" s="13" t="inlineStr">
        <is>
          <t>Max total exposure</t>
        </is>
      </c>
      <c r="E6" s="13">
        <f>Settings!B5</f>
        <v/>
      </c>
      <c r="F6" s="13" t="str"/>
      <c r="G6" s="13" t="str"/>
      <c r="H6" s="13" t="str"/>
    </row>
    <row r="7">
      <c r="A7" s="13" t="inlineStr">
        <is>
          <t>Open Risk (USD)</t>
        </is>
      </c>
      <c r="B7" s="62">
        <f>B5+B6</f>
        <v/>
      </c>
      <c r="C7" s="13" t="n"/>
      <c r="D7" s="13" t="inlineStr">
        <is>
          <t>Max risk per trade</t>
        </is>
      </c>
      <c r="E7" s="13">
        <f>Settings!B6</f>
        <v/>
      </c>
      <c r="F7" s="13" t="str"/>
      <c r="G7" s="13" t="str"/>
      <c r="H7" s="13" t="str"/>
    </row>
    <row r="8">
      <c r="A8" s="13" t="inlineStr">
        <is>
          <t>Closed P/L (USD)</t>
        </is>
      </c>
      <c r="B8" s="62">
        <f>SUM('Open Positions'!M:M)</f>
        <v/>
      </c>
      <c r="C8" s="13" t="n"/>
      <c r="D8" s="13" t="inlineStr">
        <is>
          <t>Minimum Risk/Reward</t>
        </is>
      </c>
      <c r="E8" s="13">
        <f>Settings!B7</f>
        <v/>
      </c>
      <c r="F8" s="13" t="str"/>
      <c r="G8" s="13" t="str"/>
      <c r="H8" s="13" t="str"/>
    </row>
    <row r="9">
      <c r="A9" s="13" t="inlineStr">
        <is>
          <t>Open Positions</t>
        </is>
      </c>
      <c r="B9" s="62">
        <f>COUNTA('Open Positions'!A:A)-1</f>
        <v/>
      </c>
      <c r="C9" s="13" t="n"/>
      <c r="D9" s="13" t="inlineStr">
        <is>
          <t>Run frequency</t>
        </is>
      </c>
      <c r="E9" s="13" t="inlineStr">
        <is>
          <t>Daily / manual</t>
        </is>
      </c>
      <c r="F9" s="13" t="str"/>
      <c r="G9" s="13" t="str"/>
      <c r="H9" s="13" t="str"/>
    </row>
    <row r="10">
      <c r="A10" s="13" t="inlineStr">
        <is>
          <t>Watchlist Setups</t>
        </is>
      </c>
      <c r="B10" s="62">
        <f>COUNTA('Setup Watchlist'!A:A)-1</f>
        <v/>
      </c>
      <c r="C10" s="13" t="n"/>
      <c r="D10" s="13" t="inlineStr">
        <is>
          <t>Real orders</t>
        </is>
      </c>
      <c r="E10" s="13" t="inlineStr">
        <is>
          <t>Never</t>
        </is>
      </c>
      <c r="F10" s="13" t="str"/>
      <c r="G10" s="13" t="str"/>
      <c r="H10" s="13" t="str"/>
    </row>
    <row r="11">
      <c r="A11" s="13" t="inlineStr">
        <is>
          <t>Agent Budget (USD)</t>
        </is>
      </c>
      <c r="B11" s="63">
        <f>SUM('Trade Log'!K:K)-SUM('Trade Log'!J:J)</f>
        <v/>
      </c>
      <c r="C11" s="13" t="n"/>
      <c r="D11" s="13" t="n"/>
      <c r="E11" s="13" t="n"/>
      <c r="F11" s="13" t="n"/>
      <c r="G11" s="13" t="n"/>
      <c r="H11" s="13" t="n"/>
    </row>
    <row r="12">
      <c r="A12" s="13" t="inlineStr">
        <is>
          <t>Exposure %</t>
        </is>
      </c>
      <c r="B12" s="63">
        <f>IFERROR(B6/B7,0)</f>
        <v/>
      </c>
      <c r="C12" s="13" t="n"/>
      <c r="D12" s="13" t="n"/>
      <c r="E12" s="13" t="n"/>
      <c r="F12" s="13" t="n"/>
      <c r="G12" s="13" t="n"/>
      <c r="H12" s="13" t="n"/>
    </row>
    <row r="13">
      <c r="A13" s="13" t="inlineStr">
        <is>
          <t>Risk %</t>
        </is>
      </c>
      <c r="B13" s="13">
        <f>IFERROR(B8/B7,0)</f>
        <v/>
      </c>
      <c r="C13" s="13" t="n"/>
      <c r="D13" s="13" t="n"/>
      <c r="E13" s="13" t="n"/>
      <c r="F13" s="13" t="n"/>
      <c r="G13" s="13" t="n"/>
      <c r="H13" s="13" t="n"/>
    </row>
    <row r="14">
      <c r="A14" s="64" t="inlineStr">
        <is>
          <t>Budget Definition</t>
        </is>
      </c>
      <c r="B14" s="21" t="n"/>
      <c r="C14" s="21" t="n"/>
      <c r="D14" s="21" t="n"/>
      <c r="E14" s="21" t="n"/>
    </row>
    <row r="15">
      <c r="A15" s="56" t="inlineStr">
        <is>
          <t>Agent Budget (USD)</t>
        </is>
      </c>
      <c r="B15" s="65" t="n">
        <v>100000</v>
      </c>
      <c r="D15" s="56" t="inlineStr">
        <is>
          <t>Budget Mode</t>
        </is>
      </c>
      <c r="E15" t="inlineStr">
        <is>
          <t>Paper Trading only</t>
        </is>
      </c>
    </row>
    <row r="16">
      <c r="A16" s="56" t="inlineStr">
        <is>
          <t>Budget Rule</t>
        </is>
      </c>
      <c r="B16" t="inlineStr">
        <is>
          <t>Agent must manage simulated positions within 100,000 USD only</t>
        </is>
      </c>
      <c r="D16" s="56" t="inlineStr">
        <is>
          <t>Real Orders</t>
        </is>
      </c>
      <c r="E16" t="inlineStr">
        <is>
          <t>Never</t>
        </is>
      </c>
    </row>
    <row r="17">
      <c r="A17" s="56" t="inlineStr">
        <is>
          <t>Tracking Period</t>
        </is>
      </c>
      <c r="B17" t="inlineStr">
        <is>
          <t>30 days</t>
        </is>
      </c>
      <c r="D17" s="56" t="inlineStr">
        <is>
          <t>Excel Update</t>
        </is>
      </c>
      <c r="E17" t="inlineStr">
        <is>
          <t>Every run</t>
        </is>
      </c>
    </row>
  </sheetData>
  <mergeCells count="2">
    <mergeCell ref="A1:H1"/>
    <mergeCell ref="A14:E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selection activeCell="A1" sqref="A1"/>
    </sheetView>
  </sheetViews>
  <sheetFormatPr baseColWidth="8" defaultRowHeight="15"/>
  <cols>
    <col width="16" customWidth="1" style="52" min="1" max="1"/>
    <col width="16" customWidth="1" style="52" min="2" max="2"/>
    <col width="16" customWidth="1" style="52" min="3" max="3"/>
    <col width="16" customWidth="1" style="52" min="4" max="4"/>
    <col width="16" customWidth="1" style="52" min="5" max="5"/>
    <col width="16" customWidth="1" style="52" min="6" max="6"/>
    <col width="16" customWidth="1" style="52" min="7" max="7"/>
    <col width="16" customWidth="1" style="52" min="8" max="8"/>
    <col width="16" customWidth="1" style="52" min="9" max="9"/>
    <col width="16" customWidth="1" style="52" min="10" max="10"/>
    <col width="16" customWidth="1" style="52" min="11" max="11"/>
    <col width="40" customWidth="1" style="52" min="12" max="12"/>
    <col width="16" customWidth="1" style="52" min="13" max="13"/>
    <col width="16" customWidth="1" style="52" min="14" max="14"/>
    <col width="50" customWidth="1" style="52" min="15" max="15"/>
  </cols>
  <sheetData>
    <row r="1">
      <c r="A1" s="30" t="inlineStr">
        <is>
          <t>Run Date</t>
        </is>
      </c>
      <c r="B1" s="30" t="inlineStr">
        <is>
          <t>Ticker</t>
        </is>
      </c>
      <c r="C1" s="30" t="inlineStr">
        <is>
          <t>Setup Type</t>
        </is>
      </c>
      <c r="D1" s="30" t="inlineStr">
        <is>
          <t>Score</t>
        </is>
      </c>
      <c r="E1" s="30" t="inlineStr">
        <is>
          <t>Current Price USD</t>
        </is>
      </c>
      <c r="F1" s="30" t="inlineStr">
        <is>
          <t>Buy Zone Low USD</t>
        </is>
      </c>
      <c r="G1" s="30" t="inlineStr">
        <is>
          <t>Buy Zone High USD</t>
        </is>
      </c>
      <c r="H1" s="30" t="inlineStr">
        <is>
          <t>Stop Loss USD</t>
        </is>
      </c>
      <c r="I1" s="30" t="inlineStr">
        <is>
          <t>Target 1 USD</t>
        </is>
      </c>
      <c r="J1" s="30" t="inlineStr">
        <is>
          <t>Target 2 USD</t>
        </is>
      </c>
      <c r="K1" s="30" t="inlineStr">
        <is>
          <t>Risk/Reward</t>
        </is>
      </c>
      <c r="L1" s="30" t="inlineStr">
        <is>
          <t>Reason</t>
        </is>
      </c>
      <c r="M1" s="30" t="inlineStr">
        <is>
          <t>Agent Action</t>
        </is>
      </c>
      <c r="N1" s="30" t="inlineStr">
        <is>
          <t>Agent Feedback</t>
        </is>
      </c>
      <c r="O1" s="30" t="inlineStr">
        <is>
          <t>Raw UI Text</t>
        </is>
      </c>
      <c r="P1" t="inlineStr">
        <is>
          <t>Chart URL</t>
        </is>
      </c>
      <c r="Q1" t="inlineStr">
        <is>
          <t>Selection Context</t>
        </is>
      </c>
    </row>
    <row r="2">
      <c r="A2" t="inlineStr">
        <is>
          <t>2026-06-07T10:10:42</t>
        </is>
      </c>
      <c r="B2" t="inlineStr">
        <is>
          <t>CVX</t>
        </is>
      </c>
      <c r="C2" t="inlineStr">
        <is>
          <t>Liquidity Trap Buy Zone</t>
        </is>
      </c>
      <c r="D2" t="n">
        <v>0.49</v>
      </c>
      <c r="E2" t="n">
        <v>187.31</v>
      </c>
      <c r="F2" t="n">
        <v>186.89</v>
      </c>
      <c r="G2" t="n">
        <v>187.73</v>
      </c>
      <c r="H2" t="n">
        <v>180.94</v>
      </c>
      <c r="I2" t="n">
        <v>204.51</v>
      </c>
      <c r="J2" t="n">
        <v>204.51</v>
      </c>
      <c r="K2" t="n">
        <v>2.7</v>
      </c>
      <c r="L2" t="inlineStr">
        <is>
          <t>Price (187.31) swept below VAL (182.14) and reclaimed it — liquidity trap confirmed. POC at 184.51 provides structural support. Entry at 187.31, stop at 180.94.</t>
        </is>
      </c>
      <c r="M2" t="inlineStr">
        <is>
          <t>BUY_SIMULATED</t>
        </is>
      </c>
      <c r="N2" t="inlineStr">
        <is>
          <t>Price is inside buy zone, R/R is valid, and simulated risk limits allow entry.</t>
        </is>
      </c>
      <c r="O2" t="inlineStr">
        <is>
          <t>CVX
Liquidity Trap Buy Zone
0.49
score
Price
187.31
R/R
2.70x
Grade
B
Quality
67%
Buy Zone
186.89 - 187.73
Stop
180.94
Targets
204.51 / 204.51
Tradable if trigger confirms
Mixed
Relative Strength
Leadership
100%
Trend Quality
Messy
18%
Liquidity
Institutional liquidity
100%
Volume
Neutral
65%
Trigger
Break above prior-day high at 190.10 after holding buy zone.
Invalidation
Exit if price closes below 180.94 or setup support fails.
Trend quality is not clean.
Market regime: Mixed.
Relative strength: Leadership.
Price (187.31) swept below VAL (182.14) and reclaimed it — liquidity trap confirmed. POC at 184.51 provides structural support. Entry at 187.31, stop at 180.94.
Fib 61.8
185.91
Fib Zone
184.85 - 186.97
Swing Low
177.90
Swing High
198.87
Save setup
Click chart to open full size</t>
        </is>
      </c>
      <c r="P2" t="inlineStr">
        <is>
          <t>agent_results\charts\market_lens_agent_20260607_100446_cvx.png</t>
        </is>
      </c>
      <c r="Q2" t="inlineStr">
        <is>
          <t>Smart Universe: broad liquid US universe, diversified by sector | Sector: Energy - Neutral (48/100); XLE sector regime is neutral: 3.1% 3m return, -6.0% vs SPY | Setup: Liquidity Trap Buy Zone; score 0.49; R/R 2.70x; price 187.31 | Agent action: BUY_SIMULATED - Price is inside buy zone, R/R is valid, and simulated risk limits allow entry.</t>
        </is>
      </c>
    </row>
    <row r="3">
      <c r="A3" t="inlineStr">
        <is>
          <t>2026-06-07T10:10:42</t>
        </is>
      </c>
      <c r="B3" t="inlineStr">
        <is>
          <t>ELAN</t>
        </is>
      </c>
      <c r="C3" t="inlineStr">
        <is>
          <t>Fib 61.8 Confluence Buy Zone</t>
        </is>
      </c>
      <c r="D3" t="n">
        <v>0.47</v>
      </c>
      <c r="E3" t="n">
        <v>23.63</v>
      </c>
      <c r="F3" t="n">
        <v>23.11</v>
      </c>
      <c r="G3" t="n">
        <v>23.69</v>
      </c>
      <c r="H3" t="n">
        <v>22.5</v>
      </c>
      <c r="I3" t="n">
        <v>23.94</v>
      </c>
      <c r="J3" t="n">
        <v>26.29</v>
      </c>
      <c r="K3" t="n">
        <v>5.2</v>
      </c>
      <c r="L3" t="inlineStr">
        <is>
          <t>Price at 61.8% fib retracement (23.40) with confluence at POC, VWAP. Entry at zone low 23.11, stop below fib 78.6% at 22.50.</t>
        </is>
      </c>
      <c r="M3" t="inlineStr">
        <is>
          <t>BUY_SIMULATED</t>
        </is>
      </c>
      <c r="N3" t="inlineStr">
        <is>
          <t>Price is inside buy zone, R/R is valid, and simulated risk limits allow entry.</t>
        </is>
      </c>
      <c r="O3" t="inlineStr">
        <is>
          <t>ELAN
Fib 61.8 Confluence Buy Zone
0.47
score
Price
23.63
R/R
5.20x
Grade
B
Quality
70%
Buy Zone
23.11 - 23.69
Stop
22.50
Targets
23.94 / 26.29
Tradable if trigger confirms
Mixed
Relative Strength
In line
50%
Trend Quality
Constructive
68%
Liquidity
Institutional liquidity
100%
Volume
Confirmed
80%
Trigger
Break above prior-day high at 26.23 after holding buy zone.
Invalidation
Exit if price closes below 22.50 or setup support fails.
Market regime: Mixed.
Relative strength: In line.
Price at 61.8% fib retracement (23.40) with confluence at POC, VWAP. Entry at zone low 23.11, stop below fib 78.6% at 22.50.
Fib 61.8
23.40
Fib Zone
23.11 - 23.69
Swing Low
21.62
Swing High
26.29
Save setup
Click chart to open full size</t>
        </is>
      </c>
      <c r="P3" t="inlineStr">
        <is>
          <t>agent_results\charts\market_lens_agent_20260607_100446_elan.png</t>
        </is>
      </c>
      <c r="Q3" t="inlineStr">
        <is>
          <t>Smart Universe: broad liquid US universe, diversified by sector | Sector: Healthcare - Neutral (66/100); XLV sector regime is neutral: -0.4% 3m return, -9.4% vs SPY | Setup: Fib 61.8 Confluence Buy Zone; score 0.47; R/R 5.20x; price 23.63 | Agent action: BUY_SIMULATED - Price is inside buy zone, R/R is valid, and simulated risk limits allow entry.</t>
        </is>
      </c>
    </row>
    <row r="4">
      <c r="A4" t="inlineStr">
        <is>
          <t>2026-06-07T10:10:42</t>
        </is>
      </c>
      <c r="B4" t="inlineStr">
        <is>
          <t>CAT</t>
        </is>
      </c>
      <c r="C4" t="inlineStr">
        <is>
          <t>Breakout + Retest</t>
        </is>
      </c>
      <c r="D4" t="n">
        <v>0.46</v>
      </c>
      <c r="E4" t="n">
        <v>904.28</v>
      </c>
      <c r="F4" t="n">
        <v>901.0599999999999</v>
      </c>
      <c r="G4" t="n">
        <v>931.35</v>
      </c>
      <c r="H4" t="n">
        <v>885.92</v>
      </c>
      <c r="I4" t="n">
        <v>976.78</v>
      </c>
      <c r="J4" t="n">
        <v>931.35</v>
      </c>
      <c r="K4" t="n">
        <v>3.95</v>
      </c>
      <c r="L4" t="inlineStr">
        <is>
          <t>Price (904.28) retesting broken resistance (931.35) as support. Breakout on 2026-06-04 with 1.2× avg volume. Entry at 904.28, stop at 885.92.</t>
        </is>
      </c>
      <c r="M4" t="inlineStr">
        <is>
          <t>BUY_SIMULATED</t>
        </is>
      </c>
      <c r="N4" t="inlineStr">
        <is>
          <t>Price is inside buy zone, R/R is valid, and simulated risk limits allow entry.</t>
        </is>
      </c>
      <c r="O4" t="inlineStr">
        <is>
          <t>CAT
Breakout + Retest
0.46
score
Price
904.28
R/R
3.95x
Grade
A
Quality
78%
Buy Zone
901.06 - 931.35
Stop
885.92
Targets
976.78 / 931.35
High-quality watchlist candidate
Mixed
Relative Strength
Leadership
100%
Trend Quality
Clean uptrend
86%
Liquidity
Institutional liquidity
100%
Volume
Distribution risk
30%
Trigger
Close above 946.83 or reclaim of broken resistance.
Invalidation
Exit if price closes below 885.92 or setup support fails.
Recent volume shows distribution risk.
Market regime: Mixed.
Relative strength: Leadership.
Price (904.28) retesting broken resistance (931.35) as support. Breakout on 2026-06-04 with 1.2× avg volume. Entry at 904.28, stop at 885.92.
Fib 61.8
764.64
Fib Zone
757.07 - 772.21
Swing Low
661.59
Swing High
931.35
Save setup
Click chart to open full size</t>
        </is>
      </c>
      <c r="P4" t="inlineStr">
        <is>
          <t>agent_results\charts\market_lens_agent_20260607_100446_cat.png</t>
        </is>
      </c>
      <c r="Q4" t="inlineStr">
        <is>
          <t>Smart Universe: broad liquid US universe, diversified by sector | Sector: Industrials - Neutral (67/100); XLI sector regime is neutral: 2.2% 3m return, -6.9% vs SPY | Setup: Breakout + Retest; score 0.46; R/R 3.95x; price 904.28 | Agent action: BUY_SIMULATED - Price is inside buy zone, R/R is valid, and simulated risk limits allow entry.</t>
        </is>
      </c>
    </row>
    <row r="5">
      <c r="A5" t="inlineStr">
        <is>
          <t>2026-06-07T10:10:42</t>
        </is>
      </c>
      <c r="B5" t="inlineStr">
        <is>
          <t>C</t>
        </is>
      </c>
      <c r="C5" t="inlineStr">
        <is>
          <t>Breakout + Retest</t>
        </is>
      </c>
      <c r="D5" t="n">
        <v>0.45</v>
      </c>
      <c r="E5" t="n">
        <v>132.47</v>
      </c>
      <c r="F5" t="n">
        <v>131.09</v>
      </c>
      <c r="G5" t="n">
        <v>134.65</v>
      </c>
      <c r="H5" t="n">
        <v>129.31</v>
      </c>
      <c r="I5" t="n">
        <v>140</v>
      </c>
      <c r="J5" t="n">
        <v>134.65</v>
      </c>
      <c r="K5" t="n">
        <v>2.38</v>
      </c>
      <c r="L5" t="inlineStr">
        <is>
          <t>Price (132.47) retesting broken resistance (134.65) as support. Breakout on 2026-06-04 with 1.1× avg volume. Entry at 132.47, stop at 129.31.</t>
        </is>
      </c>
      <c r="M5" t="inlineStr">
        <is>
          <t>BUY_SIMULATED</t>
        </is>
      </c>
      <c r="N5" t="inlineStr">
        <is>
          <t>Price is inside buy zone, R/R is valid, and simulated risk limits allow entry.</t>
        </is>
      </c>
      <c r="O5" t="inlineStr">
        <is>
          <t>C
Breakout + Retest
0.45
score
Price
132.47
R/R
2.38x
Grade
A
Quality
84%
Buy Zone
131.09 - 134.65
Stop
129.31
Targets
140.00 / 134.65
High-quality watchlist candidate
Mixed
Relative Strength
Leadership
100%
Trend Quality
Clean uptrend
86%
Liquidity
Institutional liquidity
100%
Volume
Confirmed
85%
Trigger
Close above 135.67 or reclaim of broken resistance.
Invalidation
Exit if price closes below 129.31 or setup support fails.
Market regime: Mixed.
Relative strength: Leadership.
Price (132.47) retesting broken resistance (134.65) as support. Breakout on 2026-06-04 with 1.1× avg volume. Entry at 132.47, stop at 129.31.
Fib 61.8
114.18
Fib Zone
113.29 - 115.07
Swing Low
101.53
Swing High
134.65
Save setup
Click chart to open full size</t>
        </is>
      </c>
      <c r="P5" t="inlineStr">
        <is>
          <t>agent_results\charts\market_lens_agent_20260607_100446_c.png</t>
        </is>
      </c>
      <c r="Q5" t="inlineStr">
        <is>
          <t>Smart Universe: broad liquid US universe, diversified by sector | Sector: Financials - Strong (70/100); XLF sector regime is strong: 4.4% 3m return, -4.6% vs SPY | Setup: Breakout + Retest; score 0.45; R/R 2.38x; price 132.47 | Agent action: BUY_SIMULATED - Price is inside buy zone, R/R is valid, and simulated risk limits allow entry.</t>
        </is>
      </c>
    </row>
    <row r="6">
      <c r="A6" t="inlineStr">
        <is>
          <t>2026-06-07T10:10:42</t>
        </is>
      </c>
      <c r="B6" t="inlineStr">
        <is>
          <t>AMAT</t>
        </is>
      </c>
      <c r="C6" t="inlineStr">
        <is>
          <t>No Trade</t>
        </is>
      </c>
      <c r="D6" t="n">
        <v>0</v>
      </c>
      <c r="E6" t="n">
        <v>453.01</v>
      </c>
      <c r="H6" t="n">
        <v>0</v>
      </c>
      <c r="K6" t="n">
        <v>0</v>
      </c>
      <c r="L6" t="inlineStr">
        <is>
          <t>No clean technical setup detected. Price in middle of value area or poor risk/reward.</t>
        </is>
      </c>
      <c r="M6" t="inlineStr">
        <is>
          <t>SKIP</t>
        </is>
      </c>
      <c r="N6" t="inlineStr">
        <is>
          <t>No Trade result.</t>
        </is>
      </c>
      <c r="O6" t="inlineStr">
        <is>
          <t>AMAT
No Trade
0.00
score
Price
453.01
R/R
0.00x
Grade
No Trade
Quality
0%
Buy Zone
-
Stop
0.00
Targets
-
Skip
Mixed
Relative Strength
Leadership
100%
Trend Quality
Clean uptrend
86%
Liquidity
Institutional liquidity
100%
Volume
Neutral
50%
No actionable setup detected.
No clean technical setup detected. Price in middle of value area or poor risk/reward.
Fib 61.8
403.84
Fib Zone
398.18 - 409.49
Swing Low
376.60
Swing High
447.89
Click chart to open full size</t>
        </is>
      </c>
      <c r="P6" t="inlineStr">
        <is>
          <t>agent_results\charts\market_lens_agent_20260607_100446_amat.png</t>
        </is>
      </c>
      <c r="Q6" t="inlineStr">
        <is>
          <t>Smart Universe: broad liquid US universe, diversified by sector | Sector: Semiconductors - Strong (79/100); SMH sector regime is strong: 44.5% 3m return, 35.4% vs SPY | Setup: No Trade; score 0.00; R/R 0.00x; price 453.01 | Agent action: SKIP - No Trade result.</t>
        </is>
      </c>
    </row>
    <row r="7">
      <c r="A7" t="inlineStr">
        <is>
          <t>2026-06-07T10:10:42</t>
        </is>
      </c>
      <c r="B7" t="inlineStr">
        <is>
          <t>PANW</t>
        </is>
      </c>
      <c r="C7" t="inlineStr">
        <is>
          <t>No Trade</t>
        </is>
      </c>
      <c r="D7" t="n">
        <v>0</v>
      </c>
      <c r="E7" t="n">
        <v>272.05</v>
      </c>
      <c r="H7" t="n">
        <v>0</v>
      </c>
      <c r="K7" t="n">
        <v>0</v>
      </c>
      <c r="L7" t="inlineStr">
        <is>
          <t>No clean technical setup detected. Price in middle of value area or poor risk/reward.</t>
        </is>
      </c>
      <c r="M7" t="inlineStr">
        <is>
          <t>SKIP</t>
        </is>
      </c>
      <c r="N7" t="inlineStr">
        <is>
          <t>No Trade result.</t>
        </is>
      </c>
      <c r="O7" t="inlineStr">
        <is>
          <t>PANW
No Trade
0.00
score
Price
272.05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157.16
Fib Zone
153.95 - 160.38
Swing Low
143.50
Swing High
179.27
Click chart to open full size</t>
        </is>
      </c>
      <c r="P7" t="inlineStr">
        <is>
          <t>agent_results\charts\market_lens_agent_20260607_100446_panw.png</t>
        </is>
      </c>
      <c r="Q7" t="inlineStr">
        <is>
          <t>Smart Universe: broad liquid US universe, diversified by sector | Sector: Technology - Strong (76/100); XLK sector regime is strong: 29.2% 3m return, 20.1% vs SPY | Setup: No Trade; score 0.00; R/R 0.00x; price 272.05 | Agent action: SKIP - No Trade result.</t>
        </is>
      </c>
    </row>
    <row r="8">
      <c r="A8" t="inlineStr">
        <is>
          <t>2026-06-07T10:10:42</t>
        </is>
      </c>
      <c r="B8" t="inlineStr">
        <is>
          <t>KLAC</t>
        </is>
      </c>
      <c r="C8" t="inlineStr">
        <is>
          <t>No Trade</t>
        </is>
      </c>
      <c r="D8" t="n">
        <v>0</v>
      </c>
      <c r="E8" t="n">
        <v>1929.2</v>
      </c>
      <c r="H8" t="n">
        <v>0</v>
      </c>
      <c r="K8" t="n">
        <v>0</v>
      </c>
      <c r="L8" t="inlineStr">
        <is>
          <t>No clean technical setup detected. Price in middle of value area or poor risk/reward.</t>
        </is>
      </c>
      <c r="M8" t="inlineStr">
        <is>
          <t>SKIP</t>
        </is>
      </c>
      <c r="N8" t="inlineStr">
        <is>
          <t>No Trade result.</t>
        </is>
      </c>
      <c r="O8" t="inlineStr">
        <is>
          <t>KLAC
No Trade
0.00
score
Price
1929.20
R/R
0.00x
Grade
No Trade
Quality
0%
Buy Zone
-
Stop
0.00
Targets
-
Skip
Mixed
Relative Strength
Leadership
100%
Trend Quality
Clean uptrend
86%
Liquidity
Institutional liquidity
100%
Volume
Neutral
50%
No actionable setup detected.
No clean technical setup detected. Price in middle of value area or poor risk/reward.
Fib 61.8
1745.04
Fib Zone
1720.95 - 1769.14
Swing Low
1643.90
Swing High
1908.67
Click chart to open full size</t>
        </is>
      </c>
      <c r="P8" t="inlineStr">
        <is>
          <t>agent_results\charts\market_lens_agent_20260607_100446_klac.png</t>
        </is>
      </c>
      <c r="Q8" t="inlineStr">
        <is>
          <t>Smart Universe: broad liquid US universe, diversified by sector | Sector: Semiconductors - Strong (79/100); SMH sector regime is strong: 44.5% 3m return, 35.4% vs SPY | Setup: No Trade; score 0.00; R/R 0.00x; price 1929.20 | Agent action: SKIP - No Trade result.</t>
        </is>
      </c>
    </row>
    <row r="9">
      <c r="A9" t="inlineStr">
        <is>
          <t>2026-06-07T10:10:42</t>
        </is>
      </c>
      <c r="B9" t="inlineStr">
        <is>
          <t>ORCL</t>
        </is>
      </c>
      <c r="C9" t="inlineStr">
        <is>
          <t>No Trade</t>
        </is>
      </c>
      <c r="D9" t="n">
        <v>0</v>
      </c>
      <c r="E9" t="n">
        <v>213.68</v>
      </c>
      <c r="H9" t="n">
        <v>0</v>
      </c>
      <c r="K9" t="n">
        <v>0</v>
      </c>
      <c r="L9" t="inlineStr">
        <is>
          <t>No clean technical setup detected. Price in middle of value area or poor risk/reward.</t>
        </is>
      </c>
      <c r="M9" t="inlineStr">
        <is>
          <t>SKIP</t>
        </is>
      </c>
      <c r="N9" t="inlineStr">
        <is>
          <t>No Trade result.</t>
        </is>
      </c>
      <c r="O9" t="inlineStr">
        <is>
          <t>ORCL
No Trade
0.00
score
Price
213.68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175.76
Fib Zone
172.62 - 178.89
Swing Low
160.33
Swing High
200.71
Click chart to open full size</t>
        </is>
      </c>
      <c r="P9" t="inlineStr">
        <is>
          <t>agent_results\charts\market_lens_agent_20260607_100446_orcl.png</t>
        </is>
      </c>
      <c r="Q9" t="inlineStr">
        <is>
          <t>Smart Universe: broad liquid US universe, diversified by sector | Sector: Technology - Strong (76/100); XLK sector regime is strong: 29.2% 3m return, 20.1% vs SPY | Setup: No Trade; score 0.00; R/R 0.00x; price 213.68 | Agent action: SKIP - No Trade result.</t>
        </is>
      </c>
    </row>
    <row r="10">
      <c r="A10" t="inlineStr">
        <is>
          <t>2026-06-07T10:10:42</t>
        </is>
      </c>
      <c r="B10" t="inlineStr">
        <is>
          <t>UNH</t>
        </is>
      </c>
      <c r="C10" t="inlineStr">
        <is>
          <t>No Trade</t>
        </is>
      </c>
      <c r="D10" t="n">
        <v>0</v>
      </c>
      <c r="E10" t="n">
        <v>399.47</v>
      </c>
      <c r="H10" t="n">
        <v>0</v>
      </c>
      <c r="K10" t="n">
        <v>0</v>
      </c>
      <c r="L10" t="inlineStr">
        <is>
          <t>No clean technical setup detected. Price in middle of value area or poor risk/reward.</t>
        </is>
      </c>
      <c r="M10" t="inlineStr">
        <is>
          <t>SKIP</t>
        </is>
      </c>
      <c r="N10" t="inlineStr">
        <is>
          <t>No Trade result.</t>
        </is>
      </c>
      <c r="O10" t="inlineStr">
        <is>
          <t>UNH
No Trade
0.00
score
Price
399.47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312.57
Fib Zone
310.10 - 315.05
Swing Low
255.97
Swing High
404.15
Click chart to open full size</t>
        </is>
      </c>
      <c r="P10" t="inlineStr">
        <is>
          <t>agent_results\charts\market_lens_agent_20260607_100446_unh.png</t>
        </is>
      </c>
      <c r="Q10" t="inlineStr">
        <is>
          <t>Smart Universe: broad liquid US universe, diversified by sector | Sector: Healthcare - Neutral (66/100); XLV sector regime is neutral: -0.4% 3m return, -9.4% vs SPY | Setup: No Trade; score 0.00; R/R 0.00x; price 399.47 | Agent action: SKIP - No Trade result.</t>
        </is>
      </c>
    </row>
    <row r="11">
      <c r="A11" t="inlineStr">
        <is>
          <t>2026-06-07T10:10:42</t>
        </is>
      </c>
      <c r="B11" t="inlineStr">
        <is>
          <t>CRWD</t>
        </is>
      </c>
      <c r="C11" t="inlineStr">
        <is>
          <t>No Trade</t>
        </is>
      </c>
      <c r="D11" t="n">
        <v>0</v>
      </c>
      <c r="E11" t="n">
        <v>671.02</v>
      </c>
      <c r="H11" t="n">
        <v>0</v>
      </c>
      <c r="K11" t="n">
        <v>0</v>
      </c>
      <c r="L11" t="inlineStr">
        <is>
          <t>No clean technical setup detected. Price in middle of value area or poor risk/reward.</t>
        </is>
      </c>
      <c r="M11" t="inlineStr">
        <is>
          <t>SKIP</t>
        </is>
      </c>
      <c r="N11" t="inlineStr">
        <is>
          <t>No Trade result.</t>
        </is>
      </c>
      <c r="O11" t="inlineStr">
        <is>
          <t>CRWD
No Trade
0.00
score
Price
671.02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404.00
Fib Zone
395.22 - 412.77
Swing Low
364.47
Swing High
467.95
Click chart to open full size</t>
        </is>
      </c>
      <c r="P11" t="inlineStr">
        <is>
          <t>agent_results\charts\market_lens_agent_20260607_100446_crwd.png</t>
        </is>
      </c>
      <c r="Q11" t="inlineStr">
        <is>
          <t>Smart Universe: broad liquid US universe, diversified by sector | Sector: Technology - Strong (76/100); XLK sector regime is strong: 29.2% 3m return, 20.1% vs SPY | Setup: No Trade; score 0.00; R/R 0.00x; price 671.02 | Agent action: SKIP - No Trade result.</t>
        </is>
      </c>
    </row>
    <row r="12">
      <c r="A12" t="inlineStr">
        <is>
          <t>2026-06-07T10:10:42</t>
        </is>
      </c>
      <c r="B12" t="inlineStr">
        <is>
          <t>MU</t>
        </is>
      </c>
      <c r="C12" t="inlineStr">
        <is>
          <t>No Trade</t>
        </is>
      </c>
      <c r="D12" t="n">
        <v>0</v>
      </c>
      <c r="E12" t="n">
        <v>864.01</v>
      </c>
      <c r="H12" t="n">
        <v>0</v>
      </c>
      <c r="K12" t="n">
        <v>0</v>
      </c>
      <c r="L12" t="inlineStr">
        <is>
          <t>No clean technical setup detected. Price in middle of value area or poor risk/reward.</t>
        </is>
      </c>
      <c r="M12" t="inlineStr">
        <is>
          <t>SKIP</t>
        </is>
      </c>
      <c r="N12" t="inlineStr">
        <is>
          <t>No Trade result.</t>
        </is>
      </c>
      <c r="O12" t="inlineStr">
        <is>
          <t>MU
No Trade
0.00
score
Price
864.01
R/R
0.00x
Grade
No Trade
Quality
0%
Buy Zone
-
Stop
0.00
Targets
-
Skip
Mixed
Relative Strength
Leadership
100%
Trend Quality
Clean uptrend
86%
Liquidity
Institutional liquidity
100%
Volume
Confirmed
100%
No actionable setup detected.
No clean technical setup detected. Price in middle of value area or poor risk/reward.
Fib 61.8
505.23
Fib Zone
488.78 - 521.68
Swing Low
311.49
Swing High
818.67
Click chart to open full size</t>
        </is>
      </c>
      <c r="P12" t="inlineStr">
        <is>
          <t>agent_results\charts\market_lens_agent_20260607_100446_mu.png</t>
        </is>
      </c>
      <c r="Q12" t="inlineStr">
        <is>
          <t>Smart Universe: broad liquid US universe, diversified by sector | Sector: Semiconductors - Strong (79/100); SMH sector regime is strong: 44.5% 3m return, 35.4% vs SPY | Setup: No Trade; score 0.00; R/R 0.00x; price 864.01 | Agent action: SKIP - No Trade result.</t>
        </is>
      </c>
    </row>
    <row r="13">
      <c r="A13" t="inlineStr">
        <is>
          <t>2026-06-07T10:10:42</t>
        </is>
      </c>
      <c r="B13" t="inlineStr">
        <is>
          <t>MS</t>
        </is>
      </c>
      <c r="C13" t="inlineStr">
        <is>
          <t>No Trade</t>
        </is>
      </c>
      <c r="D13" t="n">
        <v>0</v>
      </c>
      <c r="E13" t="n">
        <v>211.93</v>
      </c>
      <c r="H13" t="n">
        <v>0</v>
      </c>
      <c r="K13" t="n">
        <v>0</v>
      </c>
      <c r="L13" t="inlineStr">
        <is>
          <t>No clean technical setup detected. Price in middle of value area or poor risk/reward.</t>
        </is>
      </c>
      <c r="M13" t="inlineStr">
        <is>
          <t>SKIP</t>
        </is>
      </c>
      <c r="N13" t="inlineStr">
        <is>
          <t>No Trade result.</t>
        </is>
      </c>
      <c r="O13" t="inlineStr">
        <is>
          <t>MS
No Trade
0.00
score
Price
211.93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167.86
Fib Zone
166.53 - 169.19
Swing Low
151.98
Swing High
193.55
Click chart to open full size</t>
        </is>
      </c>
      <c r="P13" t="inlineStr">
        <is>
          <t>agent_results\charts\market_lens_agent_20260607_100446_ms.png</t>
        </is>
      </c>
      <c r="Q13" t="inlineStr">
        <is>
          <t>Smart Universe: broad liquid US universe, diversified by sector | Sector: Financials - Strong (70/100); XLF sector regime is strong: 4.4% 3m return, -4.6% vs SPY | Setup: No Trade; score 0.00; R/R 0.00x; price 211.93 | Agent action: SKIP - No Trade result.</t>
        </is>
      </c>
    </row>
    <row r="14">
      <c r="A14" t="inlineStr">
        <is>
          <t>2026-06-07T10:10:42</t>
        </is>
      </c>
      <c r="B14" t="inlineStr">
        <is>
          <t>GS</t>
        </is>
      </c>
      <c r="C14" t="inlineStr">
        <is>
          <t>No Trade</t>
        </is>
      </c>
      <c r="D14" t="n">
        <v>0</v>
      </c>
      <c r="E14" t="n">
        <v>1038.68</v>
      </c>
      <c r="H14" t="n">
        <v>0</v>
      </c>
      <c r="K14" t="n">
        <v>0</v>
      </c>
      <c r="L14" t="inlineStr">
        <is>
          <t>No clean technical setup detected. Price in middle of value area or poor risk/reward.</t>
        </is>
      </c>
      <c r="M14" t="inlineStr">
        <is>
          <t>SKIP</t>
        </is>
      </c>
      <c r="N14" t="inlineStr">
        <is>
          <t>No Trade result.</t>
        </is>
      </c>
      <c r="O14" t="inlineStr">
        <is>
          <t>GS
No Trade
0.00
score
Price
1038.68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842.30
Fib Zone
834.41 - 850.20
Swing Low
777.08
Swing High
947.83
Click chart to open full size</t>
        </is>
      </c>
      <c r="P14" t="inlineStr">
        <is>
          <t>agent_results\charts\market_lens_agent_20260607_100446_gs.png</t>
        </is>
      </c>
      <c r="Q14" t="inlineStr">
        <is>
          <t>Smart Universe: broad liquid US universe, diversified by sector | Sector: Financials - Strong (70/100); XLF sector regime is strong: 4.4% 3m return, -4.6% vs SPY | Setup: No Trade; score 0.00; R/R 0.00x; price 1038.68 | Agent action: SKIP - No Trade result.</t>
        </is>
      </c>
    </row>
    <row r="15">
      <c r="A15" t="inlineStr">
        <is>
          <t>2026-06-07T10:10:42</t>
        </is>
      </c>
      <c r="B15" t="inlineStr">
        <is>
          <t>URI</t>
        </is>
      </c>
      <c r="C15" t="inlineStr">
        <is>
          <t>No Trade</t>
        </is>
      </c>
      <c r="D15" t="n">
        <v>0</v>
      </c>
      <c r="E15" t="n">
        <v>1067.77</v>
      </c>
      <c r="H15" t="n">
        <v>0</v>
      </c>
      <c r="K15" t="n">
        <v>0</v>
      </c>
      <c r="L15" t="inlineStr">
        <is>
          <t>No clean technical setup detected. Price in middle of value area or poor risk/reward.</t>
        </is>
      </c>
      <c r="M15" t="inlineStr">
        <is>
          <t>SKIP</t>
        </is>
      </c>
      <c r="N15" t="inlineStr">
        <is>
          <t>No Trade result.</t>
        </is>
      </c>
      <c r="O15" t="inlineStr">
        <is>
          <t>URI
No Trade
0.00
score
Price
1067.77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819.18
Fib Zone
811.20 - 827.15
Swing Low
707.99
Swing High
999.06
Click chart to open full size</t>
        </is>
      </c>
      <c r="P15" t="inlineStr">
        <is>
          <t>agent_results\charts\market_lens_agent_20260607_100446_uri.png</t>
        </is>
      </c>
      <c r="Q15" t="inlineStr">
        <is>
          <t>Smart Universe: broad liquid US universe, diversified by sector | Sector: Industrials - Neutral (67/100); XLI sector regime is neutral: 2.2% 3m return, -6.9% vs SPY | Setup: No Trade; score 0.00; R/R 0.00x; price 1067.77 | Agent action: SKIP - No Trade result.</t>
        </is>
      </c>
    </row>
    <row r="16">
      <c r="A16" t="inlineStr">
        <is>
          <t>2026-06-07T10:10:42</t>
        </is>
      </c>
      <c r="B16" t="inlineStr">
        <is>
          <t>SMCI</t>
        </is>
      </c>
      <c r="C16" t="inlineStr">
        <is>
          <t>No Trade</t>
        </is>
      </c>
      <c r="D16" t="n">
        <v>0</v>
      </c>
      <c r="E16" t="n">
        <v>41.64</v>
      </c>
      <c r="H16" t="n">
        <v>0</v>
      </c>
      <c r="K16" t="n">
        <v>0</v>
      </c>
      <c r="L16" t="inlineStr">
        <is>
          <t>No clean technical setup detected. Price in middle of value area or poor risk/reward.</t>
        </is>
      </c>
      <c r="M16" t="inlineStr">
        <is>
          <t>SKIP</t>
        </is>
      </c>
      <c r="N16" t="inlineStr">
        <is>
          <t>No Trade result.</t>
        </is>
      </c>
      <c r="O16" t="inlineStr">
        <is>
          <t>SMCI
No Trade
0.00
score
Price
41.64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29.63
Fib Zone
28.83 - 30.42
Swing Low
25.46
Swing High
36.37
Click chart to open full size</t>
        </is>
      </c>
      <c r="P16" t="inlineStr">
        <is>
          <t>agent_results\charts\market_lens_agent_20260607_100446_smci.png</t>
        </is>
      </c>
      <c r="Q16" t="inlineStr">
        <is>
          <t>Smart Universe: broad liquid US universe, diversified by sector | Sector: Semiconductors - Strong (79/100); SMH sector regime is strong: 44.5% 3m return, 35.4% vs SPY | Setup: No Trade; score 0.00; R/R 0.00x; price 41.64 | Agent action: SKIP - No Trade result.</t>
        </is>
      </c>
    </row>
    <row r="17">
      <c r="A17" t="inlineStr">
        <is>
          <t>2026-06-07T10:10:42</t>
        </is>
      </c>
      <c r="B17" t="inlineStr">
        <is>
          <t>HST</t>
        </is>
      </c>
      <c r="C17" t="inlineStr">
        <is>
          <t>No Trade</t>
        </is>
      </c>
      <c r="D17" t="n">
        <v>0</v>
      </c>
      <c r="E17" t="n">
        <v>24.62</v>
      </c>
      <c r="H17" t="n">
        <v>0</v>
      </c>
      <c r="K17" t="n">
        <v>0</v>
      </c>
      <c r="L17" t="inlineStr">
        <is>
          <t>No clean technical setup detected. Price in middle of value area or poor risk/reward.</t>
        </is>
      </c>
      <c r="M17" t="inlineStr">
        <is>
          <t>SKIP</t>
        </is>
      </c>
      <c r="N17" t="inlineStr">
        <is>
          <t>No Trade result.</t>
        </is>
      </c>
      <c r="O17" t="inlineStr">
        <is>
          <t>HST
No Trade
0.00
score
Price
24.62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21.35
Fib Zone
21.22 - 21.48
Swing Low
20.71
Swing High
22.39
Click chart to open full size</t>
        </is>
      </c>
      <c r="P17" t="inlineStr">
        <is>
          <t>agent_results\charts\market_lens_agent_20260607_100446_hst.png</t>
        </is>
      </c>
      <c r="Q17" t="inlineStr">
        <is>
          <t>Smart Universe: broad liquid US universe, diversified by sector | Sector: Real Estate - Strong (70/100); XLRE sector regime is strong: 4.7% 3m return, -4.3% vs SPY | Setup: No Trade; score 0.00; R/R 0.00x; price 24.62 | Agent action: SKIP - No Trade result.</t>
        </is>
      </c>
    </row>
    <row r="18">
      <c r="A18" t="inlineStr">
        <is>
          <t>2026-06-07T10:10:42</t>
        </is>
      </c>
      <c r="B18" t="inlineStr">
        <is>
          <t>ASML</t>
        </is>
      </c>
      <c r="C18" t="inlineStr">
        <is>
          <t>No Trade</t>
        </is>
      </c>
      <c r="D18" t="n">
        <v>0</v>
      </c>
      <c r="E18" t="n">
        <v>1641.74</v>
      </c>
      <c r="H18" t="n">
        <v>0</v>
      </c>
      <c r="K18" t="n">
        <v>0</v>
      </c>
      <c r="L18" t="inlineStr">
        <is>
          <t>No clean technical setup detected. Price in middle of value area or poor risk/reward.</t>
        </is>
      </c>
      <c r="M18" t="inlineStr">
        <is>
          <t>SKIP</t>
        </is>
      </c>
      <c r="N18" t="inlineStr">
        <is>
          <t>No Trade result.</t>
        </is>
      </c>
      <c r="O18" t="inlineStr">
        <is>
          <t>ASML
No Trade
0.00
score
Price
1641.74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1455.99
Fib Zone
1438.81 - 1473.16
Swing Low
1364.81
Swing High
1603.49
Click chart to open full size</t>
        </is>
      </c>
      <c r="P18" t="inlineStr">
        <is>
          <t>agent_results\charts\market_lens_agent_20260607_100446_asml.png</t>
        </is>
      </c>
      <c r="Q18" t="inlineStr">
        <is>
          <t>Smart Universe: broad liquid US universe, diversified by sector | Sector: Semiconductors - Strong (79/100); SMH sector regime is strong: 44.5% 3m return, 35.4% vs SPY | Setup: No Trade; score 0.00; R/R 0.00x; price 1641.74 | Agent action: SKIP - No Trade result.</t>
        </is>
      </c>
    </row>
    <row r="19">
      <c r="A19" t="inlineStr">
        <is>
          <t>2026-06-07T10:10:42</t>
        </is>
      </c>
      <c r="B19" t="inlineStr">
        <is>
          <t>TXN</t>
        </is>
      </c>
      <c r="C19" t="inlineStr">
        <is>
          <t>No Trade</t>
        </is>
      </c>
      <c r="D19" t="n">
        <v>0</v>
      </c>
      <c r="E19" t="n">
        <v>285.06</v>
      </c>
      <c r="H19" t="n">
        <v>0</v>
      </c>
      <c r="K19" t="n">
        <v>0</v>
      </c>
      <c r="L19" t="inlineStr">
        <is>
          <t>No clean technical setup detected. Price in middle of value area or poor risk/reward.</t>
        </is>
      </c>
      <c r="M19" t="inlineStr">
        <is>
          <t>SKIP</t>
        </is>
      </c>
      <c r="N19" t="inlineStr">
        <is>
          <t>No Trade result.</t>
        </is>
      </c>
      <c r="O19" t="inlineStr">
        <is>
          <t>TXN
No Trade
0.00
score
Price
285.06
R/R
0.00x
Grade
No Trade
Quality
0%
Buy Zone
-
Stop
0.00
Targets
-
Skip
Mixed
Relative Strength
Leadership
87%
Trend Quality
Constructive
68%
Liquidity
Institutional liquidity
100%
Volume
Confirmed
85%
No actionable setup detected.
No clean technical setup detected. Price in middle of value area or poor risk/reward.
Fib 61.8
223.12
Fib Zone
220.05 - 226.19
Swing Low
184.01
Swing High
286.37
Click chart to open full size</t>
        </is>
      </c>
      <c r="P19" t="inlineStr">
        <is>
          <t>agent_results\charts\market_lens_agent_20260607_100446_txn.png</t>
        </is>
      </c>
      <c r="Q19" t="inlineStr">
        <is>
          <t>Smart Universe: broad liquid US universe, diversified by sector | Sector: Technology - Strong (76/100); XLK sector regime is strong: 29.2% 3m return, 20.1% vs SPY | Setup: No Trade; score 0.00; R/R 0.00x; price 285.06 | Agent action: SKIP - No Trade result.</t>
        </is>
      </c>
    </row>
    <row r="20">
      <c r="A20" t="inlineStr">
        <is>
          <t>2026-06-07T10:10:42</t>
        </is>
      </c>
      <c r="B20" t="inlineStr">
        <is>
          <t>LLY</t>
        </is>
      </c>
      <c r="C20" t="inlineStr">
        <is>
          <t>No Trade</t>
        </is>
      </c>
      <c r="D20" t="n">
        <v>0</v>
      </c>
      <c r="E20" t="n">
        <v>1131.42</v>
      </c>
      <c r="H20" t="n">
        <v>0</v>
      </c>
      <c r="K20" t="n">
        <v>0</v>
      </c>
      <c r="L20" t="inlineStr">
        <is>
          <t>No clean technical setup detected. Price in middle of value area or poor risk/reward.</t>
        </is>
      </c>
      <c r="M20" t="inlineStr">
        <is>
          <t>SKIP</t>
        </is>
      </c>
      <c r="N20" t="inlineStr">
        <is>
          <t>No Trade result.</t>
        </is>
      </c>
      <c r="O20" t="inlineStr">
        <is>
          <t>LLY
No Trade
0.00
score
Price
1131.42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963.67
Fib Zone
954.73 - 972.61
Swing Low
849.05
Swing High
1149.10
Click chart to open full size</t>
        </is>
      </c>
      <c r="P20" t="inlineStr">
        <is>
          <t>agent_results\charts\market_lens_agent_20260607_100446_lly.png</t>
        </is>
      </c>
      <c r="Q20" t="inlineStr">
        <is>
          <t>Smart Universe: broad liquid US universe, diversified by sector | Sector: Healthcare - Neutral (66/100); XLV sector regime is neutral: -0.4% 3m return, -9.4% vs SPY | Setup: No Trade; score 0.00; R/R 0.00x; price 1131.42 | Agent action: SKIP - No Trade result.</t>
        </is>
      </c>
    </row>
    <row r="21">
      <c r="A21" t="inlineStr">
        <is>
          <t>2026-06-07T10:10:42</t>
        </is>
      </c>
      <c r="B21" t="inlineStr">
        <is>
          <t>MPC</t>
        </is>
      </c>
      <c r="C21" t="inlineStr">
        <is>
          <t>No Trade</t>
        </is>
      </c>
      <c r="D21" t="n">
        <v>0</v>
      </c>
      <c r="E21" t="n">
        <v>262.01</v>
      </c>
      <c r="H21" t="n">
        <v>0</v>
      </c>
      <c r="K21" t="n">
        <v>0</v>
      </c>
      <c r="L21" t="inlineStr">
        <is>
          <t>No clean technical setup detected. Price in middle of value area or poor risk/reward.</t>
        </is>
      </c>
      <c r="M21" t="inlineStr">
        <is>
          <t>SKIP</t>
        </is>
      </c>
      <c r="N21" t="inlineStr">
        <is>
          <t>No Trade result.</t>
        </is>
      </c>
      <c r="O21" t="inlineStr">
        <is>
          <t>MPC
No Trade
0.00
score
Price
262.01
R/R
0.00x
Grade
No Trade
Quality
0%
Buy Zone
-
Stop
0.00
Targets
-
Skip
Mixed
Relative Strength
Leadership
100%
Trend Quality
Clean uptrend
86%
Liquidity
Institutional liquidity
100%
Volume
Distribution risk
30%
No actionable setup detected.
No clean technical setup detected. Price in middle of value area or poor risk/reward.
Fib 61.8
245.05
Fib Zone
242.88 - 247.22
Swing Low
233.25
Swing High
264.14
Click chart to open full size</t>
        </is>
      </c>
      <c r="P21" t="inlineStr">
        <is>
          <t>agent_results\charts\market_lens_agent_20260607_100446_mpc.png</t>
        </is>
      </c>
      <c r="Q21" t="inlineStr">
        <is>
          <t>Smart Universe: broad liquid US universe, diversified by sector | Sector: Energy - Neutral (48/100); XLE sector regime is neutral: 3.1% 3m return, -6.0% vs SPY | Setup: No Trade; score 0.00; R/R 0.00x; price 262.01 | Agent action: SKIP - No Trade result.</t>
        </is>
      </c>
    </row>
    <row r="22">
      <c r="A22" t="inlineStr">
        <is>
          <t>2026-06-07T10:10:42</t>
        </is>
      </c>
      <c r="B22" t="inlineStr">
        <is>
          <t>VLO</t>
        </is>
      </c>
      <c r="C22" t="inlineStr">
        <is>
          <t>No Trade</t>
        </is>
      </c>
      <c r="D22" t="n">
        <v>0</v>
      </c>
      <c r="E22" t="n">
        <v>255.82</v>
      </c>
      <c r="H22" t="n">
        <v>0</v>
      </c>
      <c r="K22" t="n">
        <v>0</v>
      </c>
      <c r="L22" t="inlineStr">
        <is>
          <t>No clean technical setup detected. Price in middle of value area or poor risk/reward.</t>
        </is>
      </c>
      <c r="M22" t="inlineStr">
        <is>
          <t>SKIP</t>
        </is>
      </c>
      <c r="N22" t="inlineStr">
        <is>
          <t>No Trade result.</t>
        </is>
      </c>
      <c r="O22" t="inlineStr">
        <is>
          <t>VLO
No Trade
0.00
score
Price
255.82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240.05
Fib Zone
237.85 - 242.25
Swing Low
226.18
Swing High
262.50
Click chart to open full size</t>
        </is>
      </c>
      <c r="P22" t="inlineStr">
        <is>
          <t>agent_results\charts\market_lens_agent_20260607_100446_vlo.png</t>
        </is>
      </c>
      <c r="Q22" t="inlineStr">
        <is>
          <t>Smart Universe: broad liquid US universe, diversified by sector | Sector: Energy - Neutral (48/100); XLE sector regime is neutral: 3.1% 3m return, -6.0% vs SPY | Setup: No Trade; score 0.00; R/R 0.00x; price 255.82 | Agent action: SKIP - No Trade result.</t>
        </is>
      </c>
    </row>
    <row r="23">
      <c r="A23" t="inlineStr">
        <is>
          <t>2026-06-07T10:10:42</t>
        </is>
      </c>
      <c r="B23" t="inlineStr">
        <is>
          <t>BAC</t>
        </is>
      </c>
      <c r="C23" t="inlineStr">
        <is>
          <t>No Trade</t>
        </is>
      </c>
      <c r="D23" t="n">
        <v>0</v>
      </c>
      <c r="E23" t="n">
        <v>53.83</v>
      </c>
      <c r="H23" t="n">
        <v>0</v>
      </c>
      <c r="K23" t="n">
        <v>0</v>
      </c>
      <c r="L23" t="inlineStr">
        <is>
          <t>No clean technical setup detected. Price in middle of value area or poor risk/reward.</t>
        </is>
      </c>
      <c r="M23" t="inlineStr">
        <is>
          <t>SKIP</t>
        </is>
      </c>
      <c r="N23" t="inlineStr">
        <is>
          <t>No Trade result.</t>
        </is>
      </c>
      <c r="O23" t="inlineStr">
        <is>
          <t>BAC
No Trade
0.00
score
Price
53.83
R/R
0.00x
Grade
No Trade
Quality
0%
Buy Zone
-
Stop
0.00
Targets
-
Skip
Mixed
Relative Strength
Leadership
100%
Trend Quality
Constructive
58%
Liquidity
Institutional liquidity
100%
Volume
Neutral
65%
No actionable setup detected.
No clean technical setup detected. Price in middle of value area or poor risk/reward.
Fib 61.8
49.41
Fib Zone
49.12 - 49.70
Swing Low
45.88
Swing High
55.11
Click chart to open full size</t>
        </is>
      </c>
      <c r="P23" t="inlineStr">
        <is>
          <t>agent_results\charts\market_lens_agent_20260607_100446_bac.png</t>
        </is>
      </c>
      <c r="Q23" t="inlineStr">
        <is>
          <t>Smart Universe: broad liquid US universe, diversified by sector | Sector: Financials - Strong (70/100); XLF sector regime is strong: 4.4% 3m return, -4.6% vs SPY | Setup: No Trade; score 0.00; R/R 0.00x; price 53.83 | Agent action: SKIP - No Trade result.</t>
        </is>
      </c>
    </row>
    <row r="24">
      <c r="A24" t="inlineStr">
        <is>
          <t>2026-06-07T10:10:42</t>
        </is>
      </c>
      <c r="B24" t="inlineStr">
        <is>
          <t>UPS</t>
        </is>
      </c>
      <c r="C24" t="inlineStr">
        <is>
          <t>No Trade</t>
        </is>
      </c>
      <c r="D24" t="n">
        <v>0</v>
      </c>
      <c r="E24" t="n">
        <v>108.54</v>
      </c>
      <c r="H24" t="n">
        <v>0</v>
      </c>
      <c r="K24" t="n">
        <v>0</v>
      </c>
      <c r="L24" t="inlineStr">
        <is>
          <t>No clean technical setup detected. Price in middle of value area or poor risk/reward.</t>
        </is>
      </c>
      <c r="M24" t="inlineStr">
        <is>
          <t>SKIP</t>
        </is>
      </c>
      <c r="N24" t="inlineStr">
        <is>
          <t>No Trade result.</t>
        </is>
      </c>
      <c r="O24" t="inlineStr">
        <is>
          <t>UPS
No Trade
0.00
score
Price
108.54
R/R
0.00x
Grade
No Trade
Quality
0%
Buy Zone
-
Stop
0.00
Targets
-
Skip
Mixed
Relative Strength
Leadership
100%
Trend Quality
Clean uptrend
86%
Liquidity
Institutional liquidity
100%
Volume
Confirmed
80%
No actionable setup detected.
No clean technical setup detected. Price in middle of value area or poor risk/reward.
Fib 61.8
98.43
Fib Zone
97.76 - 99.10
Swing Low
92.50
Swing High
108.02
Click chart to open full size</t>
        </is>
      </c>
      <c r="P24" t="inlineStr">
        <is>
          <t>agent_results\charts\market_lens_agent_20260607_100446_ups.png</t>
        </is>
      </c>
      <c r="Q24" t="inlineStr">
        <is>
          <t>Smart Universe: broad liquid US universe, diversified by sector | Sector: Industrials - Neutral (67/100); XLI sector regime is neutral: 2.2% 3m return, -6.9% vs SPY | Setup: No Trade; score 0.00; R/R 0.00x; price 108.54 | Agent action: SKIP - No Trade result.</t>
        </is>
      </c>
    </row>
    <row r="25">
      <c r="A25" t="inlineStr">
        <is>
          <t>2026-06-07T10:10:42</t>
        </is>
      </c>
      <c r="B25" t="inlineStr">
        <is>
          <t>AMH</t>
        </is>
      </c>
      <c r="C25" t="inlineStr">
        <is>
          <t>No Trade</t>
        </is>
      </c>
      <c r="D25" t="n">
        <v>0</v>
      </c>
      <c r="E25" t="n">
        <v>33.27</v>
      </c>
      <c r="H25" t="n">
        <v>0</v>
      </c>
      <c r="K25" t="n">
        <v>0</v>
      </c>
      <c r="L25" t="inlineStr">
        <is>
          <t>No clean technical setup detected. Price in middle of value area or poor risk/reward.</t>
        </is>
      </c>
      <c r="M25" t="inlineStr">
        <is>
          <t>SKIP</t>
        </is>
      </c>
      <c r="N25" t="inlineStr">
        <is>
          <t>No Trade result.</t>
        </is>
      </c>
      <c r="O25" t="inlineStr">
        <is>
          <t>AMH
No Trade
0.00
score
Price
33.27
R/R
0.00x
Grade
No Trade
Quality
0%
Buy Zone
-
Stop
0.00
Targets
-
Skip
Mixed
Relative Strength
Leadership
100%
Trend Quality
Clean uptrend
86%
Liquidity
Institutional liquidity
100%
Volume
Distribution risk
30%
No actionable setup detected.
No clean technical setup detected. Price in middle of value area or poor risk/reward.
Fib 61.8
28.73
Fib Zone
28.57 - 28.89
Swing Low
27.22
Swing High
31.18
Click chart to open full size</t>
        </is>
      </c>
      <c r="P25" t="inlineStr">
        <is>
          <t>agent_results\charts\market_lens_agent_20260607_100446_amh.png</t>
        </is>
      </c>
      <c r="Q25" t="inlineStr">
        <is>
          <t>Smart Universe: broad liquid US universe, diversified by sector | Sector: Real Estate - Strong (70/100); XLRE sector regime is strong: 4.7% 3m return, -4.3% vs SPY | Setup: No Trade; score 0.00; R/R 0.00x; price 33.27 | Agent action: SKIP - No Trade result.</t>
        </is>
      </c>
    </row>
    <row r="26">
      <c r="A26" t="inlineStr">
        <is>
          <t>2026-06-07T10:10:42</t>
        </is>
      </c>
      <c r="B26" t="inlineStr">
        <is>
          <t>PSX</t>
        </is>
      </c>
      <c r="C26" t="inlineStr">
        <is>
          <t>No Trade</t>
        </is>
      </c>
      <c r="D26" t="n">
        <v>0</v>
      </c>
      <c r="E26" t="n">
        <v>183.08</v>
      </c>
      <c r="H26" t="n">
        <v>0</v>
      </c>
      <c r="K26" t="n">
        <v>0</v>
      </c>
      <c r="L26" t="inlineStr">
        <is>
          <t>No clean technical setup detected. Price in middle of value area or poor risk/reward.</t>
        </is>
      </c>
      <c r="M26" t="inlineStr">
        <is>
          <t>SKIP</t>
        </is>
      </c>
      <c r="N26" t="inlineStr">
        <is>
          <t>No Trade result.</t>
        </is>
      </c>
      <c r="O26" t="inlineStr">
        <is>
          <t>PSX
No Trade
0.00
score
Price
183.08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172.07
Fib Zone
170.69 - 173.44
Swing Low
164.25
Swing High
184.72
Click chart to open full size</t>
        </is>
      </c>
      <c r="P26" t="inlineStr">
        <is>
          <t>agent_results\charts\market_lens_agent_20260607_100446_psx.png</t>
        </is>
      </c>
      <c r="Q26" t="inlineStr">
        <is>
          <t>Smart Universe: broad liquid US universe, diversified by sector | Sector: Energy - Neutral (48/100); XLE sector regime is neutral: 3.1% 3m return, -6.0% vs SPY | Setup: No Trade; score 0.00; R/R 0.00x; price 183.08 | Agent action: SKIP - No Trade result.</t>
        </is>
      </c>
    </row>
    <row r="27">
      <c r="A27" t="inlineStr">
        <is>
          <t>2026-06-07T10:10:42</t>
        </is>
      </c>
      <c r="B27" t="inlineStr">
        <is>
          <t>LAMR</t>
        </is>
      </c>
      <c r="C27" t="inlineStr">
        <is>
          <t>No Trade</t>
        </is>
      </c>
      <c r="D27" t="n">
        <v>0</v>
      </c>
      <c r="E27" t="n">
        <v>151.42</v>
      </c>
      <c r="H27" t="n">
        <v>0</v>
      </c>
      <c r="K27" t="n">
        <v>0</v>
      </c>
      <c r="L27" t="inlineStr">
        <is>
          <t>No clean technical setup detected. Price in middle of value area or poor risk/reward.</t>
        </is>
      </c>
      <c r="M27" t="inlineStr">
        <is>
          <t>SKIP</t>
        </is>
      </c>
      <c r="N27" t="inlineStr">
        <is>
          <t>No Trade result.</t>
        </is>
      </c>
      <c r="O27" t="inlineStr">
        <is>
          <t>LAMR
No Trade
0.00
score
Price
151.42
R/R
0.00x
Grade
No Trade
Quality
0%
Buy Zone
-
Stop
0.00
Targets
-
Skip
Mixed
Relative Strength
Leadership
100%
Trend Quality
Clean uptrend
86%
Liquidity
Institutional liquidity
100%
Volume
Distribution risk
30%
No actionable setup detected.
No clean technical setup detected. Price in middle of value area or poor risk/reward.
Fib 61.8
148.26
Fib Zone
147.52 - 149.00
Swing Low
144.11
Swing High
154.97
Click chart to open full size</t>
        </is>
      </c>
      <c r="P27" t="inlineStr">
        <is>
          <t>agent_results\charts\market_lens_agent_20260607_100446_lamr.png</t>
        </is>
      </c>
      <c r="Q27" t="inlineStr">
        <is>
          <t>Smart Universe: broad liquid US universe, diversified by sector | Sector: Real Estate - Strong (70/100); XLRE sector regime is strong: 4.7% 3m return, -4.3% vs SPY | Setup: No Trade; score 0.00; R/R 0.00x; price 151.42 | Agent action: SKIP - No Trade result.</t>
        </is>
      </c>
    </row>
    <row r="28">
      <c r="A28" t="inlineStr">
        <is>
          <t>2026-06-07T10:10:42</t>
        </is>
      </c>
      <c r="B28" t="inlineStr">
        <is>
          <t>UNP</t>
        </is>
      </c>
      <c r="C28" t="inlineStr">
        <is>
          <t>No Trade</t>
        </is>
      </c>
      <c r="D28" t="n">
        <v>0</v>
      </c>
      <c r="E28" t="n">
        <v>272.32</v>
      </c>
      <c r="H28" t="n">
        <v>0</v>
      </c>
      <c r="K28" t="n">
        <v>0</v>
      </c>
      <c r="L28" t="inlineStr">
        <is>
          <t>No clean technical setup detected. Price in middle of value area or poor risk/reward.</t>
        </is>
      </c>
      <c r="M28" t="inlineStr">
        <is>
          <t>SKIP</t>
        </is>
      </c>
      <c r="N28" t="inlineStr">
        <is>
          <t>No Trade result.</t>
        </is>
      </c>
      <c r="O28" t="inlineStr">
        <is>
          <t>UNP
No Trade
0.00
score
Price
272.32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265.53
Fib Zone
263.88 - 267.17
Swing Low
259.69
Swing High
274.97
Click chart to open full size</t>
        </is>
      </c>
      <c r="P28" t="inlineStr">
        <is>
          <t>agent_results\charts\market_lens_agent_20260607_100446_unp.png</t>
        </is>
      </c>
      <c r="Q28" t="inlineStr">
        <is>
          <t>Smart Universe: broad liquid US universe, diversified by sector | Sector: Industrials - Neutral (67/100); XLI sector regime is neutral: 2.2% 3m return, -6.9% vs SPY | Setup: No Trade; score 0.00; R/R 0.00x; price 272.32 | Agent action: SKIP - No Trade result.</t>
        </is>
      </c>
    </row>
    <row r="29">
      <c r="A29" t="inlineStr">
        <is>
          <t>2026-06-07T10:10:42</t>
        </is>
      </c>
      <c r="B29" t="inlineStr">
        <is>
          <t>MRK</t>
        </is>
      </c>
      <c r="C29" t="inlineStr">
        <is>
          <t>No Trade</t>
        </is>
      </c>
      <c r="D29" t="n">
        <v>0</v>
      </c>
      <c r="E29" t="n">
        <v>120.79</v>
      </c>
      <c r="H29" t="n">
        <v>0</v>
      </c>
      <c r="K29" t="n">
        <v>0</v>
      </c>
      <c r="L29" t="inlineStr">
        <is>
          <t>No clean technical setup detected. Price in middle of value area or poor risk/reward.</t>
        </is>
      </c>
      <c r="M29" t="inlineStr">
        <is>
          <t>SKIP</t>
        </is>
      </c>
      <c r="N29" t="inlineStr">
        <is>
          <t>No Trade result.</t>
        </is>
      </c>
      <c r="O29" t="inlineStr">
        <is>
          <t>MRK
No Trade
0.00
score
Price
120.79
R/R
0.00x
Grade
No Trade
Quality
0%
Buy Zone
-
Stop
0.00
Targets
-
Skip
Mixed
Relative Strength
Leadership
100%
Trend Quality
Constructive
68%
Liquidity
Institutional liquidity
100%
Volume
Neutral
50%
No actionable setup detected.
No clean technical setup detected. Price in middle of value area or poor risk/reward.
Fib 61.8
115.60
Fib Zone
114.81 - 116.39
Swing Low
110.94
Swing High
123.13
Click chart to open full size</t>
        </is>
      </c>
      <c r="P29" t="inlineStr">
        <is>
          <t>agent_results\charts\market_lens_agent_20260607_100446_mrk.png</t>
        </is>
      </c>
      <c r="Q29" t="inlineStr">
        <is>
          <t>Smart Universe: broad liquid US universe, diversified by sector | Sector: Healthcare - Neutral (66/100); XLV sector regime is neutral: -0.4% 3m return, -9.4% vs SPY | Setup: No Trade; score 0.00; R/R 0.00x; price 120.79 | Agent action: SKIP - No Trade result.</t>
        </is>
      </c>
    </row>
    <row r="30">
      <c r="A30" t="inlineStr">
        <is>
          <t>2026-06-07T10:10:42</t>
        </is>
      </c>
      <c r="B30" t="inlineStr">
        <is>
          <t>UDR</t>
        </is>
      </c>
      <c r="C30" t="inlineStr">
        <is>
          <t>No Trade</t>
        </is>
      </c>
      <c r="D30" t="n">
        <v>0</v>
      </c>
      <c r="E30" t="n">
        <v>39.2</v>
      </c>
      <c r="H30" t="n">
        <v>0</v>
      </c>
      <c r="K30" t="n">
        <v>0</v>
      </c>
      <c r="L30" t="inlineStr">
        <is>
          <t>No clean technical setup detected. Price in middle of value area or poor risk/reward.</t>
        </is>
      </c>
      <c r="M30" t="inlineStr">
        <is>
          <t>SKIP</t>
        </is>
      </c>
      <c r="N30" t="inlineStr">
        <is>
          <t>No Trade result.</t>
        </is>
      </c>
      <c r="O30" t="inlineStr">
        <is>
          <t>UDR
No Trade
0.00
score
Price
39.20
R/R
0.00x
Grade
No Trade
Quality
0%
Buy Zone
-
Stop
0.00
Targets
-
Skip
Mixed
Relative Strength
Leadership
100%
Trend Quality
Clean uptrend
86%
Liquidity
Institutional liquidity
100%
Volume
Distribution risk
30%
No actionable setup detected.
No clean technical setup detected. Price in middle of value area or poor risk/reward.
Fib 61.8
35.12
Fib Zone
34.93 - 35.31
Swing Low
33.07
Swing High
38.44
Click chart to open full size</t>
        </is>
      </c>
      <c r="P30" t="inlineStr">
        <is>
          <t>agent_results\charts\market_lens_agent_20260607_100446_udr.png</t>
        </is>
      </c>
      <c r="Q30" t="inlineStr">
        <is>
          <t>Smart Universe: broad liquid US universe, diversified by sector | Sector: Real Estate - Strong (70/100); XLRE sector regime is strong: 4.7% 3m return, -4.3% vs SPY | Setup: No Trade; score 0.00; R/R 0.00x; price 39.20 | Agent action: SKIP - No Trade result.</t>
        </is>
      </c>
    </row>
    <row r="31">
      <c r="A31" t="inlineStr">
        <is>
          <t>2026-06-07T10:10:42</t>
        </is>
      </c>
      <c r="B31" t="inlineStr">
        <is>
          <t>JPM</t>
        </is>
      </c>
      <c r="C31" t="inlineStr">
        <is>
          <t>No Trade</t>
        </is>
      </c>
      <c r="D31" t="n">
        <v>0</v>
      </c>
      <c r="E31" t="n">
        <v>312.37</v>
      </c>
      <c r="H31" t="n">
        <v>0</v>
      </c>
      <c r="K31" t="n">
        <v>0</v>
      </c>
      <c r="L31" t="inlineStr">
        <is>
          <t>No clean technical setup detected. Price in middle of value area or poor risk/reward.</t>
        </is>
      </c>
      <c r="M31" t="inlineStr">
        <is>
          <t>SKIP</t>
        </is>
      </c>
      <c r="N31" t="inlineStr">
        <is>
          <t>No Trade result.</t>
        </is>
      </c>
      <c r="O31" t="inlineStr">
        <is>
          <t>JPM
No Trade
0.00
score
Price
312.37
R/R
0.00x
Grade
No Trade
Quality
0%
Buy Zone
-
Stop
0.00
Targets
-
Skip
Mixed
Relative Strength
Leadership
100%
Trend Quality
Constructive
58%
Liquidity
Institutional liquidity
100%
Volume
Neutral
65%
No actionable setup detected.
No clean technical setup detected. Price in middle of value area or poor risk/reward.
Fib 61.8
299.88
Fib Zone
298.30 - 301.47
Swing Low
293.67
Swing High
309.93
Click chart to open full size</t>
        </is>
      </c>
      <c r="P31" t="inlineStr">
        <is>
          <t>agent_results\charts\market_lens_agent_20260607_100446_jpm.png</t>
        </is>
      </c>
      <c r="Q31" t="inlineStr">
        <is>
          <t>Smart Universe: broad liquid US universe, diversified by sector | Sector: Financials - Strong (70/100); XLF sector regime is strong: 4.4% 3m return, -4.6% vs SPY | Setup: No Trade; score 0.00; R/R 0.00x; price 312.37 | Agent action: SKIP - No Trade result.</t>
        </is>
      </c>
    </row>
    <row r="32">
      <c r="A32" t="inlineStr">
        <is>
          <t>2026-06-07T10:10:42</t>
        </is>
      </c>
      <c r="B32" t="inlineStr">
        <is>
          <t>GE</t>
        </is>
      </c>
      <c r="C32" t="inlineStr">
        <is>
          <t>No Trade</t>
        </is>
      </c>
      <c r="D32" t="n">
        <v>0</v>
      </c>
      <c r="E32" t="n">
        <v>328</v>
      </c>
      <c r="H32" t="n">
        <v>0</v>
      </c>
      <c r="K32" t="n">
        <v>0</v>
      </c>
      <c r="L32" t="inlineStr">
        <is>
          <t>No clean technical setup detected. Price in middle of value area or poor risk/reward.</t>
        </is>
      </c>
      <c r="M32" t="inlineStr">
        <is>
          <t>SKIP</t>
        </is>
      </c>
      <c r="N32" t="inlineStr">
        <is>
          <t>No Trade result.</t>
        </is>
      </c>
      <c r="O32" t="inlineStr">
        <is>
          <t>GE
No Trade
0.00
score
Price
328.00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284.61
Fib Zone
282.14 - 287.07
Swing Low
268.91
Swing High
310.00
Click chart to open full size</t>
        </is>
      </c>
      <c r="P32" t="inlineStr">
        <is>
          <t>agent_results\charts\market_lens_agent_20260607_100446_ge.png</t>
        </is>
      </c>
      <c r="Q32" t="inlineStr">
        <is>
          <t>Smart Universe: broad liquid US universe, diversified by sector | Sector: Industrials - Neutral (67/100); XLI sector regime is neutral: 2.2% 3m return, -6.9% vs SPY | Setup: No Trade; score 0.00; R/R 0.00x; price 328.00 | Agent action: SKIP - No Trade result.</t>
        </is>
      </c>
    </row>
    <row r="33">
      <c r="A33" t="inlineStr">
        <is>
          <t>2026-06-07T10:10:42</t>
        </is>
      </c>
      <c r="B33" t="inlineStr">
        <is>
          <t>IRM</t>
        </is>
      </c>
      <c r="C33" t="inlineStr">
        <is>
          <t>No Trade</t>
        </is>
      </c>
      <c r="D33" t="n">
        <v>0</v>
      </c>
      <c r="E33" t="n">
        <v>124.66</v>
      </c>
      <c r="H33" t="n">
        <v>0</v>
      </c>
      <c r="K33" t="n">
        <v>0</v>
      </c>
      <c r="L33" t="inlineStr">
        <is>
          <t>No clean technical setup detected. Price in middle of value area or poor risk/reward.</t>
        </is>
      </c>
      <c r="M33" t="inlineStr">
        <is>
          <t>SKIP</t>
        </is>
      </c>
      <c r="N33" t="inlineStr">
        <is>
          <t>No Trade result.</t>
        </is>
      </c>
      <c r="O33" t="inlineStr">
        <is>
          <t>IRM
No Trade
0.00
score
Price
124.66
R/R
0.00x
Grade
No Trade
Quality
0%
Buy Zone
-
Stop
0.00
Targets
-
Skip
Mixed
Relative Strength
Leadership
100%
Trend Quality
Constructive
68%
Liquidity
Institutional liquidity
100%
Volume
Confirmed
85%
No actionable setup detected.
No clean technical setup detected. Price in middle of value area or poor risk/reward.
Fib 61.8
119.20
Fib Zone
118.31 - 120.10
Swing Low
110.00
Swing High
134.09
Click chart to open full size</t>
        </is>
      </c>
      <c r="P33" t="inlineStr">
        <is>
          <t>agent_results\charts\market_lens_agent_20260607_100446_irm.png</t>
        </is>
      </c>
      <c r="Q33" t="inlineStr">
        <is>
          <t>Smart Universe: broad liquid US universe, diversified by sector | Sector: Real Estate - Strong (70/100); XLRE sector regime is strong: 4.7% 3m return, -4.3% vs SPY | Setup: No Trade; score 0.00; R/R 0.00x; price 124.66 | Agent action: SKIP - No Trade result.</t>
        </is>
      </c>
    </row>
    <row r="34">
      <c r="A34" t="inlineStr">
        <is>
          <t>2026-06-07T10:10:42</t>
        </is>
      </c>
      <c r="B34" t="inlineStr">
        <is>
          <t>ABBV</t>
        </is>
      </c>
      <c r="C34" t="inlineStr">
        <is>
          <t>No Trade</t>
        </is>
      </c>
      <c r="D34" t="n">
        <v>0</v>
      </c>
      <c r="E34" t="n">
        <v>227.23</v>
      </c>
      <c r="H34" t="n">
        <v>0</v>
      </c>
      <c r="K34" t="n">
        <v>0</v>
      </c>
      <c r="L34" t="inlineStr">
        <is>
          <t>No clean technical setup detected. Price in middle of value area or poor risk/reward.</t>
        </is>
      </c>
      <c r="M34" t="inlineStr">
        <is>
          <t>SKIP</t>
        </is>
      </c>
      <c r="N34" t="inlineStr">
        <is>
          <t>No Trade result.</t>
        </is>
      </c>
      <c r="O34" t="inlineStr">
        <is>
          <t>ABBV
No Trade
0.00
score
Price
227.23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207.66
Fib Zone
206.26 - 209.05
Swing Low
200.02
Swing High
220.01
Click chart to open full size</t>
        </is>
      </c>
      <c r="P34" t="inlineStr">
        <is>
          <t>agent_results\charts\market_lens_agent_20260607_100446_abbv.png</t>
        </is>
      </c>
      <c r="Q34" t="inlineStr">
        <is>
          <t>Smart Universe: broad liquid US universe, diversified by sector | Sector: Healthcare - Neutral (66/100); XLV sector regime is neutral: -0.4% 3m return, -9.4% vs SPY | Setup: No Trade; score 0.00; R/R 0.00x; price 227.23 | Agent action: SKIP - No Trade result.</t>
        </is>
      </c>
    </row>
    <row r="35">
      <c r="A35" t="inlineStr">
        <is>
          <t>2026-06-07T10:10:42</t>
        </is>
      </c>
      <c r="B35" t="inlineStr">
        <is>
          <t>SLB</t>
        </is>
      </c>
      <c r="C35" t="inlineStr">
        <is>
          <t>No Trade</t>
        </is>
      </c>
      <c r="D35" t="n">
        <v>0</v>
      </c>
      <c r="E35" t="n">
        <v>54.87</v>
      </c>
      <c r="H35" t="n">
        <v>0</v>
      </c>
      <c r="K35" t="n">
        <v>0</v>
      </c>
      <c r="L35" t="inlineStr">
        <is>
          <t>No clean technical setup detected. Price in middle of value area or poor risk/reward.</t>
        </is>
      </c>
      <c r="M35" t="inlineStr">
        <is>
          <t>SKIP</t>
        </is>
      </c>
      <c r="N35" t="inlineStr">
        <is>
          <t>No Trade result.</t>
        </is>
      </c>
      <c r="O35" t="inlineStr">
        <is>
          <t>SLB
No Trade
0.00
score
Price
54.87
R/R
0.00x
Grade
No Trade
Quality
0%
Buy Zone
-
Stop
0.00
Targets
-
Skip
Mixed
Relative Strength
Leadership
100%
Trend Quality
Constructive
68%
Liquidity
Institutional liquidity
100%
Volume
Distribution risk
30%
No actionable setup detected.
No clean technical setup detected. Price in middle of value area or poor risk/reward.
Fib 61.8
54.77
Fib Zone
54.33 - 55.21
Swing Low
52.45
Swing High
58.51
Click chart to open full size</t>
        </is>
      </c>
      <c r="P35" t="inlineStr">
        <is>
          <t>agent_results\charts\market_lens_agent_20260607_100446_slb.png</t>
        </is>
      </c>
      <c r="Q35" t="inlineStr">
        <is>
          <t>Smart Universe: broad liquid US universe, diversified by sector | Sector: Energy - Neutral (48/100); XLE sector regime is neutral: 3.1% 3m return, -6.0% vs SPY | Setup: No Trade; score 0.00; R/R 0.00x; price 54.87 | Agent action: SKIP - No Trade result.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"/>
  <sheetViews>
    <sheetView workbookViewId="0">
      <selection activeCell="A1" sqref="A1"/>
    </sheetView>
  </sheetViews>
  <sheetFormatPr baseColWidth="8" defaultRowHeight="15"/>
  <cols>
    <col width="16" customWidth="1" style="52" min="1" max="1"/>
    <col width="16" customWidth="1" style="52" min="2" max="2"/>
    <col width="16" customWidth="1" style="52" min="3" max="3"/>
    <col width="16" customWidth="1" style="52" min="4" max="4"/>
    <col width="16" customWidth="1" style="52" min="5" max="5"/>
    <col width="16" customWidth="1" style="52" min="6" max="6"/>
    <col width="16" customWidth="1" style="52" min="7" max="7"/>
    <col width="16" customWidth="1" style="52" min="8" max="8"/>
    <col width="16" customWidth="1" style="52" min="9" max="9"/>
    <col width="16" customWidth="1" style="52" min="10" max="10"/>
    <col width="16" customWidth="1" style="52" min="11" max="11"/>
    <col width="16" customWidth="1" style="52" min="12" max="12"/>
    <col width="16" customWidth="1" style="52" min="13" max="13"/>
    <col width="16" customWidth="1" style="52" min="14" max="14"/>
    <col width="16" customWidth="1" style="52" min="15" max="15"/>
    <col width="45" customWidth="1" style="52" min="16" max="16"/>
    <col width="16" customWidth="1" style="52" min="17" max="17"/>
  </cols>
  <sheetData>
    <row r="1">
      <c r="A1" s="36" t="inlineStr">
        <is>
          <t>Timestamp</t>
        </is>
      </c>
      <c r="B1" s="36" t="inlineStr">
        <is>
          <t>Action</t>
        </is>
      </c>
      <c r="C1" s="36" t="inlineStr">
        <is>
          <t>Ticker</t>
        </is>
      </c>
      <c r="D1" s="36" t="inlineStr">
        <is>
          <t>Entry Price USD</t>
        </is>
      </c>
      <c r="E1" s="36" t="inlineStr">
        <is>
          <t>Exit Price USD</t>
        </is>
      </c>
      <c r="F1" s="36" t="inlineStr">
        <is>
          <t>Quantity</t>
        </is>
      </c>
      <c r="G1" s="36" t="inlineStr">
        <is>
          <t>USD/ILS</t>
        </is>
      </c>
      <c r="H1" s="36" t="inlineStr">
        <is>
          <t>Buy Value</t>
        </is>
      </c>
      <c r="I1" s="36" t="inlineStr">
        <is>
          <t>Sell Value</t>
        </is>
      </c>
      <c r="J1" s="36" t="inlineStr">
        <is>
          <t>Cash Out</t>
        </is>
      </c>
      <c r="K1" s="36" t="inlineStr">
        <is>
          <t>Cash In</t>
        </is>
      </c>
      <c r="L1" s="36" t="inlineStr">
        <is>
          <t>Stop Loss USD</t>
        </is>
      </c>
      <c r="M1" s="36" t="inlineStr">
        <is>
          <t>Target 1 USD</t>
        </is>
      </c>
      <c r="N1" s="36" t="inlineStr">
        <is>
          <t>Target 2 USD</t>
        </is>
      </c>
      <c r="O1" s="36" t="inlineStr">
        <is>
          <t>Risk</t>
        </is>
      </c>
      <c r="P1" s="36" t="inlineStr">
        <is>
          <t>Reason</t>
        </is>
      </c>
      <c r="Q1" s="36" t="inlineStr">
        <is>
          <t>Screenshot</t>
        </is>
      </c>
      <c r="R1" t="inlineStr">
        <is>
          <t>Chart URL</t>
        </is>
      </c>
      <c r="S1" t="inlineStr">
        <is>
          <t>Selection Context</t>
        </is>
      </c>
    </row>
    <row r="2">
      <c r="A2" t="inlineStr">
        <is>
          <t>2026-06-07T10:10:42</t>
        </is>
      </c>
      <c r="B2" t="inlineStr">
        <is>
          <t>BUY_SIMULATED</t>
        </is>
      </c>
      <c r="C2" t="inlineStr">
        <is>
          <t>CVX</t>
        </is>
      </c>
      <c r="D2" t="n">
        <v>187.31</v>
      </c>
      <c r="F2" t="n">
        <v>53</v>
      </c>
      <c r="G2" t="n">
        <v>1</v>
      </c>
      <c r="H2" t="n">
        <v>9927.43</v>
      </c>
      <c r="I2" t="n">
        <v>0</v>
      </c>
      <c r="J2" t="n">
        <v>9927.43</v>
      </c>
      <c r="K2" t="n">
        <v>0</v>
      </c>
      <c r="L2" t="n">
        <v>180.94</v>
      </c>
      <c r="M2" t="n">
        <v>204.51</v>
      </c>
      <c r="N2" t="n">
        <v>204.51</v>
      </c>
      <c r="O2" t="n">
        <v>337.61</v>
      </c>
      <c r="P2" t="inlineStr">
        <is>
          <t>Price is inside buy zone, R/R is valid, and simulated risk limits allow entry.</t>
        </is>
      </c>
      <c r="Q2" t="inlineStr">
        <is>
          <t>agent_results\screenshots\market_lens_agent_20260607_100446.png</t>
        </is>
      </c>
      <c r="R2" t="inlineStr">
        <is>
          <t>agent_results\charts\market_lens_agent_20260607_100446_cvx.png</t>
        </is>
      </c>
      <c r="S2" t="inlineStr">
        <is>
          <t>Smart Universe: broad liquid US universe, diversified by sector | Sector: Energy - Neutral (48/100); XLE sector regime is neutral: 3.1% 3m return, -6.0% vs SPY | Setup: Liquidity Trap Buy Zone; score 0.49; R/R 2.70x; price 187.31 | Agent action: BUY_SIMULATED - Price is inside buy zone, R/R is valid, and simulated risk limits allow entry.</t>
        </is>
      </c>
    </row>
    <row r="3">
      <c r="A3" t="inlineStr">
        <is>
          <t>2026-06-07T10:10:42</t>
        </is>
      </c>
      <c r="B3" t="inlineStr">
        <is>
          <t>BUY_SIMULATED</t>
        </is>
      </c>
      <c r="C3" t="inlineStr">
        <is>
          <t>ELAN</t>
        </is>
      </c>
      <c r="D3" t="n">
        <v>23.63</v>
      </c>
      <c r="F3" t="n">
        <v>423</v>
      </c>
      <c r="G3" t="n">
        <v>1</v>
      </c>
      <c r="H3" t="n">
        <v>9995.49</v>
      </c>
      <c r="I3" t="n">
        <v>0</v>
      </c>
      <c r="J3" t="n">
        <v>9995.49</v>
      </c>
      <c r="K3" t="n">
        <v>0</v>
      </c>
      <c r="L3" t="n">
        <v>22.5</v>
      </c>
      <c r="M3" t="n">
        <v>23.94</v>
      </c>
      <c r="N3" t="n">
        <v>26.29</v>
      </c>
      <c r="O3" t="n">
        <v>477.99</v>
      </c>
      <c r="P3" t="inlineStr">
        <is>
          <t>Price is inside buy zone, R/R is valid, and simulated risk limits allow entry.</t>
        </is>
      </c>
      <c r="Q3" t="inlineStr">
        <is>
          <t>agent_results\screenshots\market_lens_agent_20260607_100446.png</t>
        </is>
      </c>
      <c r="R3" t="inlineStr">
        <is>
          <t>agent_results\charts\market_lens_agent_20260607_100446_elan.png</t>
        </is>
      </c>
      <c r="S3" t="inlineStr">
        <is>
          <t>Smart Universe: broad liquid US universe, diversified by sector | Sector: Healthcare - Neutral (66/100); XLV sector regime is neutral: -0.4% 3m return, -9.4% vs SPY | Setup: Fib 61.8 Confluence Buy Zone; score 0.47; R/R 5.20x; price 23.63 | Agent action: BUY_SIMULATED - Price is inside buy zone, R/R is valid, and simulated risk limits allow entry.</t>
        </is>
      </c>
    </row>
    <row r="4">
      <c r="A4" t="inlineStr">
        <is>
          <t>2026-06-07T10:10:42</t>
        </is>
      </c>
      <c r="B4" t="inlineStr">
        <is>
          <t>BUY_SIMULATED</t>
        </is>
      </c>
      <c r="C4" t="inlineStr">
        <is>
          <t>CAT</t>
        </is>
      </c>
      <c r="D4" t="n">
        <v>904.28</v>
      </c>
      <c r="F4" t="n">
        <v>11</v>
      </c>
      <c r="G4" t="n">
        <v>1</v>
      </c>
      <c r="H4" t="n">
        <v>9947.08</v>
      </c>
      <c r="I4" t="n">
        <v>0</v>
      </c>
      <c r="J4" t="n">
        <v>9947.08</v>
      </c>
      <c r="K4" t="n">
        <v>0</v>
      </c>
      <c r="L4" t="n">
        <v>885.92</v>
      </c>
      <c r="M4" t="n">
        <v>976.78</v>
      </c>
      <c r="N4" t="n">
        <v>931.35</v>
      </c>
      <c r="O4" t="n">
        <v>201.96</v>
      </c>
      <c r="P4" t="inlineStr">
        <is>
          <t>Price is inside buy zone, R/R is valid, and simulated risk limits allow entry.</t>
        </is>
      </c>
      <c r="Q4" t="inlineStr">
        <is>
          <t>agent_results\screenshots\market_lens_agent_20260607_100446.png</t>
        </is>
      </c>
      <c r="R4" t="inlineStr">
        <is>
          <t>agent_results\charts\market_lens_agent_20260607_100446_cat.png</t>
        </is>
      </c>
      <c r="S4" t="inlineStr">
        <is>
          <t>Smart Universe: broad liquid US universe, diversified by sector | Sector: Industrials - Neutral (67/100); XLI sector regime is neutral: 2.2% 3m return, -6.9% vs SPY | Setup: Breakout + Retest; score 0.46; R/R 3.95x; price 904.28 | Agent action: BUY_SIMULATED - Price is inside buy zone, R/R is valid, and simulated risk limits allow entry.</t>
        </is>
      </c>
    </row>
    <row r="5">
      <c r="A5" t="inlineStr">
        <is>
          <t>2026-06-07T10:10:42</t>
        </is>
      </c>
      <c r="B5" t="inlineStr">
        <is>
          <t>BUY_SIMULATED</t>
        </is>
      </c>
      <c r="C5" t="inlineStr">
        <is>
          <t>C</t>
        </is>
      </c>
      <c r="D5" t="n">
        <v>132.47</v>
      </c>
      <c r="F5" t="n">
        <v>75</v>
      </c>
      <c r="G5" t="n">
        <v>1</v>
      </c>
      <c r="H5" t="n">
        <v>9935.25</v>
      </c>
      <c r="I5" t="n">
        <v>0</v>
      </c>
      <c r="J5" t="n">
        <v>9935.25</v>
      </c>
      <c r="K5" t="n">
        <v>0</v>
      </c>
      <c r="L5" t="n">
        <v>129.31</v>
      </c>
      <c r="M5" t="n">
        <v>140</v>
      </c>
      <c r="N5" t="n">
        <v>134.65</v>
      </c>
      <c r="O5" t="n">
        <v>237</v>
      </c>
      <c r="P5" t="inlineStr">
        <is>
          <t>Price is inside buy zone, R/R is valid, and simulated risk limits allow entry.</t>
        </is>
      </c>
      <c r="Q5" t="inlineStr">
        <is>
          <t>agent_results\screenshots\market_lens_agent_20260607_100446.png</t>
        </is>
      </c>
      <c r="R5" t="inlineStr">
        <is>
          <t>agent_results\charts\market_lens_agent_20260607_100446_c.png</t>
        </is>
      </c>
      <c r="S5" t="inlineStr">
        <is>
          <t>Smart Universe: broad liquid US universe, diversified by sector | Sector: Financials - Strong (70/100); XLF sector regime is strong: 4.4% 3m return, -4.6% vs SPY | Setup: Breakout + Retest; score 0.45; R/R 2.38x; price 132.47 | Agent action: BUY_SIMULATED - Price is inside buy zone, R/R is valid, and simulated risk limits allow entry.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cols>
    <col width="16" customWidth="1" style="52" min="1" max="1"/>
    <col width="16" customWidth="1" style="52" min="2" max="2"/>
    <col width="16" customWidth="1" style="52" min="3" max="3"/>
    <col width="16" customWidth="1" style="52" min="4" max="4"/>
    <col width="16" customWidth="1" style="52" min="5" max="5"/>
    <col width="16" customWidth="1" style="52" min="6" max="6"/>
    <col width="16" customWidth="1" style="52" min="7" max="7"/>
    <col width="16" customWidth="1" style="52" min="8" max="8"/>
    <col width="16" customWidth="1" style="52" min="9" max="9"/>
    <col width="16" customWidth="1" style="52" min="10" max="10"/>
    <col width="16" customWidth="1" style="52" min="11" max="11"/>
    <col width="16" customWidth="1" style="52" min="12" max="12"/>
    <col width="16" customWidth="1" style="52" min="13" max="13"/>
    <col width="40" customWidth="1" style="52" min="14" max="14"/>
    <col width="16" customWidth="1" style="52" min="15" max="15"/>
  </cols>
  <sheetData>
    <row r="1">
      <c r="A1" s="42" t="inlineStr">
        <is>
          <t>Ticker</t>
        </is>
      </c>
      <c r="B1" s="42" t="inlineStr">
        <is>
          <t>Entry Date</t>
        </is>
      </c>
      <c r="C1" s="42" t="inlineStr">
        <is>
          <t>Entry Price USD</t>
        </is>
      </c>
      <c r="D1" s="42" t="inlineStr">
        <is>
          <t>Current Price USD</t>
        </is>
      </c>
      <c r="E1" s="42" t="inlineStr">
        <is>
          <t>Quantity</t>
        </is>
      </c>
      <c r="F1" s="42" t="inlineStr">
        <is>
          <t>Stop Loss USD</t>
        </is>
      </c>
      <c r="G1" s="42" t="inlineStr">
        <is>
          <t>Target 1 USD</t>
        </is>
      </c>
      <c r="H1" s="42" t="inlineStr">
        <is>
          <t>Target 2 USD</t>
        </is>
      </c>
      <c r="I1" s="42" t="inlineStr">
        <is>
          <t>Status</t>
        </is>
      </c>
      <c r="J1" s="42" t="inlineStr">
        <is>
          <t>Unrealized P/L USD</t>
        </is>
      </c>
      <c r="K1" s="42" t="inlineStr">
        <is>
          <t>Unrealized P/L</t>
        </is>
      </c>
      <c r="L1" s="42" t="inlineStr">
        <is>
          <t>Exposure</t>
        </is>
      </c>
      <c r="M1" s="42" t="inlineStr">
        <is>
          <t>Risk</t>
        </is>
      </c>
      <c r="N1" s="42" t="inlineStr">
        <is>
          <t>Notes</t>
        </is>
      </c>
      <c r="O1" s="42" t="inlineStr">
        <is>
          <t>Screenshot</t>
        </is>
      </c>
      <c r="P1" t="inlineStr">
        <is>
          <t>Chart URL</t>
        </is>
      </c>
      <c r="Q1" t="inlineStr">
        <is>
          <t>Selection Context</t>
        </is>
      </c>
    </row>
    <row r="2">
      <c r="A2" t="inlineStr">
        <is>
          <t>CVX</t>
        </is>
      </c>
      <c r="B2" t="inlineStr">
        <is>
          <t>2026-06-07T10:10:42</t>
        </is>
      </c>
      <c r="C2" t="n">
        <v>187.31</v>
      </c>
      <c r="D2" t="n">
        <v>187.31</v>
      </c>
      <c r="E2" t="n">
        <v>53</v>
      </c>
      <c r="F2" t="n">
        <v>180.94</v>
      </c>
      <c r="G2" t="n">
        <v>204.51</v>
      </c>
      <c r="H2" t="n">
        <v>204.51</v>
      </c>
      <c r="I2" t="inlineStr">
        <is>
          <t>OPEN</t>
        </is>
      </c>
      <c r="J2" t="n">
        <v>0</v>
      </c>
      <c r="K2" t="n">
        <v>0</v>
      </c>
      <c r="L2" t="n">
        <v>9927.43</v>
      </c>
      <c r="M2" t="n">
        <v>337.61</v>
      </c>
      <c r="N2" t="inlineStr">
        <is>
          <t>Price is inside buy zone, R/R is valid, and simulated risk limits allow entry.</t>
        </is>
      </c>
      <c r="O2" t="inlineStr">
        <is>
          <t>agent_results\screenshots\market_lens_agent_20260607_100446.png</t>
        </is>
      </c>
      <c r="P2" t="inlineStr">
        <is>
          <t>agent_results\charts\market_lens_agent_20260607_100446_cvx.png</t>
        </is>
      </c>
      <c r="Q2" t="inlineStr">
        <is>
          <t>Smart Universe: broad liquid US universe, diversified by sector | Sector: Energy - Neutral (48/100); XLE sector regime is neutral: 3.1% 3m return, -6.0% vs SPY | Setup: Liquidity Trap Buy Zone; score 0.49; R/R 2.70x; price 187.31 | Agent action: BUY_SIMULATED - Price is inside buy zone, R/R is valid, and simulated risk limits allow entry.</t>
        </is>
      </c>
    </row>
    <row r="3">
      <c r="A3" t="inlineStr">
        <is>
          <t>ELAN</t>
        </is>
      </c>
      <c r="B3" t="inlineStr">
        <is>
          <t>2026-06-07T10:10:42</t>
        </is>
      </c>
      <c r="C3" t="n">
        <v>23.63</v>
      </c>
      <c r="D3" t="n">
        <v>23.63</v>
      </c>
      <c r="E3" t="n">
        <v>423</v>
      </c>
      <c r="F3" t="n">
        <v>22.5</v>
      </c>
      <c r="G3" t="n">
        <v>23.94</v>
      </c>
      <c r="H3" t="n">
        <v>26.29</v>
      </c>
      <c r="I3" t="inlineStr">
        <is>
          <t>OPEN</t>
        </is>
      </c>
      <c r="J3" t="n">
        <v>0</v>
      </c>
      <c r="K3" t="n">
        <v>0</v>
      </c>
      <c r="L3" t="n">
        <v>9995.49</v>
      </c>
      <c r="M3" t="n">
        <v>477.99</v>
      </c>
      <c r="N3" t="inlineStr">
        <is>
          <t>Price is inside buy zone, R/R is valid, and simulated risk limits allow entry.</t>
        </is>
      </c>
      <c r="O3" t="inlineStr">
        <is>
          <t>agent_results\screenshots\market_lens_agent_20260607_100446.png</t>
        </is>
      </c>
      <c r="P3" t="inlineStr">
        <is>
          <t>agent_results\charts\market_lens_agent_20260607_100446_elan.png</t>
        </is>
      </c>
      <c r="Q3" t="inlineStr">
        <is>
          <t>Smart Universe: broad liquid US universe, diversified by sector | Sector: Healthcare - Neutral (66/100); XLV sector regime is neutral: -0.4% 3m return, -9.4% vs SPY | Setup: Fib 61.8 Confluence Buy Zone; score 0.47; R/R 5.20x; price 23.63 | Agent action: BUY_SIMULATED - Price is inside buy zone, R/R is valid, and simulated risk limits allow entry.</t>
        </is>
      </c>
    </row>
    <row r="4">
      <c r="A4" t="inlineStr">
        <is>
          <t>CAT</t>
        </is>
      </c>
      <c r="B4" t="inlineStr">
        <is>
          <t>2026-06-07T10:10:42</t>
        </is>
      </c>
      <c r="C4" t="n">
        <v>904.28</v>
      </c>
      <c r="D4" t="n">
        <v>904.28</v>
      </c>
      <c r="E4" t="n">
        <v>11</v>
      </c>
      <c r="F4" t="n">
        <v>885.92</v>
      </c>
      <c r="G4" t="n">
        <v>976.78</v>
      </c>
      <c r="H4" t="n">
        <v>931.35</v>
      </c>
      <c r="I4" t="inlineStr">
        <is>
          <t>OPEN</t>
        </is>
      </c>
      <c r="J4" t="n">
        <v>0</v>
      </c>
      <c r="K4" t="n">
        <v>0</v>
      </c>
      <c r="L4" t="n">
        <v>9947.08</v>
      </c>
      <c r="M4" t="n">
        <v>201.96</v>
      </c>
      <c r="N4" t="inlineStr">
        <is>
          <t>Price is inside buy zone, R/R is valid, and simulated risk limits allow entry.</t>
        </is>
      </c>
      <c r="O4" t="inlineStr">
        <is>
          <t>agent_results\screenshots\market_lens_agent_20260607_100446.png</t>
        </is>
      </c>
      <c r="P4" t="inlineStr">
        <is>
          <t>agent_results\charts\market_lens_agent_20260607_100446_cat.png</t>
        </is>
      </c>
      <c r="Q4" t="inlineStr">
        <is>
          <t>Smart Universe: broad liquid US universe, diversified by sector | Sector: Industrials - Neutral (67/100); XLI sector regime is neutral: 2.2% 3m return, -6.9% vs SPY | Setup: Breakout + Retest; score 0.46; R/R 3.95x; price 904.28 | Agent action: BUY_SIMULATED - Price is inside buy zone, R/R is valid, and simulated risk limits allow entry.</t>
        </is>
      </c>
    </row>
    <row r="5">
      <c r="A5" t="inlineStr">
        <is>
          <t>C</t>
        </is>
      </c>
      <c r="B5" t="inlineStr">
        <is>
          <t>2026-06-07T10:10:42</t>
        </is>
      </c>
      <c r="C5" t="n">
        <v>132.47</v>
      </c>
      <c r="D5" t="n">
        <v>132.47</v>
      </c>
      <c r="E5" t="n">
        <v>75</v>
      </c>
      <c r="F5" t="n">
        <v>129.31</v>
      </c>
      <c r="G5" t="n">
        <v>140</v>
      </c>
      <c r="H5" t="n">
        <v>134.65</v>
      </c>
      <c r="I5" t="inlineStr">
        <is>
          <t>OPEN</t>
        </is>
      </c>
      <c r="J5" t="n">
        <v>0</v>
      </c>
      <c r="K5" t="n">
        <v>0</v>
      </c>
      <c r="L5" t="n">
        <v>9935.25</v>
      </c>
      <c r="M5" t="n">
        <v>237</v>
      </c>
      <c r="N5" t="inlineStr">
        <is>
          <t>Price is inside buy zone, R/R is valid, and simulated risk limits allow entry.</t>
        </is>
      </c>
      <c r="O5" t="inlineStr">
        <is>
          <t>agent_results\screenshots\market_lens_agent_20260607_100446.png</t>
        </is>
      </c>
      <c r="P5" t="inlineStr">
        <is>
          <t>agent_results\charts\market_lens_agent_20260607_100446_c.png</t>
        </is>
      </c>
      <c r="Q5" t="inlineStr">
        <is>
          <t>Smart Universe: broad liquid US universe, diversified by sector | Sector: Financials - Strong (70/100); XLF sector regime is strong: 4.4% 3m return, -4.6% vs SPY | Setup: Breakout + Retest; score 0.45; R/R 2.38x; price 132.47 | Agent action: BUY_SIMULATED - Price is inside buy zone, R/R is valid, and simulated risk limits allow entry.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cols>
    <col width="18" customWidth="1" style="52" min="1" max="1"/>
    <col width="18" customWidth="1" style="52" min="2" max="2"/>
    <col width="18" customWidth="1" style="52" min="3" max="3"/>
    <col width="18" customWidth="1" style="52" min="4" max="4"/>
    <col width="45" customWidth="1" style="52" min="5" max="5"/>
    <col width="18" customWidth="1" style="52" min="6" max="6"/>
    <col width="18" customWidth="1" style="52" min="7" max="7"/>
    <col width="18" customWidth="1" style="52" min="8" max="8"/>
    <col width="18" customWidth="1" style="52" min="9" max="9"/>
    <col width="18" customWidth="1" style="52" min="10" max="10"/>
    <col width="18" customWidth="1" style="52" min="11" max="11"/>
  </cols>
  <sheetData>
    <row r="1">
      <c r="A1" s="48" t="inlineStr">
        <is>
          <t>Run Timestamp</t>
        </is>
      </c>
      <c r="B1" s="48" t="inlineStr">
        <is>
          <t>Run ID</t>
        </is>
      </c>
      <c r="C1" s="48" t="inlineStr">
        <is>
          <t>Scanned Tickers</t>
        </is>
      </c>
      <c r="D1" s="48" t="inlineStr">
        <is>
          <t>Valid Setups</t>
        </is>
      </c>
      <c r="E1" s="48" t="inlineStr">
        <is>
          <t>Actions Summary</t>
        </is>
      </c>
      <c r="F1" s="48" t="inlineStr">
        <is>
          <t>Cash</t>
        </is>
      </c>
      <c r="G1" s="48" t="inlineStr">
        <is>
          <t>Exposure</t>
        </is>
      </c>
      <c r="H1" s="48" t="inlineStr">
        <is>
          <t>Open Risk</t>
        </is>
      </c>
      <c r="I1" s="48" t="inlineStr">
        <is>
          <t>Open Positions</t>
        </is>
      </c>
      <c r="J1" s="48" t="inlineStr">
        <is>
          <t>Summary</t>
        </is>
      </c>
      <c r="K1" s="48" t="inlineStr">
        <is>
          <t>Screenshot</t>
        </is>
      </c>
    </row>
    <row r="2">
      <c r="A2" t="inlineStr">
        <is>
          <t>2026-06-07T10:10:42</t>
        </is>
      </c>
      <c r="B2" t="inlineStr">
        <is>
          <t>20260607_100446</t>
        </is>
      </c>
      <c r="C2" t="inlineStr">
        <is>
          <t>CVX ELAN CAT C AMAT PANW KLAC ORCL UNH CRWD MU MS GS URI SMCI HST ASML TXN LLY MPC VLO BAC UPS AMH PSX LAMR UNP MRK UDR JPM GE IRM ABBV SLB</t>
        </is>
      </c>
      <c r="D2" t="n">
        <v>4</v>
      </c>
      <c r="E2" t="inlineStr">
        <is>
          <t>CVX:BUY_SIMULATED, ELAN:BUY_SIMULATED, CAT:BUY_SIMULATED, C:BUY_SIMULATED, AMAT:SKIP, PANW:SKIP, KLAC:SKIP, ORCL:SKIP, UNH:SKIP, CRWD:SKIP, MU:SKIP, MS:SKIP, GS:SKIP, URI:SKIP, SMCI:SKIP, HST:SKIP, ASML:SKIP, TXN:SKIP, LLY:SKIP, MPC:SKIP, VLO:SKIP, BAC:SKIP, UPS:SKIP, AMH:SKIP, PSX:SKIP, LAMR:SKIP, UNP:SKIP, MRK:SKIP, UDR:SKIP, JPM:SKIP, GE:SKIP, IRM:SKIP, ABBV:SKIP, SLB:SKIP</t>
        </is>
      </c>
      <c r="F2" t="n">
        <v>60194.75</v>
      </c>
      <c r="G2" t="n">
        <v>39805.25</v>
      </c>
      <c r="H2" t="n">
        <v>1254.56</v>
      </c>
      <c r="I2" t="n">
        <v>4</v>
      </c>
      <c r="J2" t="inlineStr">
        <is>
          <t>agent_results\summaries\market_lens_agent_20260607_100446.md</t>
        </is>
      </c>
      <c r="K2" t="inlineStr">
        <is>
          <t>agent_results\screenshots\market_lens_agent_20260607_100446.png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3.01000022888184" customWidth="1" style="52" min="1" max="1"/>
    <col width="39.29999923706055" customWidth="1" style="52" min="2" max="2"/>
    <col width="38" customWidth="1" style="52" min="3" max="3"/>
    <col width="24" customWidth="1" style="52" min="4" max="4"/>
  </cols>
  <sheetData>
    <row r="1">
      <c r="A1" s="22" t="inlineStr">
        <is>
          <t>Setting</t>
        </is>
      </c>
      <c r="B1" s="22" t="inlineStr">
        <is>
          <t>Value</t>
        </is>
      </c>
      <c r="C1" s="22" t="inlineStr">
        <is>
          <t>Description</t>
        </is>
      </c>
      <c r="D1" s="22" t="inlineStr">
        <is>
          <t>Source/Note</t>
        </is>
      </c>
    </row>
    <row r="2">
      <c r="A2" t="inlineStr">
        <is>
          <t>starting_capital_usd</t>
        </is>
      </c>
      <c r="B2" s="66" t="n">
        <v>100000</v>
      </c>
      <c r="C2" t="inlineStr">
        <is>
          <t>Initial paper portfolio capital</t>
        </is>
      </c>
      <c r="D2" t="inlineStr">
        <is>
          <t>User requirement</t>
        </is>
      </c>
    </row>
    <row r="3">
      <c r="A3" t="inlineStr">
        <is>
          <t>usd_conversion_rate</t>
        </is>
      </c>
      <c r="B3" s="66" t="n">
        <v>1</v>
      </c>
      <c r="C3" t="inlineStr">
        <is>
          <t>Used for converting USD trade prices to USD; update manually</t>
        </is>
      </c>
      <c r="D3" t="inlineStr">
        <is>
          <t>Manual input</t>
        </is>
      </c>
    </row>
    <row r="4">
      <c r="A4" t="inlineStr">
        <is>
          <t>max_position_allocation_pct</t>
        </is>
      </c>
      <c r="B4" s="66" t="n">
        <v>0.1</v>
      </c>
      <c r="C4" t="inlineStr">
        <is>
          <t>Max 10% allocation per ticker</t>
        </is>
      </c>
      <c r="D4" t="inlineStr">
        <is>
          <t>Agent risk rule</t>
        </is>
      </c>
    </row>
    <row r="5">
      <c r="A5" t="inlineStr">
        <is>
          <t>max_total_exposure_pct</t>
        </is>
      </c>
      <c r="B5" s="66" t="n">
        <v>0.4</v>
      </c>
      <c r="C5" t="inlineStr">
        <is>
          <t>Max starting total exposure</t>
        </is>
      </c>
      <c r="D5" t="inlineStr">
        <is>
          <t>Agent risk rule</t>
        </is>
      </c>
    </row>
    <row r="6">
      <c r="A6" t="inlineStr">
        <is>
          <t>max_risk_per_trade_pct</t>
        </is>
      </c>
      <c r="B6" s="66" t="n">
        <v>0.01</v>
      </c>
      <c r="C6" t="inlineStr">
        <is>
          <t>Max 1% risk per setup</t>
        </is>
      </c>
      <c r="D6" t="inlineStr">
        <is>
          <t>Agent risk rule</t>
        </is>
      </c>
    </row>
    <row r="7">
      <c r="A7" t="inlineStr">
        <is>
          <t>min_risk_reward</t>
        </is>
      </c>
      <c r="B7" t="n">
        <v>2</v>
      </c>
      <c r="C7" t="inlineStr">
        <is>
          <t>Minimum R/R for simulated entry</t>
        </is>
      </c>
      <c r="D7" t="inlineStr">
        <is>
          <t>Agent risk rule</t>
        </is>
      </c>
    </row>
    <row r="8">
      <c r="A8" t="inlineStr">
        <is>
          <t>paper_trading_only</t>
        </is>
      </c>
      <c r="B8" t="b">
        <v>1</v>
      </c>
      <c r="C8" t="inlineStr">
        <is>
          <t>No real orders are executed</t>
        </is>
      </c>
      <c r="D8" t="inlineStr">
        <is>
          <t>Safety constraint</t>
        </is>
      </c>
    </row>
    <row r="9">
      <c r="A9" t="inlineStr">
        <is>
          <t>app_url</t>
        </is>
      </c>
      <c r="B9" t="inlineStr">
        <is>
          <t>https://market-lens-scanner.onrender.com/</t>
        </is>
      </c>
      <c r="C9" t="inlineStr">
        <is>
          <t>Market Lens UI</t>
        </is>
      </c>
      <c r="D9" t="inlineStr">
        <is>
          <t>App URL</t>
        </is>
      </c>
    </row>
    <row r="10">
      <c r="A10" t="inlineStr">
        <is>
          <t>tracking_days</t>
        </is>
      </c>
      <c r="B10" t="n">
        <v>30</v>
      </c>
      <c r="C10" t="inlineStr">
        <is>
          <t>Planned monitoring period</t>
        </is>
      </c>
      <c r="D10" t="inlineStr">
        <is>
          <t>User requirement</t>
        </is>
      </c>
    </row>
    <row r="11">
      <c r="A11" t="inlineStr">
        <is>
          <t>Budget Definition</t>
        </is>
      </c>
    </row>
    <row r="12">
      <c r="A12" s="64" t="inlineStr">
        <is>
          <t>agent_budget_usd</t>
        </is>
      </c>
      <c r="B12" t="n">
        <v>100000</v>
      </c>
    </row>
    <row r="13">
      <c r="A13" s="56" t="inlineStr">
        <is>
          <t>budget_currency</t>
        </is>
      </c>
      <c r="B13" s="65" t="inlineStr">
        <is>
          <t>USD</t>
        </is>
      </c>
      <c r="C13" t="inlineStr">
        <is>
          <t>Total budget available for the Market Lens paper-trading agent</t>
        </is>
      </c>
      <c r="D13" t="inlineStr">
        <is>
          <t>User requirement</t>
        </is>
      </c>
    </row>
    <row r="14">
      <c r="A14" s="56" t="inlineStr">
        <is>
          <t>budget_mode</t>
        </is>
      </c>
      <c r="B14" t="inlineStr">
        <is>
          <t>Paper Trading</t>
        </is>
      </c>
      <c r="C14" t="inlineStr">
        <is>
          <t>Budget currency for portfolio tracking</t>
        </is>
      </c>
      <c r="D14" t="inlineStr">
        <is>
          <t>User requirement</t>
        </is>
      </c>
    </row>
    <row r="15">
      <c r="A15" s="56" t="inlineStr">
        <is>
          <t>budget_rule</t>
        </is>
      </c>
      <c r="B15" t="inlineStr">
        <is>
          <t>Do not exceed 100,000 USD total simulated capital</t>
        </is>
      </c>
      <c r="C15" t="inlineStr">
        <is>
          <t>100,000 USD is simulated capital only, not real-money execution</t>
        </is>
      </c>
      <c r="D15" t="inlineStr">
        <is>
          <t>Safety constraint</t>
        </is>
      </c>
    </row>
    <row r="16">
      <c r="A16" s="56" t="n"/>
      <c r="C16" t="inlineStr">
        <is>
          <t>Agent must manage cash, exposure and risk inside this budget</t>
        </is>
      </c>
      <c r="D16" t="inlineStr">
        <is>
          <t>Agent rule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6" customWidth="1" style="52" min="1" max="1"/>
    <col width="36" customWidth="1" style="52" min="2" max="2"/>
    <col width="36" customWidth="1" style="52" min="3" max="3"/>
  </cols>
  <sheetData>
    <row r="1">
      <c r="A1" s="50" t="inlineStr">
        <is>
          <t>Topic</t>
        </is>
      </c>
      <c r="B1" s="50" t="inlineStr">
        <is>
          <t>URL</t>
        </is>
      </c>
      <c r="C1" s="50" t="inlineStr">
        <is>
          <t>Why it matters</t>
        </is>
      </c>
    </row>
    <row r="2">
      <c r="A2" s="13" t="inlineStr">
        <is>
          <t>Market Lens app</t>
        </is>
      </c>
      <c r="B2" s="13" t="inlineStr">
        <is>
          <t>https://market-lens-scanner.onrender.com/</t>
        </is>
      </c>
      <c r="C2" s="13" t="inlineStr">
        <is>
          <t>UI used by the Agent</t>
        </is>
      </c>
    </row>
    <row r="3">
      <c r="A3" s="13" t="inlineStr">
        <is>
          <t>Playwright Python docs</t>
        </is>
      </c>
      <c r="B3" s="13" t="inlineStr">
        <is>
          <t>https://playwright.dev/python/docs/intro</t>
        </is>
      </c>
      <c r="C3" s="13" t="inlineStr">
        <is>
          <t>Browser automation / UI Agent framework</t>
        </is>
      </c>
    </row>
    <row r="4">
      <c r="A4" s="13" t="inlineStr">
        <is>
          <t>Playwright Locator docs</t>
        </is>
      </c>
      <c r="B4" s="13" t="inlineStr">
        <is>
          <t>https://playwright.dev/python/docs/api/class-locator</t>
        </is>
      </c>
      <c r="C4" s="13" t="inlineStr">
        <is>
          <t>Reliable element selection</t>
        </is>
      </c>
    </row>
    <row r="5">
      <c r="A5" s="13" t="inlineStr">
        <is>
          <t>openpyxl docs</t>
        </is>
      </c>
      <c r="B5" s="13" t="inlineStr">
        <is>
          <t>https://openpyxl.readthedocs.io/</t>
        </is>
      </c>
      <c r="C5" s="13" t="inlineStr">
        <is>
          <t>Excel read/write library used by the external Agent</t>
        </is>
      </c>
    </row>
    <row r="6">
      <c r="A6" s="13" t="inlineStr">
        <is>
          <t>Microsoft schtasks docs</t>
        </is>
      </c>
      <c r="B6" s="13" t="inlineStr">
        <is>
          <t>https://learn.microsoft.com/en-us/windows-server/administration/windows-commands/schtasks</t>
        </is>
      </c>
      <c r="C6" s="13" t="inlineStr">
        <is>
          <t>Windows scheduled task automation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3.7400016784668" customWidth="1" style="52" min="1" max="1"/>
    <col width="10.89999961853027" customWidth="1" style="52" min="2" max="2"/>
    <col width="34" customWidth="1" style="52" min="3" max="3"/>
    <col width="22" customWidth="1" style="52" min="4" max="4"/>
  </cols>
  <sheetData>
    <row r="1">
      <c r="A1" s="67" t="inlineStr">
        <is>
          <t>Market Lens UI Agent — Control &amp; Budget</t>
        </is>
      </c>
      <c r="B1" s="21" t="n"/>
      <c r="C1" s="21" t="n"/>
      <c r="D1" s="21" t="n"/>
    </row>
    <row r="3">
      <c r="A3" s="55" t="inlineStr">
        <is>
          <t>Parameter</t>
        </is>
      </c>
      <c r="B3" s="55" t="inlineStr">
        <is>
          <t>Value</t>
        </is>
      </c>
      <c r="C3" s="55" t="inlineStr">
        <is>
          <t>Meaning</t>
        </is>
      </c>
      <c r="D3" s="55" t="inlineStr">
        <is>
          <t>Rule</t>
        </is>
      </c>
    </row>
    <row r="4">
      <c r="A4" s="56" t="inlineStr">
        <is>
          <t>Agent Budget</t>
        </is>
      </c>
      <c r="B4" s="65" t="n">
        <v>100000</v>
      </c>
      <c r="C4" t="inlineStr">
        <is>
          <t>Total simulated capital available to the agent</t>
        </is>
      </c>
      <c r="D4" t="inlineStr">
        <is>
          <t>Hard limit</t>
        </is>
      </c>
    </row>
    <row r="5">
      <c r="A5" s="56" t="inlineStr">
        <is>
          <t>Currency</t>
        </is>
      </c>
      <c r="B5" t="inlineStr">
        <is>
          <t>USD</t>
        </is>
      </c>
      <c r="C5" t="inlineStr">
        <is>
          <t>Portfolio and Excel tracking currency</t>
        </is>
      </c>
      <c r="D5" t="inlineStr">
        <is>
          <t>Fixed</t>
        </is>
      </c>
    </row>
    <row r="6">
      <c r="A6" s="56" t="inlineStr">
        <is>
          <t>Mode</t>
        </is>
      </c>
      <c r="B6" t="inlineStr">
        <is>
          <t>Paper Trading</t>
        </is>
      </c>
      <c r="C6" t="inlineStr">
        <is>
          <t>Simulated trading only</t>
        </is>
      </c>
      <c r="D6" t="inlineStr">
        <is>
          <t>No real orders</t>
        </is>
      </c>
    </row>
    <row r="7">
      <c r="A7" s="56" t="inlineStr">
        <is>
          <t>Tracking Period</t>
        </is>
      </c>
      <c r="B7" t="inlineStr">
        <is>
          <t>30 days</t>
        </is>
      </c>
      <c r="C7" t="inlineStr">
        <is>
          <t>The agent should keep daily activity logs for one month</t>
        </is>
      </c>
      <c r="D7" t="inlineStr">
        <is>
          <t>User requirement</t>
        </is>
      </c>
    </row>
    <row r="8">
      <c r="A8" s="56" t="inlineStr">
        <is>
          <t>Max Allocation per Ticker</t>
        </is>
      </c>
      <c r="B8" s="68" t="inlineStr">
        <is>
          <t>10%</t>
        </is>
      </c>
      <c r="C8" t="inlineStr">
        <is>
          <t>Maximum exposure to one simulated position</t>
        </is>
      </c>
      <c r="D8" t="inlineStr">
        <is>
          <t>Risk rule</t>
        </is>
      </c>
    </row>
    <row r="9">
      <c r="A9" s="56" t="inlineStr">
        <is>
          <t>Max Total Starting Exposure</t>
        </is>
      </c>
      <c r="B9" s="68" t="inlineStr">
        <is>
          <t>40%</t>
        </is>
      </c>
      <c r="C9" t="inlineStr">
        <is>
          <t>Maximum deployed capital at the beginning</t>
        </is>
      </c>
      <c r="D9" t="inlineStr">
        <is>
          <t>Risk rule</t>
        </is>
      </c>
    </row>
    <row r="10">
      <c r="A10" s="56" t="inlineStr">
        <is>
          <t>Max Risk per Trade</t>
        </is>
      </c>
      <c r="B10" s="68" t="inlineStr">
        <is>
          <t>1%</t>
        </is>
      </c>
      <c r="C10" t="inlineStr">
        <is>
          <t>Maximum loss risk per simulated setup</t>
        </is>
      </c>
      <c r="D10" t="inlineStr">
        <is>
          <t>Risk rule</t>
        </is>
      </c>
    </row>
    <row r="11">
      <c r="A11" s="56" t="inlineStr">
        <is>
          <t>Minimum Risk/Reward</t>
        </is>
      </c>
      <c r="B11" t="inlineStr">
        <is>
          <t>2.0</t>
        </is>
      </c>
      <c r="C11" t="inlineStr">
        <is>
          <t>Required R/R before simulated entry</t>
        </is>
      </c>
      <c r="D11" t="inlineStr">
        <is>
          <t>Entry rule</t>
        </is>
      </c>
    </row>
    <row r="12">
      <c r="A12" s="56" t="inlineStr">
        <is>
          <t>Excel Update</t>
        </is>
      </c>
      <c r="B12" t="inlineStr">
        <is>
          <t>Every run</t>
        </is>
      </c>
      <c r="C12" t="inlineStr">
        <is>
          <t>Agent must update workbook and summary after every run</t>
        </is>
      </c>
      <c r="D12" t="inlineStr">
        <is>
          <t>Reporting rule</t>
        </is>
      </c>
    </row>
  </sheetData>
  <mergeCells count="1">
    <mergeCell ref="A1:D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Run ID</t>
        </is>
      </c>
      <c r="C1" t="inlineStr">
        <is>
          <t>Ticker</t>
        </is>
      </c>
      <c r="D1" t="inlineStr">
        <is>
          <t>Action</t>
        </is>
      </c>
      <c r="E1" t="inlineStr">
        <is>
          <t>Triggered At</t>
        </is>
      </c>
      <c r="F1" t="inlineStr">
        <is>
          <t>Trigger Price USD</t>
        </is>
      </c>
      <c r="G1" t="inlineStr">
        <is>
          <t>Bar High USD</t>
        </is>
      </c>
      <c r="H1" t="inlineStr">
        <is>
          <t>Bar Low USD</t>
        </is>
      </c>
      <c r="I1" t="inlineStr">
        <is>
          <t>Bar Close USD</t>
        </is>
      </c>
      <c r="J1" t="inlineStr">
        <is>
          <t>Quantity</t>
        </is>
      </c>
      <c r="K1" t="inlineStr">
        <is>
          <t>Cash In</t>
        </is>
      </c>
      <c r="L1" t="inlineStr">
        <is>
          <t>Stop Loss USD</t>
        </is>
      </c>
      <c r="M1" t="inlineStr">
        <is>
          <t>Target 1 USD</t>
        </is>
      </c>
      <c r="N1" t="inlineStr">
        <is>
          <t>Target 2 USD</t>
        </is>
      </c>
      <c r="O1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2026-06-06T10:21:08Z</dcterms:created>
  <dcterms:modified xmlns:dcterms="http://purl.org/dc/terms/" xmlns:xsi="http://www.w3.org/2001/XMLSchema-instance" xsi:type="dcterms:W3CDTF">2026-06-07T07:10:42Z</dcterms:modified>
</cp:coreProperties>
</file>