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455"/>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2026-06-09T17:52:40</t>
        </is>
      </c>
      <c r="B438" t="inlineStr">
        <is>
          <t>HON</t>
        </is>
      </c>
      <c r="C438" t="inlineStr">
        <is>
          <t>Breakout + Retest</t>
        </is>
      </c>
      <c r="D438" t="n">
        <v>0.45</v>
      </c>
      <c r="E438" t="n">
        <v>214.81</v>
      </c>
      <c r="F438" t="n">
        <v>213.65</v>
      </c>
      <c r="G438" t="n">
        <v>219.83</v>
      </c>
      <c r="H438" t="n">
        <v>210.55</v>
      </c>
      <c r="I438" t="n">
        <v>219.83</v>
      </c>
      <c r="J438" t="n">
        <v>239.94</v>
      </c>
      <c r="K438" t="n">
        <v>2.83</v>
      </c>
      <c r="L438" t="inlineStr">
        <is>
          <t>Price (214.81) retesting broken resistance (219.83) as support. Breakout on 2026-05-21 with 1.1× avg volume. Entry at 214.81, stop at 210.55.</t>
        </is>
      </c>
      <c r="M438" t="inlineStr">
        <is>
          <t>HOLD</t>
        </is>
      </c>
      <c r="N438" t="inlineStr">
        <is>
          <t>HOLD: Existing simulated position remains open. NEUTRAL regime recorded.</t>
        </is>
      </c>
      <c r="O438" t="inlineStr">
        <is>
          <t>HON
Breakout + Retest
0.45
score
Price
214.81
R/R
2.83x
Grade
B
Quality
69%
Buy Zone
213.65 - 219.83
Stop
210.55
Targets
219.83 / 239.94
Tradable if trigger confirms
Mixed
Relative Strength
Leadership
86%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(214.81) retesting broken resistance (219.83) as support. Breakout on 2026-05-21 with 1.1× avg volume. Entry at 214.81, stop at 210.55.
Fib 61.8
222.36
Fib Zone
220.82 - 223.91
Swing Low
211.50
Swing High
239.94
Save setup
Click chart to open full size</t>
        </is>
      </c>
      <c r="P438" t="inlineStr">
        <is>
          <t>agent_results/charts/market_lens_agent_20260609_174631_hon.png</t>
        </is>
      </c>
      <c r="Q438" t="inlineStr">
        <is>
          <t>Smart Universe: broad liquid US universe, diversified by sector | Sector: Industrials - Neutral (68/100); XLI sector regime is neutral: 3.1% 3m return, -5.6% vs SPY | Setup: Breakout + Retest; score 0.45; R/R 2.83x; price 214.81 | Market: NEUTRAL; Sector regime: NEUTRAL; Net R/R: 2.26;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0.7304, "estimated_spread": 0.0644, "executable_entry": 214.81, "execution_liquidity_bucket": "large_liquid", "factor_exposure_after": {}, "factor_exposure_before": {}, "factor_exposure_cap": 7000.0, "factor_exposure_limit_exceeded": false, "factor_tags": ["Industrials"], "final_action": "HOLD", "gross_reward_1_per_share": 5.02, "gross_reward_2_per_share": 25.13, "gross_risk_per_share": 4.26, "gross_rr": 2.8306, "gross_rr_1": 1.1784, "gross_rr_2": 5.8991, "gross_rr_decision": 2.8306, "highest_correlation_ticker": "", "highest_correlation_value": null, "initial_action": "HOLD", "market_cap": 136292447045.2,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"SUPPORTED_BY_20D_RESISTANCE", "minimum_net_rr_required": 2.5, "net_entry": 215.2074, "net_reward_1_per_share": 4.4078, "net_reward_2_per_share": 24.5178, "net_risk_per_share": 5.0548, "net_rr": 2.2644, "net_rr_1": 0.872, "net_rr_2": 4.8504, "net_stop_assumption": 210.1526, "net_target_1_assumption": 219.6152, "net_target_2_assumption": 239.7252, "normalized_atr_score": 100.0, "normalized_liquidity_score": 67.6, "normalized_momentum_score": 16.96, "normalized_quality_score": 52.91,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239.94, "price": 214.81,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67.83, "setup_score": 0.45, "setup_type": "Breakout + Retest", "sizing_adjustment_reason": "", "spread_source": "liquidity_fallback", "stock_score": 0.45, "stop_loss": 210.55, "target_1": 219.83, "target_1_atr_distance": 0.8115, "target_2": 239.94, "target_2_atr_distance": 4.0625, "target_feasibility_status": "OK", "theoretical_entry": 213.65, "ticker": "HON", "timestamp": "2026-06-09T17:52:40", "warnings": []}</t>
        </is>
      </c>
    </row>
    <row r="439">
      <c r="A439" t="inlineStr">
        <is>
          <t>2026-06-09T17:52:40</t>
        </is>
      </c>
      <c r="B439" t="inlineStr">
        <is>
          <t>ORCL</t>
        </is>
      </c>
      <c r="C439" t="inlineStr">
        <is>
          <t>Breakout + Retest</t>
        </is>
      </c>
      <c r="D439" t="n">
        <v>0.4</v>
      </c>
      <c r="E439" t="n">
        <v>203.62</v>
      </c>
      <c r="F439" t="n">
        <v>187.64</v>
      </c>
      <c r="G439" t="n">
        <v>200.71</v>
      </c>
      <c r="H439" t="n">
        <v>181.11</v>
      </c>
      <c r="I439" t="n">
        <v>219.06</v>
      </c>
      <c r="J439" t="n">
        <v>250.25</v>
      </c>
      <c r="K439" t="n">
        <v>1.17</v>
      </c>
      <c r="L439" t="inlineStr">
        <is>
          <t>Price (203.62) retesting broken resistance (200.71) as support. Breakout on 2026-05-28 with 1.3× avg volume. Entry at 203.62, stop at 181.11.</t>
        </is>
      </c>
      <c r="M439" t="inlineStr">
        <is>
          <t>WATCH</t>
        </is>
      </c>
      <c r="N439" t="inlineStr">
        <is>
          <t>WATCH: Technical setup detected, but weighted risk/reward 1.17 is below minimum 2.00. Market regime NEUTRAL; sector STRONG; net R/R 1.10.</t>
        </is>
      </c>
      <c r="O439" t="inlineStr">
        <is>
          <t>ORCL
Breakout + Retest
0.40
score
Price
203.62
R/R
1.17x
Grade
B
Quality
74%
Buy Zone
187.64 - 200.71
Stop
181.11
Targets
219.06 / 250.25
Tradable if trigger confirms
Mixed
Relative Strength
Leadership
100%
Trend Quality
Constructive
68%
Liquidity
Institutional liquidity
100%
Volume
Neutral
65%
Trigger
Close above 219.06 or reclaim of broken resistance.
Invalidation
Exit if price closes below 181.11 or setup support fails.
Market regime: Mixed.
Relative strength: Leadership.
Price (203.62) retesting broken resistance (200.71) as support. Breakout on 2026-05-28 with 1.3× avg volume. Entry at 203.62, stop at 181.11.
Fib 61.8
206.09
Fib Zone
202.83 - 209.36
Swing Low
178.80
Swing High
250.25
Save setup
Click chart to open full size</t>
        </is>
      </c>
      <c r="P439" t="inlineStr">
        <is>
          <t>agent_results/charts/market_lens_agent_20260609_174631_orcl.png</t>
        </is>
      </c>
      <c r="Q439" t="inlineStr">
        <is>
          <t>Smart Universe: broad liquid US universe, diversified by sector | Sector: Technology - Strong (73/100); XLK sector regime is strong: 26.8% 3m return, 18.2% vs SPY | Setup: Breakout + Retest; score 0.40; R/R 1.17x; price 203.62 | Market: NEUTRAL; Sector regime: STRONG; Net R/R: 1.10; Factors: Technology | Agent action: WATCH - WATCH: Technical setup detected, but weighted risk/reward 1.17 is below minimum 2.00. Market regime NEUTRAL; sector STRONG; net R/R 1.10.</t>
        </is>
      </c>
      <c r="R439"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0.7962, "estimated_spread": 0.0611, "executable_entry": 203.62, "execution_liquidity_bucket": "large_liquid", "factor_exposure_after": {"Industrials": 5799.87}, "factor_exposure_before": {"Industrials": 5799.87}, "factor_exposure_cap": 7000.0, "factor_exposure_limit_exceeded": false, "factor_tags": ["Technology"], "final_action": "WATCH", "gross_reward_1_per_share": 15.44, "gross_reward_2_per_share": 46.63, "gross_risk_per_share": 22.51, "gross_rr": 1.1709, "gross_rr_1": 0.6859, "gross_rr_2": 2.0715, "gross_rr_decision": 1.1709, "highest_correlation_ticker": "HON", "highest_correlation_value": 0.114, "initial_action": "WATCH", "market_cap": 587259839761.6, "market_cap_bucket": "Mega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"SUPPORTED_BY_20D_RESISTANCE", "minimum_net_rr_required": 2.2, "net_entry": 204.0486, "net_reward_1_per_share": 14.7818, "net_reward_2_per_share": 45.9718, "net_risk_per_share": 23.3672, "net_rr": 1.0998, "net_rr_1": 0.6326, "net_rr_2": 1.9674, "net_stop_assumption": 180.6814, "net_target_1_assumption": 218.8304, "net_target_2_assumption": 250.0204, "normalized_atr_score": 83.34, "normalized_liquidity_score": 75.31, "normalized_momentum_score": 100, "normalized_quality_score": 88.43,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250.25, "price": 203.62, "prior_high_20": 250.25, "prior_high_63": 250.25, "reason": "WATCH: Technical setup detected, but weighted risk/reward 1.17 is below minimum 2.00. Market regime NEUTRAL; sector STRONG; net R/R 1.10.",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72.71, "setup_score": 0.4, "setup_type": "Breakout + Retest", "sizing_adjustment_reason": "", "spread_source": "liquidity_fallback", "stock_score": 0.4, "stop_loss": 181.11, "target_1": 219.06, "target_1_atr_distance": 1.1817, "target_2": 250.25, "target_2_atr_distance": 3.5687, "target_feasibility_status": "OK", "theoretical_entry": 187.64, "ticker": "ORCL", "timestamp": "2026-06-09T17:52:40", "warnings": ["Earnings blackout active."]}</t>
        </is>
      </c>
    </row>
    <row r="440">
      <c r="A440" t="inlineStr">
        <is>
          <t>2026-06-09T17:52:40</t>
        </is>
      </c>
      <c r="B440" t="inlineStr">
        <is>
          <t>V</t>
        </is>
      </c>
      <c r="C440" t="inlineStr">
        <is>
          <t>Fib 61.8 Confluence Buy Zone</t>
        </is>
      </c>
      <c r="D440" t="n">
        <v>0.38</v>
      </c>
      <c r="E440" t="n">
        <v>324.19</v>
      </c>
      <c r="F440" t="n">
        <v>321.24</v>
      </c>
      <c r="G440" t="n">
        <v>324.8</v>
      </c>
      <c r="H440" t="n">
        <v>319</v>
      </c>
      <c r="I440" t="n">
        <v>325.34</v>
      </c>
      <c r="J440" t="n">
        <v>338.49</v>
      </c>
      <c r="K440" t="n">
        <v>1.11</v>
      </c>
      <c r="L440" t="inlineStr">
        <is>
          <t>Price at 61.8% fib retracement (323.02) with confluence at VWAP. Planned entry at zone low 321.24; executable entry 324.19, stop below fib 78.6% at 319.00.</t>
        </is>
      </c>
      <c r="M440" t="inlineStr">
        <is>
          <t>WATCH</t>
        </is>
      </c>
      <c r="N440" t="inlineStr">
        <is>
          <t>WATCH: Technical setup detected, but weighted risk/reward 1.11 is below minimum 2.00. Market regime NEUTRAL; sector STRONG; net R/R 0.93.</t>
        </is>
      </c>
      <c r="O440" t="inlineStr">
        <is>
          <t>V
Fib 61.8 Confluence Buy Zone
0.38
score
Price
324.19
R/R
1.11x
Grade
C
Quality
60%
Buy Zone
321.24 - 324.80
Stop
319.00
Targets
325.34 / 338.49
Watch only; needs confirmation
Mixed
Relative Strength
Leadership
70%
Trend Quality
Constructive
58%
Liquidity
Institutional liquidity
100%
Volume
Distribution risk
30%
Trigger
Break above prior-day high at 324.19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324.19, stop below fib 78.6% at 319.00.
Fib 61.8
323.02
Fib Zone
321.24 - 324.80
Swing Low
315.51
Swing High
335.17
Save setup
Click chart to open full size</t>
        </is>
      </c>
      <c r="P440" t="inlineStr">
        <is>
          <t>agent_results/charts/market_lens_agent_20260609_174631_v.png</t>
        </is>
      </c>
      <c r="Q440" t="inlineStr">
        <is>
          <t>Smart Universe: broad liquid US universe, diversified by sector | Sector: Financials - Strong (72/100); XLF sector regime is strong: 6.1% 3m return, -2.6% vs SPY | Setup: Fib 61.8 Confluence Buy Zone; score 0.38; R/R 1.11x; price 324.19 | Market: NEUTRAL; Sector regime: STRONG; Net R/R: 0.93; Factors: Financials | Agent action: WATCH - WATCH: Technical setup detected, but weighted risk/reward 1.11 is below minimum 2.00. Market regime NEUTRAL; sector STRONG; net R/R 0.93.</t>
        </is>
      </c>
      <c r="R440"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0.4539, "estimated_spread": 0.0973, "executable_entry": 324.19, "execution_liquidity_bucket": "large_liquid", "factor_exposure_after": {"Industrials": 5799.87}, "factor_exposure_before": {"Industrials": 5799.87}, "factor_exposure_cap": 7000.0, "factor_exposure_limit_exceeded": false, "factor_tags": ["Financials"], "final_action": "WATCH", "gross_reward_1_per_share": 1.15, "gross_reward_2_per_share": 14.3, "gross_risk_per_share": 5.19, "gross_rr": 1.1084, "gross_rr_1": 0.2216, "gross_rr_2": 2.7553, "gross_rr_decision": 1.1084, "highest_correlation_ticker": "HON", "highest_correlation_value": 0.1032, "initial_action": "WATCH", "market_cap": 616878145125.0, "market_cap_bucket": "Mega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"SUPPORTED_BY_20D_RESISTANCE", "minimum_net_rr_required": 2.2, "net_entry": 324.4656, "net_reward_1_per_share": 0.7123, "net_reward_2_per_share": 13.8623, "net_risk_per_share": 5.7411, "net_rr": 0.9257, "net_rr_1": 0.1241, "net_rr_2": 2.4146, "net_stop_assumption": 318.7244, "net_target_1_assumption": 325.1779, "net_target_2_assumption": 338.3279, "normalized_atr_score": 100.0, "normalized_liquidity_score": 58.73, "normalized_momentum_score": 69.33, "normalized_quality_score": 73.82,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335.17, "price": 324.19, "prior_high_20": 335.17, "prior_high_63": 341.2725, "reason": "WATCH: Technical setup detected, but weighted risk/reward 1.11 is below minimum 2.00. Market regime NEUTRAL; sector STRONG; net R/R 0.93.",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72.06, "setup_score": 0.38, "setup_type": "Fib 61.8 Confluence Buy Zone", "sizing_adjustment_reason": "", "spread_source": "liquidity_fallback", "stock_score": 0.38, "stop_loss": 319.0, "target_1": 325.34, "target_1_atr_distance": 0.1617, "target_2": 338.49, "target_2_atr_distance": 2.0104, "target_feasibility_status": "LOW_REWARD_DISTANCE", "theoretical_entry": 321.24, "ticker": "V", "timestamp": "2026-06-09T17:52:40", "warnings": ["Target 1 is close versus daily ATR."]}</t>
        </is>
      </c>
    </row>
    <row r="441">
      <c r="A441" t="inlineStr">
        <is>
          <t>2026-06-09T17:52:40</t>
        </is>
      </c>
      <c r="B441" t="inlineStr">
        <is>
          <t>DHR</t>
        </is>
      </c>
      <c r="C441" t="inlineStr">
        <is>
          <t>Fib 61.8 Confluence Buy Zone</t>
        </is>
      </c>
      <c r="D441" t="n">
        <v>0.34</v>
      </c>
      <c r="E441" t="n">
        <v>188.35</v>
      </c>
      <c r="F441" t="n">
        <v>187.14</v>
      </c>
      <c r="G441" t="n">
        <v>189.77</v>
      </c>
      <c r="H441" t="n">
        <v>184.65</v>
      </c>
      <c r="I441" t="n">
        <v>190.75</v>
      </c>
      <c r="J441" t="n">
        <v>200.5</v>
      </c>
      <c r="K441" t="n">
        <v>1.57</v>
      </c>
      <c r="L441" t="inlineStr">
        <is>
          <t>Price at 61.8% fib retracement (188.46) with confluence at VWAP. Planned entry at zone low 187.14; executable entry 188.35, stop below fib 78.6% at 184.65.</t>
        </is>
      </c>
      <c r="M441" t="inlineStr">
        <is>
          <t>WATCH</t>
        </is>
      </c>
      <c r="N441" t="inlineStr">
        <is>
          <t>WATCH: Technical setup detected, but weighted risk/reward 1.57 is below minimum 2.00. Market regime NEUTRAL; sector STRONG; net R/R 1.38.</t>
        </is>
      </c>
      <c r="O441" t="inlineStr">
        <is>
          <t>DHR
Fib 61.8 Confluence Buy Zone
0.34
score
Price
188.35
R/R
1.57x
Grade
B
Quality
75%
Buy Zone
187.14 - 189.77
Stop
184.65
Targets
190.75 / 200.50
Tradable if trigger confirms
Mixed
Relative Strength
Leadership
100%
Trend Quality
Constructive
68%
Liquidity
Institutional liquidity
100%
Volume
Neutral
65%
Trigger
Break above prior-day high at 188.35 after holding buy zone.
Invalidation
Exit if price closes below 184.65 or setup support fails.
Market regime: Mixed.
Relative strength: Leadership.
Price at 61.8% fib retracement (188.46) with confluence at VWAP. Planned entry at zone low 187.14; executable entry 188.35, stop below fib 78.6% at 184.65.
Fib 61.8
188.46
Fib Zone
187.14 - 189.77
Swing Low
181.01
Swing High
200.50
Save setup
Click chart to open full size</t>
        </is>
      </c>
      <c r="P441" t="inlineStr">
        <is>
          <t>agent_results/charts/market_lens_agent_20260609_174631_dhr.png</t>
        </is>
      </c>
      <c r="Q441" t="inlineStr">
        <is>
          <t>Smart Universe: broad liquid US universe, diversified by sector | Sector: Healthcare - Strong (69/100); XLV sector regime is strong: 1.6% 3m return, -7.0% vs SPY | Setup: Fib 61.8 Confluence Buy Zone; score 0.34; R/R 1.57x; price 188.35 | Market: NEUTRAL; Sector regime: STRONG; Net R/R: 1.38; Factors: Defensive, Healthcare | Agent action: WATCH - WATCH: Technical setup detected, but weighted risk/reward 1.57 is below minimum 2.00. Market regime NEUTRAL; sector STRONG; net R/R 1.38.</t>
        </is>
      </c>
      <c r="R441"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0.2637, "estimated_spread": 0.0565, "executable_entry": 188.35, "execution_liquidity_bucket": "large_liquid", "factor_exposure_after": {"Industrials": 5799.87}, "factor_exposure_before": {"Industrials": 5799.87}, "factor_exposure_cap": 7000.0, "factor_exposure_limit_exceeded": false, "factor_tags": ["Defensive", "Healthcare"], "final_action": "WATCH", "gross_reward_1_per_share": 2.4, "gross_reward_2_per_share": 12.15, "gross_risk_per_share": 3.7, "gross_rr": 1.5709, "gross_rr_1": 0.6486, "gross_rr_2": 3.2838, "gross_rr_decision": 1.5709, "highest_correlation_ticker": "HON", "highest_correlation_value": 0.2005, "initial_action": "WATCH", "market_cap": 133528009081.75,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"SUPPORTED_BY_20D_RESISTANCE", "minimum_net_rr_required": 2.2, "net_entry": 188.5101, "net_reward_1_per_share": 2.1457, "net_reward_2_per_share": 11.8957, "net_risk_per_share": 4.0202, "net_rr": 1.3826, "net_rr_1": 0.5337, "net_rr_2": 2.959, "net_stop_assumption": 184.4899, "net_target_1_assumption": 190.6558, "net_target_2_assumption": 200.4058, "normalized_atr_score": 100.0, "normalized_liquidity_score": 58.6, "normalized_momentum_score": 61.43, "normalized_quality_score": 70.22,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188.75, "price": 188.35, "prior_high_20": 188.75, "prior_high_63": 200.5, "reason": "WATCH: Technical setup detected, but weighted risk/reward 1.57 is below minimum 2.00. Market regime NEUTRAL; sector STRONG; net R/R 1.38.",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69.16, "setup_score": 0.34, "setup_type": "Fib 61.8 Confluence Buy Zone", "sizing_adjustment_reason": "", "spread_source": "liquidity_fallback", "stock_score": 0.34, "stop_loss": 184.65, "target_1": 190.75, "target_1_atr_distance": 0.4563, "target_2": 200.5, "target_2_atr_distance": 2.31, "target_feasibility_status": "LOW_REWARD_DISTANCE", "theoretical_entry": 187.14, "ticker": "DHR", "timestamp": "2026-06-09T17:52:40", "warnings": ["Target 1 is close versus daily ATR."]}</t>
        </is>
      </c>
    </row>
    <row r="442">
      <c r="A442" t="inlineStr">
        <is>
          <t>2026-06-09T17:52:40</t>
        </is>
      </c>
      <c r="B442" t="inlineStr">
        <is>
          <t>NOW</t>
        </is>
      </c>
      <c r="C442" t="inlineStr">
        <is>
          <t>Breakout + Retest</t>
        </is>
      </c>
      <c r="D442" t="n">
        <v>0.34</v>
      </c>
      <c r="E442" t="n">
        <v>105.67</v>
      </c>
      <c r="F442" t="n">
        <v>103.03</v>
      </c>
      <c r="G442" t="n">
        <v>110.83</v>
      </c>
      <c r="H442" t="n">
        <v>99.13</v>
      </c>
      <c r="I442" t="n">
        <v>112.15</v>
      </c>
      <c r="J442" t="n">
        <v>133.24</v>
      </c>
      <c r="K442" t="n">
        <v>2.12</v>
      </c>
      <c r="L442" t="inlineStr">
        <is>
          <t>Price (105.67) retesting broken resistance (110.83) as support. Breakout on 2026-05-29 with 2.4× avg volume. Volume confirmed breakout. Entry at 105.67, stop at 99.13.</t>
        </is>
      </c>
      <c r="M442" t="inlineStr">
        <is>
          <t>WATCH</t>
        </is>
      </c>
      <c r="N442" t="inlineStr">
        <is>
          <t>WATCH: Neutral market requires stronger setup score (0.34 &lt; 0.45).</t>
        </is>
      </c>
      <c r="O442" t="inlineStr">
        <is>
          <t>NOW
Breakout + Retest
0.34
score
Price
105.67
R/R
2.12x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(105.67) retesting broken resistance (110.83) as support. Breakout on 2026-05-29 with 2.4× avg volume. Volume confirmed breakout. Entry at 105.67, stop at 99.13.
Fib 61.8
95.14
Fib Zone
93.19 - 97.09
Swing Low
85.44
Swing High
110.83
Save setup
Click chart to open full size</t>
        </is>
      </c>
      <c r="P442" t="inlineStr">
        <is>
          <t>agent_results/charts/market_lens_agent_20260609_174631_now.png</t>
        </is>
      </c>
      <c r="Q442" t="inlineStr">
        <is>
          <t>Smart Universe: broad liquid US universe, diversified by sector | Sector: Technology - Strong (73/100); XLK sector regime is strong: 26.8% 3m return, 18.2% vs SPY | Setup: Breakout + Retest; score 0.34; R/R 2.12x; price 105.67 | Market: NEUTRAL; Sector regime: STRONG; Net R/R: 1.94; Factors: High Beta Growth, Technology | Agent action: WATCH - WATCH: Neutral market requires stronger setup score (0.34 &lt; 0.45).</t>
        </is>
      </c>
      <c r="R442" t="inlineStr">
        <is>
          <t>{"adjusted_cash_out": 5917.52, "adjusted_position_size": 56, "adjusted_risk_amount": 366.24, "ask": 0.0, "bid": 0.0, "buy_zone_high": 110.83, "buy_zone_low": 103.03, "cash_available": 93936.04, "company_name": "ServiceNow, Inc.", "correlation_warning": false, "days_to_earnings": 31, "earnings_blackout": false, "earnings_date": "2026-07-22T00:00:00", "estimated_fees": 0.0, "estimated_slippage": 0.4132, "estimated_spread": 0.0317, "executable_entry": 105.67, "execution_liquidity_bucket": "large_liquid", "factor_exposure_after": {"High Beta Growth": 5917.52, "Industrials": 5799.87, "Technology": 5917.52}, "factor_exposure_before": {"Industrials": 5799.87}, "factor_exposure_cap": 7000.0, "factor_exposure_limit_exceeded": false, "factor_tags": ["High Beta Growth", "Technology"], "final_action": "WATCH", "gross_reward_1_per_share": 6.48, "gross_reward_2_per_share": 27.57, "gross_risk_per_share": 6.54, "gross_rr": 2.1195, "gross_rr_1": 0.9908, "gross_rr_2": 4.2156, "gross_rr_decision": 2.1195, "highest_correlation_ticker": "HON", "highest_correlation_value": 0.055, "initial_action": "BUY_SIMULATED", "market_cap": 109349585981.08,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"SUPPORTED_BY_20D_RESISTANCE", "minimum_net_rr_required": 2.2, "net_entry": 105.8924, "net_reward_1_per_share": 6.1384, "net_reward_2_per_share": 27.2284, "net_risk_per_share": 6.9849, "net_rr": 1.9356, "net_rr_1": 0.8788, "net_rr_2": 3.8982, "net_stop_assumption": 98.9076, "net_target_1_assumption": 112.0309, "net_target_2_assumption": 133.1209, "normalized_atr_score": 83.12, "normalized_liquidity_score": 100, "normalized_momentum_score": 48.86, "normalized_quality_score": 72.77, "original_cash_out": 9932.98, "original_position_size": 94, "original_risk_amount": 614.76, "portfolio_exposure_after": 5807.57, "portfolio_exposure_before": 5807.57, "position_size": 0, "position_size_adjusted": true, "position_sizing_explanation": "Base position sizing produced a candidate trade, but the risk transparency layer blocked the new buy. Candidate size: 56 shares, cash 5917.52, risk 366.24.", "previous_resistance": 139.2, "price": 105.67, "prior_high_20": 139.2, "prior_high_63": 139.2, "reason": "WATCH: Neutral market requires stronger setup score (0.34 &lt; 0.45).", "risk_amount": 0.0, "scan_source": "Smart Universe: broad liquid US universe filtered and diversified by the Market Lens UI.", "sector": "Technology", "sector_etf": "XLK", "sector_exposure_after": 5917.52, "sector_exposure_before": 0.0, "sector_exposure_cap": 6000.0, "sector_exposure_limit_exceeded": false, "sector_regime": "STRONG", "sector_score": 72.71, "setup_score": 0.34, "setup_type": "Breakout + Retest", "sizing_adjustment_reason": "Position size reduced by Technology sector exposure cap (94 -&gt; 56 shares).", "spread_source": "liquidity_fallback", "stock_score": 0.34, "stop_loss": 99.13, "target_1": 112.15, "target_1_atr_distance": 0.8308, "target_2": 133.24, "target_2_atr_distance": 3.5346, "target_feasibility_status": "OK", "theoretical_entry": 103.03, "ticker": "NOW", "timestamp": "2026-06-09T17:52:40", "warnings": ["Position size reduced by Technology sector exposure cap (94 -&gt; 56 shares).", "Gross R/R is valid, but Net R/R 1.94 failed minimum 2.20 after slippage/spread adjustment."]}</t>
        </is>
      </c>
    </row>
    <row r="443">
      <c r="A443" t="inlineStr">
        <is>
          <t>2026-06-09T17:52:40</t>
        </is>
      </c>
      <c r="B443" t="inlineStr">
        <is>
          <t>DLR</t>
        </is>
      </c>
      <c r="C443" t="inlineStr">
        <is>
          <t>Breakout + Retest</t>
        </is>
      </c>
      <c r="D443" t="n">
        <v>0.32</v>
      </c>
      <c r="E443" t="n">
        <v>184.25</v>
      </c>
      <c r="F443" t="n">
        <v>178.64</v>
      </c>
      <c r="G443" t="n">
        <v>182.95</v>
      </c>
      <c r="H443" t="n">
        <v>176.48</v>
      </c>
      <c r="I443" t="n">
        <v>187.95</v>
      </c>
      <c r="J443" t="n">
        <v>201.34</v>
      </c>
      <c r="K443" t="n">
        <v>1.08</v>
      </c>
      <c r="L443" t="inlineStr">
        <is>
          <t>Price (184.25) retesting broken resistance (182.95) as support. Breakout on 2026-04-08 with 2.2× avg volume. Volume confirmed breakout. Entry at 184.25, stop at 176.48.</t>
        </is>
      </c>
      <c r="M443" t="inlineStr">
        <is>
          <t>WATCH</t>
        </is>
      </c>
      <c r="N443" t="inlineStr">
        <is>
          <t>WATCH: Technical setup detected, but weighted risk/reward 1.08 is below minimum 2.00. Market regime NEUTRAL; sector STRONG; net R/R 0.85.</t>
        </is>
      </c>
      <c r="O443" t="inlineStr">
        <is>
          <t>DLR
Breakout + Retest
0.32
score
Price
184.25
R/R
1.08x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(184.25) retesting broken resistance (182.95) as support. Breakout on 2026-04-08 with 2.2× avg volume. Volume confirmed breakout. Entry at 184.25, stop at 176.48.
Fib 61.8
188.75
Fib Zone
187.67 - 189.83
Swing Low
184.95
Swing High
194.89
Save setup
Click chart to open full size</t>
        </is>
      </c>
      <c r="P443" t="inlineStr">
        <is>
          <t>agent_results/charts/market_lens_agent_20260609_174631_dlr.png</t>
        </is>
      </c>
      <c r="Q443" t="inlineStr">
        <is>
          <t>Smart Universe: broad liquid US universe, diversified by sector | Sector: Real Estate - Strong (73/100); XLRE sector regime is strong: 6.9% 3m return, -1.7% vs SPY | Setup: Breakout + Retest; score 0.32; R/R 1.08x; price 184.25 | Market: NEUTRAL; Sector regime: STRONG; Net R/R: 0.85; Factors: Real Estate | Agent action: WATCH - WATCH: Technical setup detected, but weighted risk/reward 1.08 is below minimum 2.00. Market regime NEUTRAL; sector STRONG; net R/R 0.85.</t>
        </is>
      </c>
      <c r="R443"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0.9213, "estimated_spread": 0.1474, "executable_entry": 184.25, "execution_liquidity_bucket": "mid_liquid", "factor_exposure_after": {"Industrials": 5799.87}, "factor_exposure_before": {"Industrials": 5799.87}, "factor_exposure_cap": 7000.0, "factor_exposure_limit_exceeded": false, "factor_tags": ["Real Estate"], "final_action": "WATCH", "gross_reward_1_per_share": 3.7, "gross_reward_2_per_share": 17.09, "gross_risk_per_share": 7.77, "gross_rr": 1.0793, "gross_rr_1": 0.4762, "gross_rr_2": 2.1995, "gross_rr_decision": 1.0793, "highest_correlation_ticker": "HON", "highest_correlation_value": 0.4607, "initial_action": "WATCH", "market_cap": 64906458802.79,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"SUPPORTED_BY_20D_RESISTANCE", "minimum_net_rr_required": 2.2, "net_entry": 184.7843, "net_reward_1_per_share": 2.8617, "net_reward_2_per_share": 16.2517, "net_risk_per_share": 8.8387, "net_rr": 0.854, "net_rr_1": 0.3238, "net_rr_2": 1.8387, "net_stop_assumption": 175.9457, "net_target_1_assumption": 187.646, "net_target_2_assumption": 201.036, "normalized_atr_score": 100.0, "normalized_liquidity_score": 41.28, "normalized_momentum_score": 50.12, "normalized_quality_score": 59.94,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197.54, "price": 184.25,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72.54, "setup_score": 0.32, "setup_type": "Breakout + Retest", "sizing_adjustment_reason": "", "spread_source": "liquidity_fallback", "stock_score": 0.32, "stop_loss": 176.48, "target_1": 187.95, "target_1_atr_distance": 0.8577, "target_2": 201.34, "target_2_atr_distance": 3.9615, "target_feasibility_status": "OK", "theoretical_entry": 178.64, "ticker": "DLR", "timestamp": "2026-06-09T17:52:40", "warnings": []}</t>
        </is>
      </c>
    </row>
    <row r="444">
      <c r="A444" t="inlineStr">
        <is>
          <t>2026-06-09T17:52:40</t>
        </is>
      </c>
      <c r="B444" t="inlineStr">
        <is>
          <t>PFE</t>
        </is>
      </c>
      <c r="C444" t="inlineStr">
        <is>
          <t>Fib 61.8 Confluence Buy Zone</t>
        </is>
      </c>
      <c r="D444" t="n">
        <v>0.29</v>
      </c>
      <c r="E444" t="n">
        <v>25.82</v>
      </c>
      <c r="F444" t="n">
        <v>25.73</v>
      </c>
      <c r="G444" t="n">
        <v>25.98</v>
      </c>
      <c r="H444" t="n">
        <v>25.37</v>
      </c>
      <c r="I444" t="n">
        <v>26.17</v>
      </c>
      <c r="J444" t="n">
        <v>27.57</v>
      </c>
      <c r="K444" t="n">
        <v>1.88</v>
      </c>
      <c r="L444" t="inlineStr">
        <is>
          <t>Price at 61.8% fib retracement (25.86) with confluence at VWAP. Planned entry at zone low 25.73; executable entry 25.82, stop below fib 78.6% at 25.37. Structural confluence: swing low at 25.19 aligns with VAL (25.31).</t>
        </is>
      </c>
      <c r="M444" t="inlineStr">
        <is>
          <t>WATCH</t>
        </is>
      </c>
      <c r="N444" t="inlineStr">
        <is>
          <t>WATCH: Technical setup detected, but weighted risk/reward 1.88 is below minimum 2.00. Market regime NEUTRAL; sector STRONG; net R/R 1.63.</t>
        </is>
      </c>
      <c r="O444" t="inlineStr">
        <is>
          <t>PFE
Fib 61.8 Confluence Buy Zone
0.29
score
Price
25.82
R/R
1.88x
Grade
C
Quality
50%
Buy Zone
25.73 - 25.98
Stop
25.37
Targets
26.17 / 27.57
Watch only; needs confirmation
Mixed
Relative Strength
Lagging
32%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25.82, stop below fib 78.6% at 25.37. Structural confluence: swing low at 25.19 aligns with VAL (25.31).
Fib 61.8
25.86
Fib Zone
25.73 - 25.98
Swing Low
24.85
Swing High
27.49
Save setup
Click chart to open full size</t>
        </is>
      </c>
      <c r="P444" t="inlineStr">
        <is>
          <t>agent_results/charts/market_lens_agent_20260609_174631_pfe.png</t>
        </is>
      </c>
      <c r="Q444" t="inlineStr">
        <is>
          <t>Smart Universe: broad liquid US universe, diversified by sector | Sector: Healthcare - Strong (69/100); XLV sector regime is strong: 1.6% 3m return, -7.0% vs SPY | Setup: Fib 61.8 Confluence Buy Zone; score 0.29; R/R 1.88x; price 25.82 | Market: NEUTRAL; Sector regime: STRONG; Net R/R: 1.63; Factors: Defensive, Healthcare | Agent action: WATCH - WATCH: Technical setup detected, but weighted risk/reward 1.88 is below minimum 2.00. Market regime NEUTRAL; sector STRONG; net R/R 1.63.</t>
        </is>
      </c>
      <c r="R444"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25.82, "execution_liquidity_bucket": "large_liquid", "factor_exposure_after": {"Industrials": 5799.87}, "factor_exposure_before": {"Industrials": 5799.87}, "factor_exposure_cap": 7000.0, "factor_exposure_limit_exceeded": false, "factor_tags": ["Defensive", "Healthcare"], "final_action": "WATCH", "gross_reward_1_per_share": 0.35, "gross_reward_2_per_share": 1.75, "gross_risk_per_share": 0.45, "gross_rr": 1.8667, "gross_rr_1": 0.7778, "gross_rr_2": 3.8889, "gross_rr_decision": 1.8667, "highest_correlation_ticker": "HON", "highest_correlation_value": 0.3154, "initial_action": "WATCH", "market_cap": 147188150012.76,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"SUPPORTED_BY_20D_RESISTANCE", "minimum_net_rr_required": 2.2, "net_entry": 25.8419, "net_reward_1_per_share": 0.3151, "net_reward_2_per_share": 1.7151, "net_risk_per_share": 0.4939, "net_rr": 1.6302, "net_rr_1": 0.6381, "net_rr_2": 3.4727, "net_stop_assumption": 25.3481, "net_target_1_assumption": 26.1571, "net_target_2_assumption": 27.5571, "normalized_atr_score": 100.0, "normalized_liquidity_score": 61.11, "normalized_momentum_score": 37.8, "normalized_quality_score": 60.34,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26.54, "price": 25.82, "prior_high_20": 26.54, "prior_high_63": 28.2831, "reason": "WATCH: Technical setup detected, but weighted risk/reward 1.88 is below minimum 2.00. Market regime NEUTRAL; sector STRONG; net R/R 1.63.",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69.16, "setup_score": 0.29, "setup_type": "Fib 61.8 Confluence Buy Zone", "sizing_adjustment_reason": "", "spread_source": "liquidity_fallback", "stock_score": 0.29, "stop_loss": 25.37, "target_1": 26.17, "target_1_atr_distance": 0.7177, "target_2": 27.57, "target_2_atr_distance": 3.5883, "target_feasibility_status": "LOW_REWARD_DISTANCE", "theoretical_entry": 25.73, "ticker": "PFE", "timestamp": "2026-06-09T17:52:40", "warnings": ["Target 1 is close versus daily ATR."]}</t>
        </is>
      </c>
    </row>
    <row r="445">
      <c r="A445" t="inlineStr">
        <is>
          <t>2026-06-09T17:52:40</t>
        </is>
      </c>
      <c r="B445" t="inlineStr">
        <is>
          <t>MKC</t>
        </is>
      </c>
      <c r="C445" t="inlineStr">
        <is>
          <t>Breakout + Retest</t>
        </is>
      </c>
      <c r="D445" t="n">
        <v>0.28</v>
      </c>
      <c r="E445" t="n">
        <v>48.82</v>
      </c>
      <c r="F445" t="n">
        <v>47.02</v>
      </c>
      <c r="G445" t="n">
        <v>48.45</v>
      </c>
      <c r="H445" t="n">
        <v>46.31</v>
      </c>
      <c r="I445" t="n">
        <v>50.07</v>
      </c>
      <c r="J445" t="n">
        <v>54.03</v>
      </c>
      <c r="K445" t="n">
        <v>1.05</v>
      </c>
      <c r="L445" t="inlineStr">
        <is>
          <t>Price (48.82) retesting broken resistance (48.45) as support. Breakout on 2026-06-09 with 0.5× avg volume. Entry at 48.82, stop at 46.31.</t>
        </is>
      </c>
      <c r="M445" t="inlineStr">
        <is>
          <t>WATCH</t>
        </is>
      </c>
      <c r="N445" t="inlineStr">
        <is>
          <t>WATCH: Technical setup detected, but weighted risk/reward 1.05 is below minimum 2.00. Market regime NEUTRAL; sector NEUTRAL; net R/R 0.86.</t>
        </is>
      </c>
      <c r="O445" t="inlineStr">
        <is>
          <t>MKC
Breakout + Retest
0.28
score
Price
48.82
R/R
1.05x
Grade
C
Quality
63%
Buy Zone
47.02 - 48.45
Stop
46.31
Targets
50.07 / 54.03
Watch only; needs confirmation
Mixed
Relative Strength
Leadership
100%
Trend Quality
Messy
18%
Liquidity
Institutional liquidity
100%
Volume
Neutral
65%
Trigger
Close above 48.82 or reclaim of broken resistance.
Invalidation
Exit if price closes below 46.31 or setup support fails.
Trend quality is not clean.
Market regime: Mixed.
Relative strength: Leadership.
Price (48.82) retesting broken resistance (48.45) as support. Breakout on 2026-06-09 with 0.5× avg volume. Entry at 48.82, stop at 46.31.
Fib 61.8
46.21
Fib Zone
45.85 - 46.56
Swing Low
44.82
Swing High
48.45
Save setup
Click chart to open full size</t>
        </is>
      </c>
      <c r="P445" t="inlineStr">
        <is>
          <t>agent_results/charts/market_lens_agent_20260609_174631_mkc.png</t>
        </is>
      </c>
      <c r="Q445" t="inlineStr">
        <is>
          <t>Smart Universe: broad liquid US universe, diversified by sector | Sector: Consumer Defensive - Neutral (44/100); XLP sector regime is neutral: -0.2% 3m return, -8.8% vs SPY | Setup: Breakout + Retest; score 0.28; R/R 1.05x; price 48.82 | Market: NEUTRAL; Sector regime: NEUTRAL; Net R/R: 0.86; Factors: Consumer Defensive, Defensive, Low Volatility | Agent action: WATCH - WATCH: Technical setup detected, but weighted risk/reward 1.05 is below minimum 2.00. Market regime NEUTRAL; sector NEUTRAL; net R/R 0.86.</t>
        </is>
      </c>
      <c r="R445"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0.2441, "estimated_spread": 0.0391, "executable_entry": 48.82, "execution_liquidity_bucket": "mid_liquid", "factor_exposure_after": {"Industrials": 5799.87}, "factor_exposure_before": {"Industrials": 5799.87}, "factor_exposure_cap": 7000.0, "factor_exposure_limit_exceeded": false, "factor_tags": ["Consumer Defensive", "Defensive", "Low Volatility"], "final_action": "WATCH", "gross_reward_1_per_share": 1.25, "gross_reward_2_per_share": 5.21, "gross_risk_per_share": 2.51, "gross_rr": 1.0502, "gross_rr_1": 0.498, "gross_rr_2": 2.0757, "gross_rr_decision": 1.0502, "highest_correlation_ticker": "HON", "highest_correlation_value": 0.1625, "initial_action": "WATCH", "market_cap": 13114170723.92,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"SUPPORTED_BY_63D_RESISTANCE", "minimum_net_rr_required": 2.5, "net_entry": 48.9616, "net_reward_1_per_share": 1.0279, "net_reward_2_per_share": 4.9879, "net_risk_per_share": 2.7932, "net_rr": 0.8642, "net_rr_1": 0.368, "net_rr_2": 1.7857, "net_stop_assumption": 46.1684, "net_target_1_assumption": 49.9894, "net_target_2_assumption": 53.9494, "normalized_atr_score": 100.0, "normalized_liquidity_score": 24.7, "normalized_momentum_score": 0, "normalized_quality_score": 32.41,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48.93, "price": 48.82, "prior_high_20": 48.93, "prior_high_63": 63.8707, "reason": "WATCH: Technical setup detected, but weighted risk/reward 1.05 is below minimum 2.00. Market regime NEUTRAL; sector NEUTRAL; net R/R 0.86.",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43.97, "setup_score": 0.28, "setup_type": "Breakout + Retest", "sizing_adjustment_reason": "", "spread_source": "liquidity_fallback", "stock_score": 0.28, "stop_loss": 46.31, "target_1": 50.07, "target_1_atr_distance": 0.876, "target_2": 54.03, "target_2_atr_distance": 3.651, "target_feasibility_status": "OK", "theoretical_entry": 47.02, "ticker": "MKC", "timestamp": "2026-06-09T17:52:40", "warnings": []}</t>
        </is>
      </c>
    </row>
    <row r="446">
      <c r="A446" t="inlineStr">
        <is>
          <t>2026-06-09T17:52:40</t>
        </is>
      </c>
      <c r="B446" t="inlineStr">
        <is>
          <t>GILD</t>
        </is>
      </c>
      <c r="C446" t="inlineStr">
        <is>
          <t>Swing Low + Volume Support Buy Zone</t>
        </is>
      </c>
      <c r="D446" t="n">
        <v>0.27</v>
      </c>
      <c r="E446" t="n">
        <v>125.89</v>
      </c>
      <c r="F446" t="n">
        <v>127.31</v>
      </c>
      <c r="G446" t="n">
        <v>130.06</v>
      </c>
      <c r="H446" t="n">
        <v>123.18</v>
      </c>
      <c r="I446" t="n">
        <v>133.5</v>
      </c>
      <c r="J446" t="n">
        <v>140.73</v>
      </c>
      <c r="K446" t="n">
        <v>1.49</v>
      </c>
      <c r="L446" t="inlineStr">
        <is>
          <t>Price is pulling into a recent swing-low support (128.34) that overlaps with a high-volume area (POC at 129.12), creating structural + volume confluence. Liquidity sweep below swing low detected — wick and reclaim. Stop below 123.18.</t>
        </is>
      </c>
      <c r="M446" t="inlineStr">
        <is>
          <t>WATCH</t>
        </is>
      </c>
      <c r="N446" t="inlineStr">
        <is>
          <t>WATCH: Technical setup detected, but weighted risk/reward 1.49 is below minimum 2.00. Market regime NEUTRAL; sector STRONG; net R/R 1.97.</t>
        </is>
      </c>
      <c r="O446" t="inlineStr">
        <is>
          <t>GILD
Swing Low + Volume Support Buy Zone
0.27
score
Price
125.89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6" t="inlineStr">
        <is>
          <t>agent_results/charts/market_lens_agent_20260609_174631_gild.png</t>
        </is>
      </c>
      <c r="Q446" t="inlineStr">
        <is>
          <t>Smart Universe: broad liquid US universe, diversified by sector | Sector: Healthcare - Strong (69/100); XLV sector regime is strong: 1.6% 3m return, -7.0% vs SPY | Setup: Swing Low + Volume Support Buy Zone; score 0.27; R/R 1.49x; price 125.89 | Market: NEUTRAL; Sector regime: STRONG; Net R/R: 1.97; Factors: Defensive, Healthcare | Agent action: WATCH - WATCH: Technical setup detected, but weighted risk/reward 1.49 is below minimum 2.00. Market regime NEUTRAL; sector STRONG; net R/R 1.97.</t>
        </is>
      </c>
      <c r="R44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5799.87}, "factor_exposure_before": {"Industrials": 5799.87},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0.3976, "initial_action": "WATCH", "market_cap": 156319853470.38,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65.69, "normalized_momentum_score": 0, "normalized_quality_score": 44.71,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137.5, "price": 125.89,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69.16, "setup_score": 0.27, "setup_type": "Swing Low + Volume Support Buy Zone", "sizing_adjustment_reason": "", "spread_source": "liquidity_fallback", "stock_score": 0.27, "stop_loss": 123.18, "target_1": 133.5, "target_1_atr_distance": 2.2103, "target_2": 140.73, "target_2_atr_distance": 4.3103, "target_feasibility_status": "OK", "theoretical_entry": 127.31, "ticker": "GILD", "timestamp": "2026-06-09T17:52:40", "warnings": []}</t>
        </is>
      </c>
    </row>
    <row r="447">
      <c r="A447" t="inlineStr">
        <is>
          <t>2026-06-09T17:52:40</t>
        </is>
      </c>
      <c r="B447" t="inlineStr">
        <is>
          <t>ADBE</t>
        </is>
      </c>
      <c r="C447" t="inlineStr">
        <is>
          <t>No Trade</t>
        </is>
      </c>
      <c r="D447" t="n">
        <v>0</v>
      </c>
      <c r="E447" t="n">
        <v>236.4</v>
      </c>
      <c r="H447" t="n">
        <v>0</v>
      </c>
      <c r="K447" t="n">
        <v>0</v>
      </c>
      <c r="L447" t="inlineStr">
        <is>
          <t>No clean technical setup detected. Price in middle of value area or poor risk/reward.</t>
        </is>
      </c>
      <c r="M447" t="inlineStr">
        <is>
          <t>SKIP</t>
        </is>
      </c>
      <c r="N447" t="inlineStr">
        <is>
          <t>SKIP: No Trade result. Market regime NEUTRAL; sector STRONG; net R/R 0.00.</t>
        </is>
      </c>
      <c r="O447" t="inlineStr">
        <is>
          <t>ADBE
No Trade
0.00
score
Price
236.40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251.47
Fib Zone
248.87 - 254.08
Swing Low
236.66
Swing High
275.44
Click chart to open full size</t>
        </is>
      </c>
      <c r="P447" t="inlineStr">
        <is>
          <t>agent_results/charts/market_lens_agent_20260609_174631_adbe.png</t>
        </is>
      </c>
      <c r="Q447" t="inlineStr">
        <is>
          <t>Smart Universe: broad liquid US universe, diversified by sector | Sector: Technology - Strong (73/100); XLK sector regime is strong: 26.8% 3m return, 18.2% vs SPY | Setup: No Trade; score 0.00; R/R 0.00x; price 236.40 | Market: NEUTRAL; Sector regime: STRONG; Net R/R: 0.00; Factors: Technology | Agent action: SKIP - SKIP: No Trade result. Market regime NEUTRAL; sector STRONG; net R/R 0.00.</t>
        </is>
      </c>
      <c r="R447" t="inlineStr">
        <is>
          <t>{"adjusted_cash_out": 0.0, "adjusted_position_size": 0, "adjusted_risk_amount": 0.0, "ask": 0.0, "bid": 0.0, "buy_zone_high": null, "buy_zone_low": null, "cash_available": 93936.04, "company_name": "Adobe Inc.", "correlation_warning": false, "days_to_earnings": 2, "earnings_blackout": true, "earnings_date": "2026-06-11T00:00:00", "estimated_fees": 0.0, "estimated_slippage": 0.331, "estimated_spread": 0.0709, "executable_entry": 236.4, "execution_liquidity_bucket": "large_liquid", "factor_exposure_after": {"Industrials": 5799.87}, "factor_exposure_before": {"Industrials": 5799.87}, "factor_exposure_cap": 7000.0, "factor_exposure_limit_exceeded": false, "factor_tags": ["Technology"], "final_action": "SKIP", "gross_reward_1_per_share": 0.0, "gross_reward_2_per_share": 0.0, "gross_risk_per_share": 236.4, "gross_rr": 0.0, "gross_rr_1": 0.0, "gross_rr_2": 0.0, "gross_rr_decision": 0.0, "highest_correlation_ticker": "HON", "highest_correlation_value": -0.0719, "initial_action": "SKIP", "market_cap": 95787314273.07,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"UNKNOWN", "minimum_net_rr_required": 2.2, "net_entry": 236.6009, "net_reward_1_per_share": 0.0, "net_reward_2_per_share": 0.0, "net_risk_per_share": 236.8019, "net_rr": 0.0, "net_rr_1": 0.0, "net_rr_2": 0.0, "net_stop_assumption": -0.2009, "net_target_1_assumption": -0.1182, "net_target_2_assumption": -0.1182, "normalized_atr_score": 100.0, "normalized_liquidity_score": 73.21, "normalized_momentum_score": 1.1, "normalized_quality_score": 47.46,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0.0, "price": 236.4,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72.71, "setup_score": 0.0, "setup_type": "No Trade", "sizing_adjustment_reason": "", "spread_source": "liquidity_fallback", "stock_score": 0.0, "stop_loss": 0.0, "target_1": null, "target_1_atr_distance": 0.0, "target_2": null, "target_2_atr_distance": 0.0, "target_feasibility_status": "UNKNOWN", "theoretical_entry": 236.4, "ticker": "ADBE", "timestamp": "2026-06-09T17:52:40", "warnings": ["Target ATR feasibility unavailable.", "Earnings blackout active."]}</t>
        </is>
      </c>
    </row>
    <row r="448">
      <c r="A448" t="inlineStr">
        <is>
          <t>2026-06-09T17:52:40</t>
        </is>
      </c>
      <c r="B448" t="inlineStr">
        <is>
          <t>NOC</t>
        </is>
      </c>
      <c r="C448" t="inlineStr">
        <is>
          <t>No Trade</t>
        </is>
      </c>
      <c r="D448" t="n">
        <v>0</v>
      </c>
      <c r="E448" t="n">
        <v>542.1</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542.10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agent_results/charts/market_lens_agent_20260609_174631_noc.png</t>
        </is>
      </c>
      <c r="Q448" t="inlineStr">
        <is>
          <t>Smart Universe: broad liquid US universe, diversified by sector | Sector: Industrials - Neutral (68/100); XLI sector regime is neutral: 3.1% 3m return, -5.6% vs SPY | Setup: No Trade; score 0.00; R/R 0.00x; price 542.10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0.7589, "estimated_spread": 0.1626, "executable_entry": 542.1, "execution_liquidity_bucket": "large_liquid", "factor_exposure_after": {"Industrials": 5799.87}, "factor_exposure_before": {"Industrials": 5799.87}, "factor_exposure_cap": 7000.0, "factor_exposure_limit_exceeded": false, "factor_tags": ["Industrials"], "final_action": "SKIP", "gross_reward_1_per_share": 0.0, "gross_reward_2_per_share": 0.0, "gross_risk_per_share": 542.1, "gross_rr": 0.0, "gross_rr_1": 0.0, "gross_rr_2": 0.0, "gross_rr_decision": 0.0, "highest_correlation_ticker": "HON", "highest_correlation_value": 0.2849, "initial_action": "SKIP", "market_cap": 77026174022.8,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"UNKNOWN", "minimum_net_rr_required": 2.5, "net_entry": 542.5608, "net_reward_1_per_share": 0.0, "net_reward_2_per_share": 0.0, "net_risk_per_share": 543.0216, "net_rr": 0.0, "net_rr_1": 0.0, "net_rr_2": 0.0, "net_stop_assumption": -0.4608, "net_target_1_assumption": -0.2711, "net_target_2_assumption": -0.2711, "normalized_atr_score": 100.0, "normalized_liquidity_score": 48.22, "normalized_momentum_score": 0, "normalized_quality_score": 39.47,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0.0, "price": 542.1,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5799.87, "sector_exposure_before": 5799.87, "sector_exposure_cap": 6000.0, "sector_exposure_limit_exceeded": false, "sector_regime": "NEUTRAL", "sector_score": 67.83, "setup_score": 0.0, "setup_type": "No Trade", "sizing_adjustment_reason": "", "spread_source": "liquidity_fallback", "stock_score": 0.0, "stop_loss": 0.0, "target_1": null, "target_1_atr_distance": 0.0, "target_2": null, "target_2_atr_distance": 0.0, "target_feasibility_status": "UNKNOWN", "theoretical_entry": 542.1, "ticker": "NOC", "timestamp": "2026-06-09T17:52:40", "warnings": ["Target ATR feasibility unavailable."]}</t>
        </is>
      </c>
    </row>
    <row r="449">
      <c r="A449" t="inlineStr">
        <is>
          <t>2026-06-09T17:52:40</t>
        </is>
      </c>
      <c r="B449" t="inlineStr">
        <is>
          <t>BSX</t>
        </is>
      </c>
      <c r="C449" t="inlineStr">
        <is>
          <t>No Trade</t>
        </is>
      </c>
      <c r="D449" t="n">
        <v>0</v>
      </c>
      <c r="E449" t="n">
        <v>49.3</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49.30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agent_results/charts/market_lens_agent_20260609_174631_bsx.png</t>
        </is>
      </c>
      <c r="Q449" t="inlineStr">
        <is>
          <t>Smart Universe: broad liquid US universe, diversified by sector | Sector: Healthcare - Strong (69/100); XLV sector regime is strong: 1.6% 3m return, -7.0% vs SPY | Setup: No Trade; score 0.00; R/R 0.00x; price 49.30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 "execution_liquidity_bucket": "large_liquid", "factor_exposure_after": {"Industrials": 5799.87}, "factor_exposure_before": {"Industrials": 5799.87}, "factor_exposure_cap": 7000.0, "factor_exposure_limit_exceeded": false, "factor_tags": ["Defensive", "Healthcare"], "final_action": "SKIP", "gross_reward_1_per_share": 0.0, "gross_reward_2_per_share": 0.0, "gross_risk_per_share": 49.3, "gross_rr": 0.0, "gross_rr_1": 0.0, "gross_rr_2": 0.0, "gross_rr_decision": 0.0, "highest_correlation_ticker": "HON", "highest_correlation_value": -0.0006, "initial_action": "SKIP", "market_cap": 73418514747.1,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"UNKNOWN", "minimum_net_rr_required": 2.2, "net_entry": 49.3419, "net_reward_1_per_share": 0.0, "net_reward_2_per_share": 0.0, "net_risk_per_share": 49.3838, "net_rr": 0.0, "net_rr_1": 0.0, "net_rr_2": 0.0, "net_stop_assumption": -0.0419, "net_target_1_assumption": -0.0246, "net_target_2_assumption": -0.0246, "normalized_atr_score": 100.0, "normalized_liquidity_score": 69.55, "normalized_momentum_score": 0, "normalized_quality_score": 45.86,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0.0, "price": 49.3,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69.16, "setup_score": 0.0, "setup_type": "No Trade", "sizing_adjustment_reason": "", "spread_source": "liquidity_fallback", "stock_score": 0.0, "stop_loss": 0.0, "target_1": null, "target_1_atr_distance": 0.0, "target_2": null, "target_2_atr_distance": 0.0, "target_feasibility_status": "UNKNOWN", "theoretical_entry": 49.3, "ticker": "BSX", "timestamp": "2026-06-09T17:52:40", "warnings": ["Target ATR feasibility unavailable."]}</t>
        </is>
      </c>
    </row>
    <row r="450">
      <c r="A450" t="inlineStr">
        <is>
          <t>2026-06-09T17:52:40</t>
        </is>
      </c>
      <c r="B450" t="inlineStr">
        <is>
          <t>PNR</t>
        </is>
      </c>
      <c r="C450" t="inlineStr">
        <is>
          <t>No Trade</t>
        </is>
      </c>
      <c r="D450" t="n">
        <v>0</v>
      </c>
      <c r="E450" t="n">
        <v>73.95999999999999</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73.96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agent_results/charts/market_lens_agent_20260609_174631_pnr.png</t>
        </is>
      </c>
      <c r="Q450" t="inlineStr">
        <is>
          <t>Smart Universe: broad liquid US universe, diversified by sector | Sector: Industrials - Neutral (68/100); XLI sector regime is neutral: 3.1% 3m return, -5.6% vs SPY | Setup: No Trade; score 0.00; R/R 0.00x; price 73.96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0.2219, "estimated_spread": 0.0592, "executable_entry": 73.96, "execution_liquidity_bucket": "mid_liquid", "factor_exposure_after": {"Industrials": 5799.87}, "factor_exposure_before": {"Industrials": 5799.87}, "factor_exposure_cap": 7000.0, "factor_exposure_limit_exceeded": false, "factor_tags": ["Industrials"], "final_action": "SKIP", "gross_reward_1_per_share": 0.0, "gross_reward_2_per_share": 0.0, "gross_risk_per_share": 73.96, "gross_rr": 0.0, "gross_rr_1": 0.0, "gross_rr_2": 0.0, "gross_rr_decision": 0.0, "highest_correlation_ticker": "HON", "highest_correlation_value": 0.1847, "initial_action": "SKIP", "market_cap": 11972546357.03,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"UNKNOWN", "minimum_net_rr_required": 2.5, "net_entry": 74.1005, "net_reward_1_per_share": 0.0, "net_reward_2_per_share": 0.0, "net_risk_per_share": 74.241, "net_rr": 0.0, "net_rr_1": 0.0, "net_rr_2": 0.0, "net_stop_assumption": -0.1405, "net_target_1_assumption": -0.0851, "net_target_2_assumption": -0.0851, "normalized_atr_score": 100.0, "normalized_liquidity_score": 24.6, "normalized_momentum_score": 0, "normalized_quality_score": 32.38,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0.0, "price": 73.96,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5799.87, "sector_exposure_before": 5799.87, "sector_exposure_cap": 6000.0, "sector_exposure_limit_exceeded": false, "sector_regime": "NEUTRAL", "sector_score": 67.83, "setup_score": 0.0, "setup_type": "No Trade", "sizing_adjustment_reason": "", "spread_source": "liquidity_fallback", "stock_score": 0.0, "stop_loss": 0.0, "target_1": null, "target_1_atr_distance": 0.0, "target_2": null, "target_2_atr_distance": 0.0, "target_feasibility_status": "UNKNOWN", "theoretical_entry": 73.96, "ticker": "PNR", "timestamp": "2026-06-09T17:52:40", "warnings": ["Target ATR feasibility unavailable."]}</t>
        </is>
      </c>
    </row>
    <row r="451">
      <c r="A451" t="inlineStr">
        <is>
          <t>2026-06-09T17:52:40</t>
        </is>
      </c>
      <c r="B451" t="inlineStr">
        <is>
          <t>TSN</t>
        </is>
      </c>
      <c r="C451" t="inlineStr">
        <is>
          <t>No Trade</t>
        </is>
      </c>
      <c r="D451" t="n">
        <v>0</v>
      </c>
      <c r="E451" t="n">
        <v>56.83</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agent_results/charts/market_lens_agent_20260609_174631_tsn.png</t>
        </is>
      </c>
      <c r="Q451" t="inlineStr">
        <is>
          <t>Smart Universe: broad liquid US universe, diversified by sector | Sector: Consumer Defensive - Neutral (44/100); XLP sector regime is neutral: -0.2% 3m return, -8.8% vs SPY | Setup: No Trade; score 0.00; R/R 0.00x; price 56.83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56.83, "execution_liquidity_bucket": "mid_liquid", "factor_exposure_after": {"Industrials": 5799.87}, "factor_exposure_before": {"Industrials": 5799.87}, "factor_exposure_cap": 7000.0, "factor_exposure_limit_exceeded": false, "factor_tags": ["Consumer Defensive", "Defensive", "Low Volatility"], "final_action": "SKIP", "gross_reward_1_per_share": 0.0, "gross_reward_2_per_share": 0.0, "gross_risk_per_share": 56.83, "gross_rr": 0.0, "gross_rr_1": 0.0, "gross_rr_2": 0.0, "gross_rr_decision": 0.0, "highest_correlation_ticker": "HON", "highest_correlation_value": 0.06, "initial_action": "SKIP", "market_cap": 20029120761.87,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"UNKNOWN", "minimum_net_rr_required": 2.5, "net_entry": 56.938, "net_reward_1_per_share": 0.0, "net_reward_2_per_share": 0.0, "net_risk_per_share": 57.046, "net_rr": 0.0, "net_rr_1": 0.0, "net_rr_2": 0.0, "net_stop_assumption": -0.108, "net_target_1_assumption": -0.0654, "net_target_2_assumption": -0.0654, "normalized_atr_score": 100.0, "normalized_liquidity_score": 28.01, "normalized_momentum_score": 13.7, "normalized_quality_score": 39.57,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0.0, "price": 56.83,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43.97, "setup_score": 0.0, "setup_type": "No Trade", "sizing_adjustment_reason": "", "spread_source": "liquidity_fallback", "stock_score": 0.0, "stop_loss": 0.0, "target_1": null, "target_1_atr_distance": 0.0, "target_2": null, "target_2_atr_distance": 0.0, "target_feasibility_status": "UNKNOWN", "theoretical_entry": 56.83, "ticker": "TSN", "timestamp": "2026-06-09T17:52:40", "warnings": ["Target ATR feasibility unavailable."]}</t>
        </is>
      </c>
    </row>
    <row r="452">
      <c r="A452" t="inlineStr">
        <is>
          <t>2026-06-09T17:52:40</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95%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agent_results/charts/market_lens_agent_20260609_174631_kr.png</t>
        </is>
      </c>
      <c r="Q452" t="inlineStr">
        <is>
          <t>Smart Universe: broad liquid US universe, diversified by sector | Sector: Consumer Defensive - Neutral (44/100); XLP sector regime is neutral: -0.2% 3m return, -8.8%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5799.87}, "factor_exposure_before": {"Industrials": 5799.87},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-0.2134, "initial_action": "SKIP", "market_cap": 39052953375.26,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45.17, "normalized_momentum_score": 9.47, "normalized_quality_score": 42.81,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43.97,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"2026-06-09T17:52:40", "warnings": ["Target ATR feasibility unavailable."]}</t>
        </is>
      </c>
    </row>
    <row r="453">
      <c r="A453" t="inlineStr">
        <is>
          <t>2026-06-09T17:52:40</t>
        </is>
      </c>
      <c r="B453" t="inlineStr">
        <is>
          <t>TAP</t>
        </is>
      </c>
      <c r="C453" t="inlineStr">
        <is>
          <t>No Trade</t>
        </is>
      </c>
      <c r="D453" t="n">
        <v>0</v>
      </c>
      <c r="E453" t="n">
        <v>40.43</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40.43
R/R
0.00x
Grade
No Trade
Quality
0%
Buy Zone
-
Stop
0.00
Targets
-
Skip
Mixed
Relative Strength
Leadership
82%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agent_results/charts/market_lens_agent_20260609_174631_tap.png</t>
        </is>
      </c>
      <c r="Q453" t="inlineStr">
        <is>
          <t>Smart Universe: broad liquid US universe, diversified by sector | Sector: Consumer Defensive - Neutral (44/100); XLP sector regime is neutral: -0.2% 3m return, -8.8% vs SPY | Setup: No Trade; score 0.00; R/R 0.00x; price 40.43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40.43, "execution_liquidity_bucket": "mid_liquid", "factor_exposure_after": {"Industrials": 5799.87}, "factor_exposure_before": {"Industrials": 5799.87}, "factor_exposure_cap": 7000.0, "factor_exposure_limit_exceeded": false, "factor_tags": ["Consumer Defensive", "Defensive", "Low Volatility"], "final_action": "SKIP", "gross_reward_1_per_share": 0.0, "gross_reward_2_per_share": 0.0, "gross_risk_per_share": 40.43, "gross_rr": 0.0, "gross_rr_1": 0.0, "gross_rr_2": 0.0, "gross_rr_decision": 0.0, "highest_correlation_ticker": "HON", "highest_correlation_value": 0.1416, "initial_action": "SKIP", "market_cap": 7578950428.98, "market_cap_bucket": "Mid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"UNKNOWN", "minimum_net_rr_required": 2.5, "net_entry": 40.5068, "net_reward_1_per_share": 0.0, "net_reward_2_per_share": 0.0, "net_risk_per_share": 40.5836, "net_rr": 0.0, "net_rr_1": 0.0, "net_rr_2": 0.0, "net_stop_assumption": -0.0768, "net_target_1_assumption": -0.0465, "net_target_2_assumption": -0.0465, "normalized_atr_score": 100.0, "normalized_liquidity_score": 40.83, "normalized_momentum_score": 23.42, "normalized_quality_score": 47.79,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0.0, "price": 40.43,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43.97, "setup_score": 0.0, "setup_type": "No Trade", "sizing_adjustment_reason": "", "spread_source": "liquidity_fallback", "stock_score": 0.0, "stop_loss": 0.0, "target_1": null, "target_1_atr_distance": 0.0, "target_2": null, "target_2_atr_distance": 0.0, "target_feasibility_status": "UNKNOWN", "theoretical_entry": 40.43, "ticker": "TAP", "timestamp": "2026-06-09T17:52:40", "warnings": ["Target ATR feasibility unavailable."]}</t>
        </is>
      </c>
    </row>
    <row r="454">
      <c r="A454" t="inlineStr">
        <is>
          <t>2026-06-09T17:52:40</t>
        </is>
      </c>
      <c r="B454" t="inlineStr">
        <is>
          <t>RGLD</t>
        </is>
      </c>
      <c r="C454" t="inlineStr">
        <is>
          <t>No Trade</t>
        </is>
      </c>
      <c r="D454" t="n">
        <v>0</v>
      </c>
      <c r="E454" t="n">
        <v>203.16</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203.16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agent_results/charts/market_lens_agent_20260609_174631_rgld.png</t>
        </is>
      </c>
      <c r="Q454" t="inlineStr">
        <is>
          <t>Smart Universe: broad liquid US universe, diversified by sector | Sector: Industrials - Neutral (68/100); XLI sector regime is neutral: 3.1% 3m return, -5.6% vs SPY | Setup: No Trade; score 0.00; R/R 0.00x; price 203.16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203.16, "execution_liquidity_bucket": "mid_liquid", "factor_exposure_after": {"Industrials": 5799.87}, "factor_exposure_before": {"Industrials": 5799.87}, "factor_exposure_cap": 7000.0, "factor_exposure_limit_exceeded": false, "factor_tags": ["Industrials"], "final_action": "SKIP", "gross_reward_1_per_share": 0.0, "gross_reward_2_per_share": 0.0, "gross_risk_per_share": 203.16, "gross_rr": 0.0, "gross_rr_1": 0.0, "gross_rr_2": 0.0, "gross_rr_decision": 0.0, "highest_correlation_ticker": "HON", "highest_correlation_value": 0.4359, "initial_action": "SKIP", "market_cap": 17248288656.67,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"UNKNOWN", "minimum_net_rr_required": 2.5, "net_entry": 203.546, "net_reward_1_per_share": 0.0, "net_reward_2_per_share": 0.0, "net_risk_per_share": 203.932, "net_rr": 0.0, "net_rr_1": 0.0, "net_rr_2": 0.0, "net_stop_assumption": -0.386, "net_target_1_assumption": -0.2336, "net_target_2_assumption": -0.2336, "normalized_atr_score": 100.0, "normalized_liquidity_score": 21.04, "normalized_momentum_score": 0, "normalized_quality_score": 31.31,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0.0, "price": 203.16,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5799.87, "sector_exposure_before": 5799.87, "sector_exposure_cap": 6000.0, "sector_exposure_limit_exceeded": false, "sector_regime": "NEUTRAL", "sector_score": 67.83, "setup_score": 0.0, "setup_type": "No Trade", "sizing_adjustment_reason": "", "spread_source": "liquidity_fallback", "stock_score": 0.0, "stop_loss": 0.0, "target_1": null, "target_1_atr_distance": 0.0, "target_2": null, "target_2_atr_distance": 0.0, "target_feasibility_status": "UNKNOWN", "theoretical_entry": 203.16, "ticker": "RGLD", "timestamp": "2026-06-09T17:52:40", "warnings": ["Target ATR feasibility unavailable."]}</t>
        </is>
      </c>
    </row>
    <row r="455">
      <c r="A455" t="inlineStr">
        <is>
          <t>2026-06-09T17:52:40</t>
        </is>
      </c>
      <c r="B455" t="inlineStr">
        <is>
          <t>DE</t>
        </is>
      </c>
      <c r="C455" t="inlineStr">
        <is>
          <t>No Trade</t>
        </is>
      </c>
      <c r="D455" t="n">
        <v>0</v>
      </c>
      <c r="E455" t="n">
        <v>576.54</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576.54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agent_results/charts/market_lens_agent_20260609_174631_de.png</t>
        </is>
      </c>
      <c r="Q455" t="inlineStr">
        <is>
          <t>Smart Universe: broad liquid US universe, diversified by sector | Sector: Industrials - Neutral (68/100); XLI sector regime is neutral: 3.1% 3m return, -5.6% vs SPY | Setup: No Trade; score 0.00; R/R 0.00x; price 576.54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0.8072, "estimated_spread": 0.173, "executable_entry": 576.54, "execution_liquidity_bucket": "large_liquid", "factor_exposure_after": {"Industrials": 5799.87}, "factor_exposure_before": {"Industrials": 5799.87}, "factor_exposure_cap": 7000.0, "factor_exposure_limit_exceeded": false, "factor_tags": ["Industrials"], "final_action": "SKIP", "gross_reward_1_per_share": 0.0, "gross_reward_2_per_share": 0.0, "gross_risk_per_share": 576.54, "gross_rr": 0.0, "gross_rr_1": 0.0, "gross_rr_2": 0.0, "gross_rr_decision": 0.0, "highest_correlation_ticker": "HON", "highest_correlation_value": 0.2945, "initial_action": "SKIP", "market_cap": 155903222757.02,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"UNKNOWN", "minimum_net_rr_required": 2.5, "net_entry": 577.0301, "net_reward_1_per_share": 0.0, "net_reward_2_per_share": 0.0, "net_risk_per_share": 577.5201, "net_rr": 0.0, "net_rr_1": 0.0, "net_rr_2": 0.0, "net_stop_assumption": -0.4901, "net_target_1_assumption": -0.2883, "net_target_2_assumption": -0.2883, "normalized_atr_score": 100.0, "normalized_liquidity_score": 62.24, "normalized_momentum_score": 38.69, "normalized_quality_score": 61.08,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0.0, "price": 576.54,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5799.87, "sector_exposure_before": 5799.87, "sector_exposure_cap": 6000.0, "sector_exposure_limit_exceeded": false, "sector_regime": "NEUTRAL", "sector_score": 67.83, "setup_score": 0.0, "setup_type": "No Trade", "sizing_adjustment_reason": "", "spread_source": "liquidity_fallback", "stock_score": 0.0, "stop_loss": 0.0, "target_1": null, "target_1_atr_distance": 0.0, "target_2": null, "target_2_atr_distance": 0.0, "target_feasibility_status": "UNKNOWN", "theoretical_entry": 576.54, "ticker": "DE", "timestamp": "2026-06-09T17:52:40", "warnings":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9"/>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2"/>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row r="2">
      <c r="A2" t="inlineStr">
        <is>
          <t>HON</t>
        </is>
      </c>
      <c r="B2" t="inlineStr">
        <is>
          <t>2026-06-09T17:37:36</t>
        </is>
      </c>
      <c r="C2" t="n">
        <v>214.42</v>
      </c>
      <c r="D2" t="n">
        <v>214.81</v>
      </c>
      <c r="E2" t="n">
        <v>27</v>
      </c>
      <c r="F2" t="n">
        <v>210.55</v>
      </c>
      <c r="G2" t="n">
        <v>219.83</v>
      </c>
      <c r="H2" t="n">
        <v>239.94</v>
      </c>
      <c r="I2" t="inlineStr">
        <is>
          <t>OPEN</t>
        </is>
      </c>
      <c r="J2" t="n">
        <v>10.53</v>
      </c>
      <c r="K2" t="n">
        <v>10.53</v>
      </c>
      <c r="L2" t="n">
        <v>5799.87</v>
      </c>
      <c r="M2" t="n">
        <v>115.02</v>
      </c>
      <c r="N2" t="inlineStr">
        <is>
          <t>BUY_SIMULATED: NEUTRAL market regime, NEUTRAL sector, valid setup, net R/R 2.54, no earnings blackout, correlation acceptable, and risk limits allow entry. Position size reduced to 27 shares to fit exposure caps.</t>
        </is>
      </c>
      <c r="O2" t="inlineStr">
        <is>
          <t>agent_results/screenshots/market_lens_agent_20260609_173202.png</t>
        </is>
      </c>
      <c r="P2" t="inlineStr">
        <is>
          <t>agent_results/charts/market_lens_agent_20260609_174631_hon.png</t>
        </is>
      </c>
      <c r="Q2" t="inlineStr">
        <is>
          <t>Smart Universe: broad liquid US universe, diversified by sector | Sector: Industrials - Neutral (68/100); XLI sector regime is neutral: 3.1% 3m return, -5.6% vs SPY | Setup: Breakout + Retest; score 0.45; R/R 2.83x; price 214.81 | Market: NEUTRAL; Sector regime: NEUTRAL; Net R/R: 2.26; Factors: Industrials | Agent action: HOLD - HOLD: Existing simulated position remains open. NEUTRAL regime recorded.</t>
        </is>
      </c>
      <c r="R2"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0.7304, "estimated_spread": 0.0644, "executable_entry": 214.81, "execution_liquidity_bucket": "large_liquid", "factor_exposure_after": {}, "factor_exposure_before": {}, "factor_exposure_cap": 7000.0, "factor_exposure_limit_exceeded": false, "factor_tags": ["Industrials"], "final_action": "HOLD", "gross_reward_1_per_share": 5.02, "gross_reward_2_per_share": 25.13, "gross_risk_per_share": 4.26, "gross_rr": 2.8306, "gross_rr_1": 1.1784, "gross_rr_2": 5.8991, "gross_rr_decision": 2.8306, "highest_correlation_ticker": "", "highest_correlation_value": null, "initial_action": "HOLD", "market_cap": 136292447045.2, "market_cap_bucket": "Large Cap", "market_regime": "NEUTRAL", "market_regime_indicators": {"DXY": {"ema20": 99.2848, "ema200": 98.8353, "ema50": 98.9895, "price": 99.897, "return_1m": 2.0, "return_3m": 0.67, "trend": "bullish"}, "IWM": {"ema20": 284.6036, "ema200": 267.3435, "ema50": 277.3677, "price": 283.07, "return_1m": -0.79, "return_3m": 12.15, "trend": "mixed"}, "QQQ": {"ema20": 715.8467, "ema200": 651.5687, "ema50": 685.0247, "price": 700.8, "return_1m": -1.75, "return_3m": 15.47, "trend": "mixed"}, "SPY": {"ema20": 742.254, "ema200": 703.1637, "ema50": 724.0726, "price": 732.75, "return_1m": -0.89, "return_3m": 8.64, "trend": "mixed"}, "US10Y": {"ema20": 4.4925, "ema200": 4.3206, "ema50": 4.4213, "price": 4.528, "return_1m": 2.68, "return_3m": 7.6, "trend": "bullish"}, "VIX": {"ema20": 17.6771, "ema200": 18.8497, "ema50": 18.4942, "price": 20.58, "return_1m": 14.4, "return_3m": -24.59, "trend": "mixed"}}, "market_regime_reason": "Market regime is mixed; use lower exposure and higher net R/R.", "market_regime_score": 0.52, "market_structure_status": "SUPPORTED_BY_20D_RESISTANCE", "minimum_net_rr_required": 2.5, "net_entry": 215.2074, "net_reward_1_per_share": 4.4078, "net_reward_2_per_share": 24.5178, "net_risk_per_share": 5.0548, "net_rr": 2.2644, "net_rr_1": 0.872, "net_rr_2": 4.8504, "net_stop_assumption": 210.1526, "net_target_1_assumption": 219.6152, "net_target_2_assumption": 239.7252, "normalized_atr_score": 100.0, "normalized_liquidity_score": 67.6, "normalized_momentum_score": 16.96, "normalized_quality_score": 52.91, "original_cash_out": 0.0, "original_position_size": 0, "original_risk_amount": 0.0, "portfolio_exposure_after": 5807.57, "portfolio_exposure_before": 5807.57, "position_size": 0, "position_size_adjusted": false, "position_sizing_explanation": "No new position size was calculated because the base decision did not open a simulated buy.", "previous_resistance": 239.94, "price": 214.81,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67.83, "setup_score": 0.45, "setup_type": "Breakout + Retest", "sizing_adjustment_reason": "", "spread_source": "liquidity_fallback", "stock_score": 0.45, "stop_loss": 210.55, "target_1": 219.83, "target_1_atr_distance": 0.8115, "target_2": 239.94, "target_2_atr_distance": 4.0625, "target_feasibility_status": "OK", "theoretical_entry": 213.65, "ticker": "HON", "timestamp": "2026-06-09T17:52:40", "warnings": []}</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92"/>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2026-06-09T17:52:40</t>
        </is>
      </c>
      <c r="B92" t="inlineStr">
        <is>
          <t>20260609_174631</t>
        </is>
      </c>
      <c r="C92" t="inlineStr">
        <is>
          <t>HON ORCL V DHR NOW DLR PFE MKC GILD ADBE NOC BSX PNR TSN KR TAP RGLD DE</t>
        </is>
      </c>
      <c r="D92" t="n">
        <v>9</v>
      </c>
      <c r="E92" t="inlineStr">
        <is>
          <t>HON:HOLD, ORCL:WATCH, V:WATCH, DHR:WATCH, NOW:WATCH, DLR:WATCH, PFE:WATCH, MKC:WATCH, GILD:WATCH, ADBE:SKIP, NOC:SKIP, BSX:SKIP, PNR:SKIP, TSN:SKIP, KR:SKIP, TAP:SKIP, RGLD:SKIP, DE:SKIP</t>
        </is>
      </c>
      <c r="F92" t="n">
        <v>93936.03999999999</v>
      </c>
      <c r="G92" t="n">
        <v>5799.87</v>
      </c>
      <c r="H92" t="n">
        <v>115.02</v>
      </c>
      <c r="I92" t="n">
        <v>1</v>
      </c>
      <c r="J92" t="inlineStr">
        <is>
          <t>agent_results/summaries/market_lens_agent_20260609_174631.md</t>
        </is>
      </c>
      <c r="K92" t="inlineStr">
        <is>
          <t>agent_results/screenshots/market_lens_agent_20260609_174631.png</t>
        </is>
      </c>
      <c r="L92" t="inlineStr">
        <is>
          <t>agent_results/decisions/market_lens_agent_20260609_174631.jsonl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5"/>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2026-06-09T17:52:51Z</dcterms:modified>
</cp:coreProperties>
</file>