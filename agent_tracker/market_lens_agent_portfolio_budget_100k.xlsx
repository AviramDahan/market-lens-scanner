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6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2026-06-10T16:20:17</t>
        </is>
      </c>
      <c r="B648" t="inlineStr">
        <is>
          <t>OXY</t>
        </is>
      </c>
      <c r="C648" t="inlineStr">
        <is>
          <t>Fib 61.8 Confluence Buy Zone</t>
        </is>
      </c>
      <c r="D648" t="n">
        <v>0.54</v>
      </c>
      <c r="E648" t="n">
        <v>58.37</v>
      </c>
      <c r="F648" t="n">
        <v>57.47</v>
      </c>
      <c r="G648" t="n">
        <v>58.39</v>
      </c>
      <c r="H648" t="n">
        <v>55.16</v>
      </c>
      <c r="I648" t="n">
        <v>59.75</v>
      </c>
      <c r="J648" t="n">
        <v>67.45</v>
      </c>
      <c r="K648" t="n">
        <v>1.27</v>
      </c>
      <c r="L648" t="inlineStr">
        <is>
          <t>Price at 61.8% fib retracement (57.93) with confluence at POC. Planned entry at zone low 57.47; executable entry 58.37,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48" t="inlineStr">
        <is>
          <t>agent_results/charts/market_lens_agent_20260610_161630_oxy.png</t>
        </is>
      </c>
      <c r="Q648" t="inlineStr">
        <is>
          <t>Smart Universe: broad liquid US universe, diversified by sector | Sector: Energy - Neutral (67/100); XLE sector regime is neutral: 2.8% 3m return, -7.1% vs SPY | Setup: Fib 61.8 Confluence Buy Zone; score 0.54; R/R 1.27x; price 58.37 | Market: NEUTRAL; Sector regime: NEUTRAL; Net R/R: 1.21;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 "factor_exposure_before": {},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 "highest_correlation_value": null, "initial_action": "HOLD", "market_cap": 57972283396.02,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52.92, "normalized_momentum_score": 55.04, "normalized_quality_score": 65.64, "original_cash_out": 0.0, "original_position_size": 0, "original_risk_amount": 0.0, "portfolio_exposure_after": 3033.68, "portfolio_exposure_before": 3033.68,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67.23,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"2026-06-10T16:20:17", "warnings": ["Target 1 is close versus daily ATR."]}</t>
        </is>
      </c>
    </row>
    <row r="649">
      <c r="A649" t="inlineStr">
        <is>
          <t>2026-06-10T16:20:17</t>
        </is>
      </c>
      <c r="B649" t="inlineStr">
        <is>
          <t>HAL</t>
        </is>
      </c>
      <c r="C649" t="inlineStr">
        <is>
          <t>Fib 61.8 Confluence Buy Zone</t>
        </is>
      </c>
      <c r="D649" t="n">
        <v>0.5</v>
      </c>
      <c r="E649" t="n">
        <v>40.33</v>
      </c>
      <c r="F649" t="n">
        <v>40.16</v>
      </c>
      <c r="G649" t="n">
        <v>40.8</v>
      </c>
      <c r="H649" t="n">
        <v>39.55</v>
      </c>
      <c r="I649" t="n">
        <v>41.04</v>
      </c>
      <c r="J649" t="n">
        <v>43.41</v>
      </c>
      <c r="K649" t="n">
        <v>1.99</v>
      </c>
      <c r="L649" t="inlineStr">
        <is>
          <t>Price at 61.8% fib retracement (40.48) with confluence at POC, VWAP. Planned entry at zone low 40.16; executable entry 40.33, stop below fib 78.6% at 39.55. Structural confluence: swing low at 38.67 aligns with HVN (38.73).</t>
        </is>
      </c>
      <c r="M649" t="inlineStr">
        <is>
          <t>WATCH</t>
        </is>
      </c>
      <c r="N649" t="inlineStr">
        <is>
          <t>WATCH: Technical setup detected, but weighted risk/reward 1.99 is below minimum 2.00. Market regime NEUTRAL; sector NEUTRAL; net R/R 1.52.</t>
        </is>
      </c>
      <c r="O649" t="inlineStr">
        <is>
          <t>HAL
Fib 61.8 Confluence Buy Zone
0.50
score
Price
40.33
R/R
1.99x
Grade
C
Quality
58%
Buy Zone
40.16 - 40.80
Stop
39.55
Targets
41.04 / 43.41
Watch only; needs confirmation
Mixed
Relative Strength
Lagging
38%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40.33, stop below fib 78.6% at 39.55. Structural confluence: swing low at 38.67 aligns with HVN (38.73).
Fib 61.8
40.48
Fib Zone
40.16 - 40.80
Swing Low
38.67
Swing High
43.41
Save setup
Click chart to open full size</t>
        </is>
      </c>
      <c r="P649" t="inlineStr">
        <is>
          <t>agent_results/charts/market_lens_agent_20260610_161630_hal.png</t>
        </is>
      </c>
      <c r="Q649" t="inlineStr">
        <is>
          <t>Smart Universe: broad liquid US universe, diversified by sector | Sector: Energy - Neutral (67/100); XLE sector regime is neutral: 2.8% 3m return, -7.1% vs SPY | Setup: Fib 61.8 Confluence Buy Zone; score 0.50; R/R 1.99x; price 40.33 | Market: NEUTRAL; Sector regime: NEUTRAL; Net R/R: 1.52; Factors: Energy | Agent action: WATCH - WATCH: Technical setup detected, but weighted risk/reward 1.99 is below minimum 2.00. Market regime NEUTRAL; sector NEUTRAL; net R/R 1.52.</t>
        </is>
      </c>
      <c r="R649" t="inlineStr">
        <is>
          <t>{"adjusted_cash_out": 0.0, "adjusted_position_size": 0, "adjusted_risk_amount": 0.0, "ask": 0.0, "bid": 0.0, "buy_zone_high": 40.8, "buy_zone_low": 40.16, "cash_available": 96663.13, "company_name": "Halliburton Company", "correlation_warning": false, "days_to_earnings": 29, "earnings_blackout": false, "earnings_date": "2026-07-21T00:00:00", "estimated_fees": 0.0, "estimated_slippage": 0.121, "estimated_spread": 0.0323, "executable_entry": 40.33, "execution_liquidity_bucket": "mid_liquid", "factor_exposure_after": {"Energy": 3035.24}, "factor_exposure_before": {"Energy": 3035.24}, "factor_exposure_cap": 7000.0, "factor_exposure_limit_exceeded": false, "factor_tags": ["Energy"], "final_action": "WATCH", "gross_reward_1_per_share": 0.71, "gross_reward_2_per_share": 3.08, "gross_risk_per_share": 0.78, "gross_rr": 1.9737, "gross_rr_1": 0.9103, "gross_rr_2": 3.9487, "gross_rr_decision": 1.9737, "highest_correlation_ticker": "OXY", "highest_correlation_value": 0.5429, "initial_action": "WATCH", "market_cap": 33658175507.98,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2.5, "net_entry": 40.4066, "net_reward_1_per_share": 0.587, "net_reward_2_per_share": 2.957, "net_risk_per_share": 0.9333, "net_rr": 1.5178, "net_rr_1": 0.629, "net_rr_2": 3.1685, "net_stop_assumption": 39.4734, "net_target_1_assumption": 40.9936, "net_target_2_assumption": 43.3636, "normalized_atr_score": 100.0, "normalized_liquidity_score": 43.89, "normalized_momentum_score": 96.88, "normalized_quality_score": 81.76, "original_cash_out": 0.0, "original_position_size": 0, "original_risk_amount": 0.0, "portfolio_exposure_after": 3033.68, "portfolio_exposure_before": 3033.68, "position_size": 0, "position_size_adjusted": false, "position_sizing_explanation": "No new position size was calculated because the base decision did not open a simulated buy.", "previous_resistance": 43.4053, "price": 40.33, "prior_high_20": 43.4053, "prior_high_63": 43.4053, "reason": "WATCH: Technical setup detected, but weighted risk/reward 1.99 is below minimum 2.00. Market regime NEUTRAL; sector NEUTRAL; net R/R 1.52.",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67.23, "setup_score": 0.5, "setup_type": "Fib 61.8 Confluence Buy Zone", "sizing_adjustment_reason": "", "spread_source": "liquidity_fallback", "stock_score": 0.5, "stop_loss": 39.55, "target_1": 41.04, "target_1_atr_distance": 0.5564, "target_2": 43.41, "target_2_atr_distance": 2.4138, "target_feasibility_status": "LOW_REWARD_DISTANCE", "theoretical_entry": 40.16, "ticker": "HAL", "timestamp": "2026-06-10T16:20:17", "warnings": ["Target 1 is close versus daily ATR."]}</t>
        </is>
      </c>
    </row>
    <row r="650">
      <c r="A650" t="inlineStr">
        <is>
          <t>2026-06-10T16:20:17</t>
        </is>
      </c>
      <c r="B650" t="inlineStr">
        <is>
          <t>SCHW</t>
        </is>
      </c>
      <c r="C650" t="inlineStr">
        <is>
          <t>Fib 61.8 Confluence Buy Zone</t>
        </is>
      </c>
      <c r="D650" t="n">
        <v>0.47</v>
      </c>
      <c r="E650" t="n">
        <v>89.56</v>
      </c>
      <c r="F650" t="n">
        <v>89.3</v>
      </c>
      <c r="G650" t="n">
        <v>90.37</v>
      </c>
      <c r="H650" t="n">
        <v>88.64</v>
      </c>
      <c r="I650" t="n">
        <v>90.52</v>
      </c>
      <c r="J650" t="n">
        <v>95.12</v>
      </c>
      <c r="K650" t="n">
        <v>2.8</v>
      </c>
      <c r="L650" t="inlineStr">
        <is>
          <t>Price at 61.8% fib retracement (89.83) with confluence at VWAP. Planned entry at zone low 89.30; executable entry 89.56, stop below fib 78.6% at 88.64.</t>
        </is>
      </c>
      <c r="M650" t="inlineStr">
        <is>
          <t>BUY_SIMULATED</t>
        </is>
      </c>
      <c r="N650" t="inlineStr">
        <is>
          <t>BUY_SIMULATED: NEUTRAL market regime, STRONG sector, valid setup, net R/R 2.28, no earnings blackout, correlation acceptable, and risk limits allow entry. Position size reduced to 66 shares to fit exposure caps.</t>
        </is>
      </c>
      <c r="O650" t="inlineStr">
        <is>
          <t>SCHW
Fib 61.8 Confluence Buy Zone
0.47
score
Price
89.56
R/R
2.80x
Grade
C
Quality
57%
Buy Zone
89.30 - 90.37
Stop
88.64
Targets
90.52 / 95.12
Watch only; needs confirmation
Mixed
Relative Strength
In line
52%
Trend Quality
Messy
18%
Liquidity
Institutional liquidity
100%
Volume
Neutral
65%
Trigger
Break above prior-day high at 89.56 after holding buy zone.
Invalidation
Exit if price closes below 88.64 or setup support fails.
Trend quality is not clean.
Market regime: Mixed.
Relative strength: In line.
Price at 61.8% fib retracement (89.83) with confluence at VWAP. Planned entry at zone low 89.30; executable entry 89.56, stop below fib 78.6% at 88.64.
Fib 61.8
89.83
Fib Zone
89.30 - 90.37
Swing Low
87.61
Swing High
93.43
Save setup
Click chart to open full size</t>
        </is>
      </c>
      <c r="P650" t="inlineStr">
        <is>
          <t>agent_results/charts/market_lens_agent_20260610_161630_schw.png</t>
        </is>
      </c>
      <c r="Q650" t="inlineStr">
        <is>
          <t>Smart Universe: broad liquid US universe, diversified by sector | Sector: Financials - Strong (73/100); XLF sector regime is strong: 8.1% 3m return, -1.9% vs SPY | Setup: Fib 61.8 Confluence Buy Zone; score 0.47; R/R 2.80x; price 89.56 | Market: NEUTRAL; Sector regime: STRONG; Net R/R: 2.28; Factors: Financials | Agent action: BUY_SIMULATED - BUY_SIMULATED: NEUTRAL market regime, STRONG sector, valid setup, net R/R 2.28, no earnings blackout, correlation acceptable, and risk limits allow entry. Position size reduced to 66 shares to fit exposure caps.</t>
        </is>
      </c>
      <c r="R650" t="inlineStr">
        <is>
          <t>{"adjusted_cash_out": 5910.96, "adjusted_position_size": 66, "adjusted_risk_amount": 60.72, "ask": 0.0, "bid": 0.0, "buy_zone_high": 90.37, "buy_zone_low": 89.3, "cash_available": 96663.13, "company_name": "Charles Schwab Corporation", "correlation_warning": false, "days_to_earnings": 26, "earnings_blackout": false, "earnings_date": "2026-07-16T00:00:00", "estimated_fees": 0.0, "estimated_slippage": 0.1254, "estimated_spread": 0.0269, "executable_entry": 89.56, "execution_liquidity_bucket": "large_liquid", "factor_exposure_after": {"Energy": 3035.24, "Financials": 5910.96}, "factor_exposure_before": {"Energy": 3035.24}, "factor_exposure_cap": 7000.0, "factor_exposure_limit_exceeded": false, "factor_tags": ["Financials"], "final_action": "BUY_SIMULATED", "gross_reward_1_per_share": 0.96, "gross_reward_2_per_share": 5.56, "gross_risk_per_share": 0.92, "gross_rr": 2.7935, "gross_rr_1": 1.0435, "gross_rr_2": 6.0435, "gross_rr_decision": 2.7935, "highest_correlation_ticker": "OXY", "highest_correlation_value": -0.0731, "initial_action": "BUY_SIMULATED", "market_cap": 155583060863.99,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2.2, "net_entry": 89.6361, "net_reward_1_per_share": 0.8391, "net_reward_2_per_share": 5.4391, "net_risk_per_share": 1.0723, "net_rr": 2.2841, "net_rr_1": 0.7826, "net_rr_2": 5.0726, "net_stop_assumption": 88.5639, "net_target_1_assumption": 90.4752, "net_target_2_assumption": 95.0752, "normalized_atr_score": 100.0, "normalized_liquidity_score": 66.87, "normalized_momentum_score": 43.61, "normalized_quality_score": 64.69, "original_cash_out": 9941.16, "original_position_size": 111, "original_risk_amount": 102.12, "portfolio_exposure_after": 8944.64, "portfolio_exposure_before": 3033.68, "position_size": 66, "position_size_adjusted": true, "position_sizing_explanation": "Position size reduced from 111 to 66 shares. Accepted cash out 5910.96, risk 60.72. Reason: Position size reduced by Financials sector exposure cap (111 -&gt; 66 shares).", "previous_resistance": 93.43, "price": 89.56, "prior_high_20": 93.43, "prior_high_63": 100.3997, "reason": "BUY_SIMULATED: NEUTRAL market regime, STRONG sector, valid setup, net R/R 2.28, no earnings blackout, correlation acceptable, and risk limits allow entry. Position size reduced to 66 shares to fit exposure caps.", "risk_amount": 60.72, "scan_source": "Smart Universe: broad liquid US universe filtered and diversified by the Market Lens UI.", "sector": "Financials", "sector_etf": "XLF", "sector_exposure_after": 5910.96, "sector_exposure_before": 0.0, "sector_exposure_cap": 6000.0, "sector_exposure_limit_exceeded": false, "sector_regime": "STRONG", "sector_score": 72.87, "setup_score": 0.47, "setup_type": "Fib 61.8 Confluence Buy Zone", "sizing_adjustment_reason": "Position size reduced by Financials sector exposure cap (111 -&gt; 66 shares).", "spread_source": "liquidity_fallback", "stock_score": 0.47, "stop_loss": 88.64, "target_1": 90.52, "target_1_atr_distance": 0.4489, "target_2": 95.12, "target_2_atr_distance": 2.6, "target_feasibility_status": "LOW_REWARD_DISTANCE", "theoretical_entry": 89.3, "ticker": "SCHW", "timestamp": "2026-06-10T16:20:17", "warnings": ["Target 1 is close versus daily ATR.", "Position size reduced by Financials sector exposure cap (111 -&gt; 66 shares)."]}</t>
        </is>
      </c>
    </row>
    <row r="651">
      <c r="A651" t="inlineStr">
        <is>
          <t>2026-06-10T16:20:17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agent_results/charts/market_lens_agent_20260610_161630_nly.png</t>
        </is>
      </c>
      <c r="Q651" t="inlineStr">
        <is>
          <t>Smart Universe: broad liquid US universe, diversified by sector | Sector: Real Estate - Strong (72/100); XLRE sector regime is strong: 7.9%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90752.17,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3035.24, "Financials": 5910.96}, "factor_exposure_before": {"Energy": 3035.24, "Financials": 5910.96},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0.1699, "initial_action": "WATCH", "market_cap": 15868269742.15,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22.99, "normalized_momentum_score": 50.93, "normalized_quality_score": 54.82, "original_cash_out": 0.0, "original_position_size": 0, "original_risk_amount": 0.0, "portfolio_exposure_after": 8944.64, "portfolio_exposure_before": 8944.64,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"2026-06-10T16:20:17", "warnings": ["Target 1 is close versus daily ATR."]}</t>
        </is>
      </c>
    </row>
    <row r="652">
      <c r="A652" t="inlineStr">
        <is>
          <t>2026-06-10T16:20:17</t>
        </is>
      </c>
      <c r="B652" t="inlineStr">
        <is>
          <t>BKR</t>
        </is>
      </c>
      <c r="C652" t="inlineStr">
        <is>
          <t>Breakout + Retest</t>
        </is>
      </c>
      <c r="D652" t="n">
        <v>0.38</v>
      </c>
      <c r="E652" t="n">
        <v>63.57</v>
      </c>
      <c r="F652" t="n">
        <v>62.6</v>
      </c>
      <c r="G652" t="n">
        <v>64.7</v>
      </c>
      <c r="H652" t="n">
        <v>61.54</v>
      </c>
      <c r="I652" t="n">
        <v>65.23</v>
      </c>
      <c r="J652" t="n">
        <v>69.16</v>
      </c>
      <c r="K652" t="n">
        <v>1.5</v>
      </c>
      <c r="L652" t="inlineStr">
        <is>
          <t>Price (63.57) retesting broken resistance (64.70) as support. Breakout on 2026-04-24 with 1.9× avg volume. Volume confirmed breakout. Entry at 63.57, stop at 61.54.</t>
        </is>
      </c>
      <c r="M652" t="inlineStr">
        <is>
          <t>WATCH</t>
        </is>
      </c>
      <c r="N652" t="inlineStr">
        <is>
          <t>WATCH: Technical setup detected, but weighted risk/reward 1.50 is below minimum 2.00. Market regime NEUTRAL; sector NEUTRAL; net R/R 1.14.</t>
        </is>
      </c>
      <c r="O652" t="inlineStr">
        <is>
          <t>BKR
Breakout + Retest
0.38
score
Price
63.57
R/R
1.50x
Grade
C
Quality
62%
Buy Zone
62.60 - 64.70
Stop
61.54
Targets
65.23 / 69.16
Watch only; needs confirmation
Mixed
Relative Strength
Leadership
83%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(63.57) retesting broken resistance (64.70) as support. Breakout on 2026-04-24 with 1.9× avg volume. Volume confirmed breakout. Entry at 63.57, stop at 61.54.
Fib 61.8
64.55
Fib Zone
64.02 - 65.07
Swing Low
62.46
Swing High
67.92
Save setup
Click chart to open full size</t>
        </is>
      </c>
      <c r="P652" t="inlineStr">
        <is>
          <t>agent_results/charts/market_lens_agent_20260610_161630_bkr.png</t>
        </is>
      </c>
      <c r="Q652" t="inlineStr">
        <is>
          <t>Smart Universe: broad liquid US universe, diversified by sector | Sector: Energy - Neutral (67/100); XLE sector regime is neutral: 2.8% 3m return, -7.1% vs SPY | Setup: Breakout + Retest; score 0.38; R/R 1.50x; price 63.57 | Market: NEUTRAL; Sector regime: NEUTRAL; Net R/R: 1.14; Factors: Energy | Agent action: WATCH - WATCH: Technical setup detected, but weighted risk/reward 1.50 is below minimum 2.00. Market regime NEUTRAL; sector NEUTRAL; net R/R 1.14.</t>
        </is>
      </c>
      <c r="R652" t="inlineStr">
        <is>
          <t>{"adjusted_cash_out": 0.0, "adjusted_position_size": 0, "adjusted_risk_amount": 0.0, "ask": 0.0, "bid": 0.0, "buy_zone_high": 64.7, "buy_zone_low": 62.6, "cash_available": 90752.17, "company_name": "Baker Hughes Company", "correlation_warning": false, "days_to_earnings": 29, "earnings_blackout": false, "earnings_date": "2026-07-21T00:00:00", "estimated_fees": 0.0, "estimated_slippage": 0.3179, "estimated_spread": 0.0509, "executable_entry": 63.57, "execution_liquidity_bucket": "mid_liquid", "factor_exposure_after": {"Energy": 3035.24, "Financials": 5910.96}, "factor_exposure_before": {"Energy": 3035.24, "Financials": 5910.96}, "factor_exposure_cap": 7000.0, "factor_exposure_limit_exceeded": false, "factor_tags": ["Energy"], "final_action": "WATCH", "gross_reward_1_per_share": 1.66, "gross_reward_2_per_share": 5.59, "gross_risk_per_share": 2.03, "gross_rr": 1.4953, "gross_rr_1": 0.8177, "gross_rr_2": 2.7537, "gross_rr_decision": 1.4953, "highest_correlation_ticker": "OXY", "highest_correlation_value": 0.1773, "initial_action": "WATCH", "market_cap": 63060845362.41,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2.5, "net_entry": 63.7544, "net_reward_1_per_share": 1.3708, "net_reward_2_per_share": 5.3008, "net_risk_per_share": 2.3987, "net_rr": 1.1449, "net_rr_1": 0.5715, "net_rr_2": 2.2098, "net_stop_assumption": 61.3556, "net_target_1_assumption": 65.1251, "net_target_2_assumption": 69.0551, "normalized_atr_score": 100.0, "normalized_liquidity_score": 46.44, "normalized_momentum_score": 90.99, "normalized_quality_score": 79.88, "original_cash_out": 0.0, "original_position_size": 0, "original_risk_amount": 0.0, "portfolio_exposure_after": 8944.64, "portfolio_exposure_before": 8944.64, "position_size": 0, "position_size_adjusted": false, "position_sizing_explanation": "No new position size was calculated because the base decision did not open a simulated buy.", "previous_resistance": 67.92, "price": 63.57, "prior_high_20": 67.92, "prior_high_63": 70.1753, "reason": "WATCH: Technical setup detected, but weighted risk/reward 1.50 is below minimum 2.00. Market regime NEUTRAL; sector NEUTRAL; net R/R 1.14.",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67.23, "setup_score": 0.38, "setup_type": "Breakout + Retest", "sizing_adjustment_reason": "", "spread_source": "liquidity_fallback", "stock_score": 0.38, "stop_loss": 61.54, "target_1": 65.23, "target_1_atr_distance": 0.7881, "target_2": 69.16, "target_2_atr_distance": 2.6541, "target_feasibility_status": "OK", "theoretical_entry": 62.6, "ticker": "BKR", "timestamp": "2026-06-10T16:20:17", "warnings": []}</t>
        </is>
      </c>
    </row>
    <row r="653">
      <c r="A653" t="inlineStr">
        <is>
          <t>2026-06-10T16:20:17</t>
        </is>
      </c>
      <c r="B653" t="inlineStr">
        <is>
          <t>TMO</t>
        </is>
      </c>
      <c r="C653" t="inlineStr">
        <is>
          <t>Fib 61.8 Confluence Buy Zone</t>
        </is>
      </c>
      <c r="D653" t="n">
        <v>0.34</v>
      </c>
      <c r="E653" t="n">
        <v>487.22</v>
      </c>
      <c r="F653" t="n">
        <v>485.21</v>
      </c>
      <c r="G653" t="n">
        <v>492.65</v>
      </c>
      <c r="H653" t="n">
        <v>473.99</v>
      </c>
      <c r="I653" t="n">
        <v>489.23</v>
      </c>
      <c r="J653" t="n">
        <v>538.41</v>
      </c>
      <c r="K653" t="n">
        <v>1.45</v>
      </c>
      <c r="L653" t="inlineStr">
        <is>
          <t>Price at 61.8% fib retracement (488.93) with confluence at VWAP. Planned entry at zone low 485.21; executable entry 487.22, stop below fib 78.6% at 473.99.</t>
        </is>
      </c>
      <c r="M653" t="inlineStr">
        <is>
          <t>WATCH</t>
        </is>
      </c>
      <c r="N653" t="inlineStr">
        <is>
          <t>WATCH: Technical setup detected, but weighted risk/reward 1.45 is below minimum 2.00. Market regime NEUTRAL; sector STRONG; net R/R 1.32.</t>
        </is>
      </c>
      <c r="O653" t="inlineStr">
        <is>
          <t>TMO
Fib 61.8 Confluence Buy Zone
0.34
score
Price
487.22
R/R
1.45x
Grade
B
Quality
75%
Buy Zone
485.21 - 492.65
Stop
473.99
Targets
489.23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487.22, stop below fib 78.6% at 473.99.
Fib 61.8
488.93
Fib Zone
485.21 - 492.65
Swing Low
458.34
Swing High
538.41
Save setup
Click chart to open full size</t>
        </is>
      </c>
      <c r="P653" t="inlineStr">
        <is>
          <t>agent_results/charts/market_lens_agent_20260610_161630_tmo.png</t>
        </is>
      </c>
      <c r="Q653" t="inlineStr">
        <is>
          <t>Smart Universe: broad liquid US universe, diversified by sector | Sector: Healthcare - Strong (68/100); XLV sector regime is strong: 2.8% 3m return, -7.1% vs SPY | Setup: Fib 61.8 Confluence Buy Zone; score 0.34; R/R 1.45x; price 487.22 | Market: NEUTRAL; Sector regime: STRONG; Net R/R: 1.32; Factors: Defensive, Healthcare | Agent action: WATCH - WATCH: Technical setup detected, but weighted risk/reward 1.45 is below minimum 2.00. Market regime NEUTRAL; sector STRONG; net R/R 1.32.</t>
        </is>
      </c>
      <c r="R653" t="inlineStr">
        <is>
          <t>{"adjusted_cash_out": 0.0, "adjusted_position_size": 0, "adjusted_risk_amount": 0.0, "ask": 0.0, "bid": 0.0, "buy_zone_high": 492.65, "buy_zone_low": 485.21, "cash_available": 90752.17, "company_name": "Thermo Fisher Scientific Inc.", "correlation_warning": false, "days_to_earnings": 30, "earnings_blackout": false, "earnings_date": "2026-07-22T00:00:00", "estimated_fees": 0.0, "estimated_slippage": 0.6821, "estimated_spread": 0.1462, "executable_entry": 487.22, "execution_liquidity_bucket": "large_liquid", "factor_exposure_after": {"Energy": 3035.24, "Financials": 5910.96}, "factor_exposure_before": {"Energy": 3035.24, "Financials": 5910.96}, "factor_exposure_cap": 7000.0, "factor_exposure_limit_exceeded": false, "factor_tags": ["Defensive", "Healthcare"], "final_action": "WATCH", "gross_reward_1_per_share": 2.01, "gross_reward_2_per_share": 51.19, "gross_risk_per_share": 13.23, "gross_rr": 1.453, "gross_rr_1": 0.1519, "gross_rr_2": 3.8692, "gross_rr_decision": 1.453, "highest_correlation_ticker": "SCHW", "highest_correlation_value": 0.3676, "initial_action": "WATCH", "market_cap": 180935060693.76,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2.2, "net_entry": 487.6341, "net_reward_1_per_share": 1.3523, "net_reward_2_per_share": 50.5323, "net_risk_per_share": 14.0583, "net_rr": 1.3206, "net_rr_1": 0.0962, "net_rr_2": 3.5945, "net_stop_assumption": 473.5759, "net_target_1_assumption": 488.9864, "net_target_2_assumption": 538.1664, "normalized_atr_score": 100.0, "normalized_liquidity_score": 69.87, "normalized_momentum_score": 67.32, "normalized_quality_score": 76.25, "original_cash_out": 0.0, "original_position_size": 0, "original_risk_amount": 0.0, "portfolio_exposure_after": 8944.64, "portfolio_exposure_before": 8944.64, "position_size": 0, "position_size_adjusted": false, "position_sizing_explanation": "No new position size was calculated because the base decision did not open a simulated buy.", "previous_resistance": 499.0, "price": 487.22, "prior_high_20": 499.0, "prior_high_63": 538.41, "reason": "WATCH: Technical setup detected, but weighted risk/reward 1.45 is below minimum 2.00. Market regime NEUTRAL; sector STRONG; net R/R 1.32.",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0.34, "setup_type": "Fib 61.8 Confluence Buy Zone", "sizing_adjustment_reason": "", "spread_source": "liquidity_fallback", "stock_score": 0.34, "stop_loss": 473.99, "target_1": 489.23, "target_1_atr_distance": 0.1351, "target_2": 538.41, "target_2_atr_distance": 3.4412, "target_feasibility_status": "LOW_REWARD_DISTANCE", "theoretical_entry": 485.21, "ticker": "TMO", "timestamp": "2026-06-10T16:20:17", "warnings": ["Target 1 is close versus daily ATR."]}</t>
        </is>
      </c>
    </row>
    <row r="654">
      <c r="A654" t="inlineStr">
        <is>
          <t>2026-06-10T16:20:17</t>
        </is>
      </c>
      <c r="B654" t="inlineStr">
        <is>
          <t>LNG</t>
        </is>
      </c>
      <c r="C654" t="inlineStr">
        <is>
          <t>Swing Low + Volume Support Buy Zone</t>
        </is>
      </c>
      <c r="D654" t="n">
        <v>0.34</v>
      </c>
      <c r="E654" t="n">
        <v>245.33</v>
      </c>
      <c r="F654" t="n">
        <v>233.29</v>
      </c>
      <c r="G654" t="n">
        <v>239.06</v>
      </c>
      <c r="H654" t="n">
        <v>224.65</v>
      </c>
      <c r="I654" t="n">
        <v>256.14</v>
      </c>
      <c r="J654" t="n">
        <v>296.84</v>
      </c>
      <c r="K654" t="n">
        <v>1.21</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1.21 is below minimum 2.00. Market regime NEUTRAL; sector NEUTRAL; net R/R 1.12.</t>
        </is>
      </c>
      <c r="O654" t="inlineStr">
        <is>
          <t>LNG
Swing Low + Volume Support Buy Zone
0.34
score
Price
245.33
R/R
1.21x
Grade
C
Quality
63%
Buy Zone
233.29 - 239.06
Stop
224.65
Targets
256.14 / 296.84
Watch only; needs confirmation
Mixed
Relative Strength
Leadership
100%
Trend Quality
Messy
18%
Liquidity
Institutional liquidity
100%
Volume
Neutral
65%
Trigger
Break above prior-day high at 245.33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agent_results/charts/market_lens_agent_20260610_161630_lng.png</t>
        </is>
      </c>
      <c r="Q654" t="inlineStr">
        <is>
          <t>Smart Universe: broad liquid US universe, diversified by sector | Sector: Energy - Neutral (67/100); XLE sector regime is neutral: 2.8% 3m return, -7.1% vs SPY | Setup: Swing Low + Volume Support Buy Zone; score 0.34; R/R 1.21x; price 245.33 | Market: NEUTRAL; Sector regime: NEUTRAL; Net R/R: 1.12; Factors: Energy | Agent action: WATCH - WATCH: Technical setup detected, but weighted risk/reward 1.21 is below minimum 2.00. Market regime NEUTRAL; sector NEUTRAL; net R/R 1.12.</t>
        </is>
      </c>
      <c r="R654" t="inlineStr">
        <is>
          <t>{"adjusted_cash_out": 0.0, "adjusted_position_size": 0, "adjusted_risk_amount": 0.0, "ask": 0.0, "bid": 0.0, "buy_zone_high": 239.06, "buy_zone_low": 233.29, "cash_available": 90752.17, "company_name": "Cheniere Energy, Inc.", "correlation_warning": false, "days_to_earnings": 41, "earnings_blackout": false, "earnings_date": "2026-08-06T00:00:00", "estimated_fees": 0.0, "estimated_slippage": 0.736, "estimated_spread": 0.1963, "executable_entry": 245.33, "execution_liquidity_bucket": "mid_liquid", "factor_exposure_after": {"Energy": 3035.24, "Financials": 5910.96}, "factor_exposure_before": {"Energy": 3035.24, "Financials": 5910.96}, "factor_exposure_cap": 7000.0, "factor_exposure_limit_exceeded": false, "factor_tags": ["Energy"], "final_action": "WATCH", "gross_reward_1_per_share": 10.81, "gross_reward_2_per_share": 51.51, "gross_risk_per_share": 20.68, "gross_rr": 1.2116, "gross_rr_1": 0.5227, "gross_rr_2": 2.4908, "gross_rr_decision": 1.2116, "highest_correlation_ticker": "OXY", "highest_correlation_value": 0.5773, "initial_action": "WATCH", "market_cap": 51349637110.36,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2.5, "net_entry": 245.7961, "net_reward_1_per_share": 10.0617, "net_reward_2_per_share": 50.7617, "net_risk_per_share": 21.6123, "net_rr": 1.1247, "net_rr_1": 0.4656, "net_rr_2": 2.3487, "net_stop_assumption": 224.1839, "net_target_1_assumption": 255.8579, "net_target_2_assumption": 296.5579, "normalized_atr_score": 100.0, "normalized_liquidity_score": 47.34, "normalized_momentum_score": 40.11, "normalized_quality_score": 57.25, "original_cash_out": 0.0, "original_position_size": 0, "original_risk_amount": 0.0, "portfolio_exposure_after": 8944.64, "portfolio_exposure_before": 8944.64, "position_size": 0, "position_size_adjusted": false, "position_sizing_explanation": "No new position size was calculated because the base decision did not open a simulated buy.", "previous_resistance": 251.73, "price": 245.33, "prior_high_20": 251.73, "prior_high_63": 300.1945, "reason": "WATCH: Technical setup detected, but weighted risk/reward 1.21 is below minimum 2.00. Market regime NEUTRAL; sector NEUTRAL; net R/R 1.12.",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67.23, "setup_score": 0.34, "setup_type": "Swing Low + Volume Support Buy Zone", "sizing_adjustment_reason": "", "spread_source": "liquidity_fallback", "stock_score": 0.34, "stop_loss": 224.65, "target_1": 256.14, "target_1_atr_distance": 1.5002, "target_2": 296.84, "target_2_atr_distance": 7.1483, "target_feasibility_status": "OK", "theoretical_entry": 233.29, "ticker": "LNG", "timestamp": "2026-06-10T16:20:17", "warnings": []}</t>
        </is>
      </c>
    </row>
    <row r="655">
      <c r="A655" t="inlineStr">
        <is>
          <t>2026-06-10T16:20:17</t>
        </is>
      </c>
      <c r="B655" t="inlineStr">
        <is>
          <t>NOW</t>
        </is>
      </c>
      <c r="C655" t="inlineStr">
        <is>
          <t>Breakout + Retest</t>
        </is>
      </c>
      <c r="D655" t="n">
        <v>0.33</v>
      </c>
      <c r="E655" t="n">
        <v>108.74</v>
      </c>
      <c r="F655" t="n">
        <v>103.23</v>
      </c>
      <c r="G655" t="n">
        <v>110.83</v>
      </c>
      <c r="H655" t="n">
        <v>99.42</v>
      </c>
      <c r="I655" t="n">
        <v>115.36</v>
      </c>
      <c r="J655" t="n">
        <v>133.24</v>
      </c>
      <c r="K655" t="n">
        <v>1.38</v>
      </c>
      <c r="L655" t="inlineStr">
        <is>
          <t>Price (108.74) retesting broken resistance (110.83) as support. Breakout on 2026-05-29 with 2.4× avg volume. Volume confirmed breakout. Entry at 108.74, stop at 99.43.</t>
        </is>
      </c>
      <c r="M655" t="inlineStr">
        <is>
          <t>WATCH</t>
        </is>
      </c>
      <c r="N655" t="inlineStr">
        <is>
          <t>WATCH: Technical setup detected, but weighted risk/reward 1.38 is below minimum 2.00. Market regime NEUTRAL; sector STRONG; net R/R 1.28.</t>
        </is>
      </c>
      <c r="O655" t="inlineStr">
        <is>
          <t>NOW
Breakout + Retest
0.33
score
Price
108.74
R/R
1.38x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(108.74) retesting broken resistance (110.83) as support. Breakout on 2026-05-29 with 2.4× avg volume. Volume confirmed breakout. Entry at 108.74, stop at 99.43.
Fib 61.8
95.14
Fib Zone
93.24 - 97.04
Swing Low
85.44
Swing High
110.83
Save setup
Click chart to open full size</t>
        </is>
      </c>
      <c r="P655" t="inlineStr">
        <is>
          <t>agent_results/charts/market_lens_agent_20260610_161630_now.png</t>
        </is>
      </c>
      <c r="Q655" t="inlineStr">
        <is>
          <t>Smart Universe: broad liquid US universe, diversified by sector | Sector: Technology - Strong (75/100); XLK sector regime is strong: 29.3% 3m return, 19.3% vs SPY | Setup: Breakout + Retest; score 0.33; R/R 1.38x; price 108.74 | Market: NEUTRAL; Sector regime: STRONG; Net R/R: 1.28; Factors: High Beta Growth, Technology | Agent action: WATCH - WATCH: Technical setup detected, but weighted risk/reward 1.38 is below minimum 2.00. Market regime NEUTRAL; sector STRONG; net R/R 1.28.</t>
        </is>
      </c>
      <c r="R655" t="inlineStr">
        <is>
          <t>{"adjusted_cash_out": 0.0, "adjusted_position_size": 0, "adjusted_risk_amount": 0.0, "ask": 0.0, "bid": 0.0, "buy_zone_high": 110.83, "buy_zone_low": 103.23, "cash_available": 90752.17, "company_name": "ServiceNow, Inc.", "correlation_warning": false, "days_to_earnings": 30, "earnings_blackout": false, "earnings_date": "2026-07-22T00:00:00", "estimated_fees": 0.0, "estimated_slippage": 0.4252, "estimated_spread": 0.0326, "executable_entry": 108.74, "execution_liquidity_bucket": "large_liquid", "factor_exposure_after": {"Energy": 3035.24, "Financials": 5910.96}, "factor_exposure_before": {"Energy": 3035.24, "Financials": 5910.96}, "factor_exposure_cap": 7000.0, "factor_exposure_limit_exceeded": false, "factor_tags": ["High Beta Growth", "Technology"], "final_action": "WATCH", "gross_reward_1_per_share": 6.62, "gross_reward_2_per_share": 24.5, "gross_risk_per_share": 9.32, "gross_rr": 1.3818, "gross_rr_1": 0.7103, "gross_rr_2": 2.6288, "gross_rr_decision": 1.3818, "highest_correlation_ticker": "SCHW", "highest_correlation_value": 0.226, "initial_action": "WATCH", "market_cap": 112257874226.35,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2.2, "net_entry": 108.9689, "net_reward_1_per_share": 6.2685, "net_reward_2_per_share": 24.1485, "net_risk_per_share": 9.7778, "net_rr": 1.2811, "net_rr_1": 0.6411, "net_rr_2": 2.4697, "net_stop_assumption": 99.1911, "net_target_1_assumption": 115.2374, "net_target_2_assumption": 133.1174, "normalized_atr_score": 86.5, "normalized_liquidity_score": 100, "normalized_momentum_score": 74.02, "normalized_quality_score": 84.93, "original_cash_out": 0.0, "original_position_size": 0, "original_risk_amount": 0.0, "portfolio_exposure_after": 8944.64, "portfolio_exposure_before": 8944.64, "position_size": 0, "position_size_adjusted": false, "position_sizing_explanation": "No new position size was calculated because the base decision did not open a simulated buy.", "previous_resistance": 139.2, "price": 108.74, "prior_high_20": 139.2, "prior_high_63": 139.2, "reason": "WATCH: Technical setup detected, but weighted risk/reward 1.38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74.67, "setup_score": 0.33, "setup_type": "Breakout + Retest", "sizing_adjustment_reason": "", "spread_source": "liquidity_fallback", "stock_score": 0.33, "stop_loss": 99.42, "target_1": 115.36, "target_1_atr_distance": 0.8707, "target_2": 133.24, "target_2_atr_distance": 3.2223, "target_feasibility_status": "OK", "theoretical_entry": 103.23, "ticker": "NOW", "timestamp": "2026-06-10T16:20:17", "warnings": []}</t>
        </is>
      </c>
    </row>
    <row r="656">
      <c r="A656" t="inlineStr">
        <is>
          <t>2026-06-10T16:20:17</t>
        </is>
      </c>
      <c r="B656" t="inlineStr">
        <is>
          <t>ABT</t>
        </is>
      </c>
      <c r="C656" t="inlineStr">
        <is>
          <t>Breakout + Retest</t>
        </is>
      </c>
      <c r="D656" t="n">
        <v>0.3</v>
      </c>
      <c r="E656" t="n">
        <v>89.79000000000001</v>
      </c>
      <c r="F656" t="n">
        <v>87.31</v>
      </c>
      <c r="G656" t="n">
        <v>89.34</v>
      </c>
      <c r="H656" t="n">
        <v>86.29000000000001</v>
      </c>
      <c r="I656" t="n">
        <v>91.34</v>
      </c>
      <c r="J656" t="n">
        <v>105.16</v>
      </c>
      <c r="K656" t="n">
        <v>1.83</v>
      </c>
      <c r="L656" t="inlineStr">
        <is>
          <t>Price (89.79) retesting broken resistance (89.34) as support. Breakout on 2026-06-04 with 1.2× avg volume. Entry at 89.79, stop at 86.29.</t>
        </is>
      </c>
      <c r="M656" t="inlineStr">
        <is>
          <t>WATCH</t>
        </is>
      </c>
      <c r="N656" t="inlineStr">
        <is>
          <t>WATCH: Technical setup detected, but weighted risk/reward 1.83 is below minimum 2.00. Market regime NEUTRAL; sector STRONG; net R/R 1.60.</t>
        </is>
      </c>
      <c r="O656" t="inlineStr">
        <is>
          <t>ABT
Breakout + Retest
0.30
score
Price
89.79
R/R
1.83x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(89.79) retesting broken resistance (89.34) as support. Breakout on 2026-06-04 with 1.2× avg volume. Entry at 89.79, stop at 86.29.
Fib 61.8
84.79
Fib Zone
84.28 - 85.29
Swing Low
81.97
Swing High
89.34
Save setup
Click chart to open full size</t>
        </is>
      </c>
      <c r="P656" t="inlineStr">
        <is>
          <t>agent_results/charts/market_lens_agent_20260610_161630_abt.png</t>
        </is>
      </c>
      <c r="Q656" t="inlineStr">
        <is>
          <t>Smart Universe: broad liquid US universe, diversified by sector | Sector: Healthcare - Strong (68/100); XLV sector regime is strong: 2.8% 3m return, -7.1% vs SPY | Setup: Breakout + Retest; score 0.30; R/R 1.83x; price 89.79 | Market: NEUTRAL; Sector regime: STRONG; Net R/R: 1.60; Factors: Defensive, Healthcare | Agent action: WATCH - WATCH: Technical setup detected, but weighted risk/reward 1.83 is below minimum 2.00. Market regime NEUTRAL; sector STRONG; net R/R 1.60.</t>
        </is>
      </c>
      <c r="R656" t="inlineStr">
        <is>
          <t>{"adjusted_cash_out": 0.0, "adjusted_position_size": 0, "adjusted_risk_amount": 0.0, "ask": 0.0, "bid": 0.0, "buy_zone_high": 89.34, "buy_zone_low": 87.31, "cash_available": 90752.17, "company_name": "Abbott Laboratories", "correlation_warning": false, "days_to_earnings": 26, "earnings_blackout": false, "earnings_date": "2026-07-16T00:00:00", "estimated_fees": 0.0, "estimated_slippage": 0.3053, "estimated_spread": 0.0269, "executable_entry": 89.79, "execution_liquidity_bucket": "large_liquid", "factor_exposure_after": {"Energy": 3035.24, "Financials": 5910.96}, "factor_exposure_before": {"Energy": 3035.24, "Financials": 5910.96}, "factor_exposure_cap": 7000.0, "factor_exposure_limit_exceeded": false, "factor_tags": ["Defensive", "Healthcare"], "final_action": "WATCH", "gross_reward_1_per_share": 1.55, "gross_reward_2_per_share": 15.37, "gross_risk_per_share": 3.5, "gross_rr": 1.8249, "gross_rr_1": 0.4429, "gross_rr_2": 4.3914, "gross_rr_decision": 1.8249, "highest_correlation_ticker": "SCHW", "highest_correlation_value": 0.3355, "initial_action": "WATCH", "market_cap": 156310308719.05,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2.2, "net_entry": 89.9561, "net_reward_1_per_share": 1.2941, "net_reward_2_per_share": 15.1141, "net_risk_per_share": 3.8322, "net_rr": 1.5999, "net_rr_1": 0.3377, "net_rr_2": 3.944, "net_stop_assumption": 86.1239, "net_target_1_assumption": 91.2502, "net_target_2_assumption": 105.0702, "normalized_atr_score": 100.0, "normalized_liquidity_score": 66.25, "normalized_momentum_score": 7.44, "normalized_quality_score": 48.22, "original_cash_out": 0.0, "original_position_size": 0, "original_risk_amount": 0.0, "portfolio_exposure_after": 8944.64, "portfolio_exposure_before": 8944.64, "position_size": 0, "position_size_adjusted": false, "position_sizing_explanation": "No new position size was calculated because the base decision did not open a simulated buy.", "previous_resistance": 92.73, "price": 89.79, "prior_high_20": 92.73, "prior_high_63": 111.1626, "reason": "WATCH: Technical setup detected, but weighted risk/reward 1.83 is below minimum 2.00. Market regime NEUTRAL; sector STRONG;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"Breakout + Retest", "sizing_adjustment_reason": "", "spread_source": "liquidity_fallback", "stock_score": 0.3, "stop_loss": 86.29, "target_1": 91.34, "target_1_atr_distance": 0.7629, "target_2": 105.16, "target_2_atr_distance": 7.5647, "target_feasibility_status": "OK", "theoretical_entry": 87.31, "ticker": "ABT", "timestamp": "2026-06-10T16:20:17", "warnings": []}</t>
        </is>
      </c>
    </row>
    <row r="657">
      <c r="A657" t="inlineStr">
        <is>
          <t>2026-06-10T16:20:17</t>
        </is>
      </c>
      <c r="B657" t="inlineStr">
        <is>
          <t>GILD</t>
        </is>
      </c>
      <c r="C657" t="inlineStr">
        <is>
          <t>Swing Low + Volume Support Buy Zone</t>
        </is>
      </c>
      <c r="D657" t="n">
        <v>0.29</v>
      </c>
      <c r="E657" t="n">
        <v>122.22</v>
      </c>
      <c r="F657" t="n">
        <v>127.31</v>
      </c>
      <c r="G657" t="n">
        <v>130.06</v>
      </c>
      <c r="H657" t="n">
        <v>123.17</v>
      </c>
      <c r="I657" t="n">
        <v>133.51</v>
      </c>
      <c r="J657" t="n">
        <v>140.27</v>
      </c>
      <c r="K657" t="n">
        <v>1.46</v>
      </c>
      <c r="L657" t="inlineStr">
        <is>
          <t>Price is pulling into a recent swing-low support (128.34) that overlaps with a high-volume area (POC at 129.20), creating structural + volume confluence. Liquidity sweep below swing low detected — wick and reclaim. Stop below 123.17.</t>
        </is>
      </c>
      <c r="M657" t="inlineStr">
        <is>
          <t>WATCH</t>
        </is>
      </c>
      <c r="N657" t="inlineStr">
        <is>
          <t>WATCH: Technical setup detected, but weighted risk/reward 1.46 is below minimum 2.00. Market regime NEUTRAL; sector STRONG; net R/R 1.93.</t>
        </is>
      </c>
      <c r="O657" t="inlineStr">
        <is>
          <t>GILD
Swing Low + Volume Support Buy Zone
0.29
score
Price
122.22
R/R
1.46x
Grade
C
Quality
55%
Buy Zone
127.31 - 130.06
Stop
123.17
Targets
133.51 / 140.27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129.20), creating structural + volume confluence. Liquidity sweep below swing low detected — wick and reclaim. Stop below 123.17.
Fib 61.8
131.72
Fib Zone
130.86 - 132.59
Swing Low
128.34
Swing High
137.20
Save setup
Click chart to open full size</t>
        </is>
      </c>
      <c r="P657" t="inlineStr">
        <is>
          <t>agent_results/charts/market_lens_agent_20260610_161630_gild.png</t>
        </is>
      </c>
      <c r="Q657" t="inlineStr">
        <is>
          <t>Smart Universe: broad liquid US universe, diversified by sector | Sector: Healthcare - Strong (68/100); XLV sector regime is strong: 2.8% 3m return, -7.1% vs SPY | Setup: Swing Low + Volume Support Buy Zone; score 0.29; R/R 1.46x; price 122.22 | Market: NEUTRAL; Sector regime: STRONG; Net R/R: 1.93; Factors: Defensive, Healthcare | Agent action: WATCH - WATCH: Technical setup detected, but weighted risk/reward 1.46 is below minimum 2.00. Market regime NEUTRAL; sector STRONG; net R/R 1.93.</t>
        </is>
      </c>
      <c r="R657" t="inlineStr">
        <is>
          <t>{"adjusted_cash_out": 0.0, "adjusted_position_size": 0, "adjusted_risk_amount": 0.0, "ask": 0.0, "bid": 0.0, "buy_zone_high": 130.06, "buy_zone_low": 127.31, "cash_available": 90752.17,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5910.96}, "factor_exposure_before": {"Energy": 3035.24, "Financials": 5910.96}, "factor_exposure_cap": 7000.0, "factor_exposure_limit_exceeded": false, "factor_tags": ["Defensive", "Healthcare"], "final_action": "WATCH", "gross_reward_1_per_share": 6.2, "gross_reward_2_per_share": 12.96, "gross_risk_per_share": 4.14, "gross_rr": 2.0691, "gross_rr_1": 1.4976, "gross_rr_2": 3.1304, "gross_rr_decision": 2.0691, "highest_correlation_ticker": "SCHW", "highest_correlation_value": 0.0039, "initial_action": "WATCH", "market_cap": 151657762003.59,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2.2, "net_entry": 127.4182, "net_reward_1_per_share": 6.0281, "net_reward_2_per_share": 12.7881, "net_risk_per_share": 4.3564, "net_rr": 1.9268, "net_rr_1": 1.3837, "net_rr_2": 2.9355, "net_stop_assumption": 123.0618, "net_target_1_assumption": 133.4463, "net_target_2_assumption": 140.2063, "normalized_atr_score": 100.0, "normalized_liquidity_score": 65.88, "normalized_momentum_score": 0, "normalized_quality_score": 44.76, "original_cash_out": 0.0, "original_position_size": 0, "original_risk_amount": 0.0, "portfolio_exposure_after": 8944.64, "portfolio_exposure_before": 8944.64, "position_size": 0, "position_size_adjusted": false, "position_sizing_explanation": "No new position size was calculated because the base decision did not open a simulated buy.", "previous_resistance": 137.5, "price": 122.22,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0.29, "setup_type": "Swing Low + Volume Support Buy Zone", "sizing_adjustment_reason": "", "spread_source": "liquidity_fallback", "stock_score": 0.29, "stop_loss": 123.17, "target_1": 133.51, "target_1_atr_distance": 3.2753, "target_2": 140.27, "target_2_atr_distance": 5.2364, "target_feasibility_status": "OK", "theoretical_entry": 127.31, "ticker": "GILD", "timestamp": "2026-06-10T16:20:17", "warnings": []}</t>
        </is>
      </c>
    </row>
    <row r="658">
      <c r="A658" t="inlineStr">
        <is>
          <t>2026-06-10T16:20:17</t>
        </is>
      </c>
      <c r="B658" t="inlineStr">
        <is>
          <t>PFE</t>
        </is>
      </c>
      <c r="C658" t="inlineStr">
        <is>
          <t>Fib 61.8 Confluence Buy Zone</t>
        </is>
      </c>
      <c r="D658" t="n">
        <v>0.28</v>
      </c>
      <c r="E658" t="n">
        <v>25.72</v>
      </c>
      <c r="F658" t="n">
        <v>25.59</v>
      </c>
      <c r="G658" t="n">
        <v>25.82</v>
      </c>
      <c r="H658" t="n">
        <v>25.43</v>
      </c>
      <c r="I658" t="n">
        <v>25.86</v>
      </c>
      <c r="J658" t="n">
        <v>27.57</v>
      </c>
      <c r="K658" t="n">
        <v>2.58</v>
      </c>
      <c r="L658" t="inlineStr">
        <is>
          <t>Price at 61.8% fib retracement (25.71) with confluence at VWAP. Planned entry at zone low 25.59; executable entry 25.72, stop below fib 78.6% at 25.43.</t>
        </is>
      </c>
      <c r="M658" t="inlineStr">
        <is>
          <t>WATCH</t>
        </is>
      </c>
      <c r="N658" t="inlineStr">
        <is>
          <t>WATCH: Neutral market requires stronger setup score (0.28 &lt; 0.45).</t>
        </is>
      </c>
      <c r="O658" t="inlineStr">
        <is>
          <t>PFE
Fib 61.8 Confluence Buy Zone
0.28
score
Price
25.72
R/R
2.58x
Grade
D
Quality
47%
Buy Zone
25.59 - 25.82
Stop
25.43
Targets
25.86 / 27.57
Low-quality setup
Mixed
Relative Strength
Lagging
27%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58" t="inlineStr">
        <is>
          <t>agent_results/charts/market_lens_agent_20260610_161630_pfe.png</t>
        </is>
      </c>
      <c r="Q658" t="inlineStr">
        <is>
          <t>Smart Universe: broad liquid US universe, diversified by sector | Sector: Healthcare - Strong (68/100); XLV sector regime is strong: 2.8% 3m return, -7.1% vs SPY | Setup: Fib 61.8 Confluence Buy Zone; score 0.28; R/R 2.58x; price 25.72 | Market: NEUTRAL; Sector regime: STRONG; Net R/R: 2.11; Factors: Defensive, Healthcare | Agent action: WATCH - WATCH: Neutral market requires stronger setup score (0.28 &lt; 0.45).</t>
        </is>
      </c>
      <c r="R658" t="inlineStr">
        <is>
          <t>{"adjusted_cash_out": 5992.76, "adjusted_position_size": 233, "adjusted_risk_amount": 67.57, "ask": 0.0, "bid": 0.0, "buy_zone_high": 25.82, "buy_zone_low": 25.59, "cash_available": 90752.17,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3035.24, "Financials": 5910.96, "Healthcare": 5992.76}, "factor_exposure_before": {"Energy": 3035.24, "Financials": 5910.96},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"SCHW", "highest_correlation_value": 0.0141, "initial_action": "BUY_SIMULATED", "market_cap": 146468305587.59,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61.23, "normalized_momentum_score": 40.16, "normalized_quality_score": 61.44, "original_cash_out": 9979.36, "original_position_size": 388, "original_risk_amount": 112.52, "portfolio_exposure_after": 8944.64, "portfolio_exposure_before": 8944.64,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68.38, "setup_score": 0.28, "setup_type": "Fib 61.8 Confluence Buy Zone", "sizing_adjustment_reason": "Position size reduced by Healthcare sector exposure cap (388 -&gt; 233 shares).", "spread_source": "liquidity_fallback", "stock_score": 0.28, "stop_loss": 25.43, "target_1": 25.86, "target_1_atr_distance": 0.2968, "target_2": 27.57, "target_2_atr_distance": 3.922, "target_feasibility_status": "LOW_REWARD_DISTANCE", "theoretical_entry": 25.59, "ticker": "PFE", "timestamp": "2026-06-10T16:20:17", "warnings": ["Target 1 is close versus daily ATR.", "Position size reduced by Healthcare sector exposure cap (388 -&gt; 233 shares).", "Gross R/R is valid, but Net R/R 2.11 failed minimum 2.20 after slippage/spread adjustment.", "Target 1 is too close versus daily ATR."]}</t>
        </is>
      </c>
    </row>
    <row r="659">
      <c r="A659" t="inlineStr">
        <is>
          <t>2026-06-10T16:20:17</t>
        </is>
      </c>
      <c r="B659" t="inlineStr">
        <is>
          <t>DLR</t>
        </is>
      </c>
      <c r="C659" t="inlineStr">
        <is>
          <t>Swing Low + Volume Support Buy Zone</t>
        </is>
      </c>
      <c r="D659" t="n">
        <v>0.28</v>
      </c>
      <c r="E659" t="n">
        <v>181.66</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181.66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agent_results/charts/market_lens_agent_20260610_161630_dlr.png</t>
        </is>
      </c>
      <c r="Q659" t="inlineStr">
        <is>
          <t>Smart Universe: broad liquid US universe, diversified by sector | Sector: Real Estate - Strong (72/100); XLRE sector regime is strong: 7.9% 3m return, -2.1% vs SPY | Setup: Swing Low + Volume Support Buy Zone; score 0.28; R/R 1.54x; price 181.66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90752.17,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5910.96}, "factor_exposure_before": {"Energy": 3035.24, "Financials": 5910.96},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0.0176, "initial_action": "WATCH", "market_cap": 63829398340.32,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41.13, "normalized_momentum_score": 43.23, "normalized_quality_score": 56.79, "original_cash_out": 0.0, "original_position_size": 0, "original_risk_amount": 0.0, "portfolio_exposure_after": 8944.64, "portfolio_exposure_before": 8944.64, "position_size": 0, "position_size_adjusted": false, "position_sizing_explanation": "No new position size was calculated because the base decision did not open a simulated buy.", "previous_resistance": 195.97, "price": 181.66,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0.28, "setup_type": "Swing Low + Volume Support Buy Zone", "sizing_adjustment_reason": "", "spread_source": "liquidity_fallback", "stock_score": 0.28, "stop_loss": 178.48, "target_1": 191.42, "target_1_atr_distance": 2.2644, "target_2": 201.34, "target_2_atr_distance": 4.5659, "target_feasibility_status": "OK", "theoretical_entry": 183.66, "ticker": "DLR", "timestamp": "2026-06-10T16:20:17", "warnings": []}</t>
        </is>
      </c>
    </row>
    <row r="660">
      <c r="A660" t="inlineStr">
        <is>
          <t>2026-06-10T16:20:17</t>
        </is>
      </c>
      <c r="B660" t="inlineStr">
        <is>
          <t>CRM</t>
        </is>
      </c>
      <c r="C660" t="inlineStr">
        <is>
          <t>Fib 61.8 Confluence Buy Zone</t>
        </is>
      </c>
      <c r="D660" t="n">
        <v>0.28</v>
      </c>
      <c r="E660" t="n">
        <v>174.6</v>
      </c>
      <c r="F660" t="n">
        <v>170.9</v>
      </c>
      <c r="G660" t="n">
        <v>175.42</v>
      </c>
      <c r="H660" t="n">
        <v>168.37</v>
      </c>
      <c r="I660" t="n">
        <v>175.88</v>
      </c>
      <c r="J660" t="n">
        <v>195.18</v>
      </c>
      <c r="K660" t="n">
        <v>1.29</v>
      </c>
      <c r="L660" t="inlineStr">
        <is>
          <t>Price at 61.8% fib retracement (173.16) with confluence at VWAP. Planned entry at zone low 170.90; executable entry 174.60,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174.60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174.60, stop below fib 78.6% at 168.37. Structural confluence: swing low at 164.33 aligns with VAL (165.01).
Fib 61.8
173.16
Fib Zone
170.90 - 175.42
Swing Low
164.33
Swing High
187.44
Save setup
Click chart to open full size</t>
        </is>
      </c>
      <c r="P660" t="inlineStr">
        <is>
          <t>agent_results/charts/market_lens_agent_20260610_161630_crm.png</t>
        </is>
      </c>
      <c r="Q660" t="inlineStr">
        <is>
          <t>Smart Universe: broad liquid US universe, diversified by sector | Sector: Technology - Strong (75/100); XLK sector regime is strong: 29.3% 3m return, 19.3% vs SPY | Setup: Fib 61.8 Confluence Buy Zone; score 0.28; R/R 1.29x; price 174.60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90752.17, "company_name": "Salesforce, Inc.", "correlation_warning": false, "days_to_earnings": 60, "earnings_blackout": false, "earnings_date": "2026-09-02T00:00:00", "estimated_fees": 0.0, "estimated_slippage": 0.2444, "estimated_spread": 0.0524, "executable_entry": 174.6, "execution_liquidity_bucket": "large_liquid", "factor_exposure_after": {"Energy": 3035.24, "Financials": 5910.96}, "factor_exposure_before": {"Energy": 3035.24, "Financials": 5910.96}, "factor_exposure_cap": 7000.0, "factor_exposure_limit_exceeded": false, "factor_tags": ["Technology"], "final_action": "WATCH", "gross_reward_1_per_share": 1.28, "gross_reward_2_per_share": 20.58, "gross_risk_per_share": 6.23, "gross_rr": 1.2897, "gross_rr_1": 0.2055, "gross_rr_2": 3.3034, "gross_rr_decision": 1.2897, "highest_correlation_ticker": "SCHW", "highest_correlation_value": 0.2632, "initial_action": "WATCH", "market_cap": 143095680999.76,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2.2, "net_entry": 174.7484, "net_reward_1_per_share": 1.0443, "net_reward_2_per_share": 20.3443, "net_risk_per_share": 6.5268, "net_rr": 1.195, "net_rr_1": 0.16, "net_rr_2": 3.117, "net_stop_assumption": 168.2216, "net_target_1_assumption": 175.7927, "net_target_2_assumption": 195.0927, "normalized_atr_score": 100.0, "normalized_liquidity_score": 97.64, "normalized_momentum_score": 14.45, "normalized_quality_score": 60.79, "original_cash_out": 0.0, "original_position_size": 0, "original_risk_amount": 0.0, "portfolio_exposure_after": 8944.64, "portfolio_exposure_before": 8944.64, "position_size": 0, "position_size_adjusted": false, "position_sizing_explanation": "No new position size was calculated because the base decision did not open a simulated buy.", "previous_resistance": 211.34, "price": 174.6,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74.67, "setup_score": 0.28, "setup_type": "Fib 61.8 Confluence Buy Zone", "sizing_adjustment_reason": "", "spread_source": "liquidity_fallback", "stock_score": 0.28, "stop_loss": 168.37, "target_1": 175.88, "target_1_atr_distance": 0.1415, "target_2": 195.18, "target_2_atr_distance": 2.2745, "target_feasibility_status": "LOW_REWARD_DISTANCE", "theoretical_entry": 170.9, "ticker": "CRM", "timestamp": "2026-06-10T16:20:17", "warnings": ["Target 1 is close versus daily ATR."]}</t>
        </is>
      </c>
    </row>
    <row r="661">
      <c r="A661" t="inlineStr">
        <is>
          <t>2026-06-10T16:20:17</t>
        </is>
      </c>
      <c r="B661" t="inlineStr">
        <is>
          <t>THC</t>
        </is>
      </c>
      <c r="C661" t="inlineStr">
        <is>
          <t>No Trade</t>
        </is>
      </c>
      <c r="D661" t="n">
        <v>0</v>
      </c>
      <c r="E661" t="n">
        <v>166.79</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agent_results/charts/market_lens_agent_20260610_161630_thc.png</t>
        </is>
      </c>
      <c r="Q661" t="inlineStr">
        <is>
          <t>Smart Universe: broad liquid US universe, diversified by sector | Sector: Healthcare - Strong (68/100); XLV sector regime is strong: 2.8% 3m return, -7.1% vs SPY | Setup: No Trade; score 0.00; R/R 0.00x; price 166.79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90752.17, "company_name": "Tenet Healthcare Corporation", "correlation_warning": false, "days_to_earnings": 29, "earnings_blackout": false, "earnings_date": "2026-07-21T00:00:00", "estimated_fees": 0.0, "estimated_slippage": 0.5004, "estimated_spread": 0.1334, "executable_entry": 166.79, "execution_liquidity_bucket": "mid_liquid", "factor_exposure_after": {"Energy": 3035.24, "Financials": 5910.96}, "factor_exposure_before": {"Energy": 3035.24, "Financials": 5910.96}, "factor_exposure_cap": 7000.0, "factor_exposure_limit_exceeded": false, "factor_tags": ["Defensive", "Healthcare"], "final_action": "SKIP", "gross_reward_1_per_share": 0.0, "gross_reward_2_per_share": 0.0, "gross_risk_per_share": 166.79, "gross_rr": 0.0, "gross_rr_1": 0.0, "gross_rr_2": 0.0, "gross_rr_decision": 0.0, "highest_correlation_ticker": "SCHW", "highest_correlation_value": -0.0899, "initial_action": "SKIP", "market_cap": 14342680597.26,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"UNKNOWN", "minimum_net_rr_required": 2.2, "net_entry": 167.1069, "net_reward_1_per_share": 0.0, "net_reward_2_per_share": 0.0, "net_risk_per_share": 167.4238, "net_rr": 0.0, "net_rr_1": 0.0, "net_rr_2": 0.0, "net_stop_assumption": -0.3169, "net_target_1_assumption": -0.1918, "net_target_2_assumption": -0.1918, "normalized_atr_score": 100.0, "normalized_liquidity_score": 32.36, "normalized_momentum_score": 0, "normalized_quality_score": 34.71, "original_cash_out": 0.0, "original_position_size": 0, "original_risk_amount": 0.0, "portfolio_exposure_after": 8944.64, "portfolio_exposure_before": 8944.64, "position_size": 0, "position_size_adjusted": false, "position_sizing_explanation": "No new position size was calculated because the base decision did not open a simulated buy.", "previous_resistance": 0.0, "price": 166.79,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0.0, "setup_type": "No Trade", "sizing_adjustment_reason": "", "spread_source": "liquidity_fallback", "stock_score": 0.0, "stop_loss": 0.0, "target_1": null, "target_1_atr_distance": 0.0, "target_2": null, "target_2_atr_distance": 0.0, "target_feasibility_status": "UNKNOWN", "theoretical_entry": 166.79, "ticker": "THC", "timestamp": "2026-06-10T16:20:17",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2026-06-10T16:20:17</t>
        </is>
      </c>
      <c r="B13" t="inlineStr">
        <is>
          <t>BUY_SIMULATED</t>
        </is>
      </c>
      <c r="C13" t="inlineStr">
        <is>
          <t>SCHW</t>
        </is>
      </c>
      <c r="D13" t="n">
        <v>89.56</v>
      </c>
      <c r="F13" t="n">
        <v>66</v>
      </c>
      <c r="G13" t="n">
        <v>1</v>
      </c>
      <c r="H13" t="n">
        <v>5910.96</v>
      </c>
      <c r="I13" t="n">
        <v>0</v>
      </c>
      <c r="J13" t="n">
        <v>5910.96</v>
      </c>
      <c r="K13" t="n">
        <v>0</v>
      </c>
      <c r="L13" t="n">
        <v>88.64</v>
      </c>
      <c r="M13" t="n">
        <v>90.52</v>
      </c>
      <c r="N13" t="n">
        <v>95.12</v>
      </c>
      <c r="O13" t="n">
        <v>60.72</v>
      </c>
      <c r="P13" t="inlineStr">
        <is>
          <t>BUY_SIMULATED: NEUTRAL market regime, STRONG sector, valid setup, net R/R 2.28, no earnings blackout, correlation acceptable, and risk limits allow entry. Position size reduced to 66 shares to fit exposure caps.</t>
        </is>
      </c>
      <c r="Q13" t="inlineStr">
        <is>
          <t>agent_results/screenshots/market_lens_agent_20260610_161630.png</t>
        </is>
      </c>
      <c r="R13" t="inlineStr">
        <is>
          <t>agent_results/charts/market_lens_agent_20260610_161630_schw.png</t>
        </is>
      </c>
      <c r="S13" t="inlineStr">
        <is>
          <t>Smart Universe: broad liquid US universe, diversified by sector | Sector: Financials - Strong (73/100); XLF sector regime is strong: 8.1% 3m return, -1.9% vs SPY | Setup: Fib 61.8 Confluence Buy Zone; score 0.47; R/R 2.80x; price 89.56 | Market: NEUTRAL; Sector regime: STRONG; Net R/R: 2.28; Factors: Financials | Agent action: BUY_SIMULATED - BUY_SIMULATED: NEUTRAL market regime, STRONG sector, valid setup, net R/R 2.28, no earnings blackout, correlation acceptable, and risk limits allow entry. Position size reduced to 66 shares to fit exposure caps.</t>
        </is>
      </c>
      <c r="T13" t="inlineStr">
        <is>
          <t>{"adjusted_cash_out": 5910.96, "adjusted_position_size": 66, "adjusted_risk_amount": 60.72, "ask": 0.0, "bid": 0.0, "buy_zone_high": 90.37, "buy_zone_low": 89.3, "cash_available": 96663.13, "company_name": "Charles Schwab Corporation", "correlation_warning": false, "days_to_earnings": 26, "earnings_blackout": false, "earnings_date": "2026-07-16T00:00:00", "estimated_fees": 0.0, "estimated_slippage": 0.1254, "estimated_spread": 0.0269, "executable_entry": 89.56, "execution_liquidity_bucket": "large_liquid", "factor_exposure_after": {"Energy": 3035.24, "Financials": 5910.96}, "factor_exposure_before": {"Energy": 3035.24}, "factor_exposure_cap": 7000.0, "factor_exposure_limit_exceeded": false, "factor_tags": ["Financials"], "final_action": "BUY_SIMULATED", "gross_reward_1_per_share": 0.96, "gross_reward_2_per_share": 5.56, "gross_risk_per_share": 0.92, "gross_rr": 2.7935, "gross_rr_1": 1.0435, "gross_rr_2": 6.0435, "gross_rr_decision": 2.7935, "highest_correlation_ticker": "OXY", "highest_correlation_value": -0.0731, "initial_action": "BUY_SIMULATED", "market_cap": 155583060863.99,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2.2, "net_entry": 89.6361, "net_reward_1_per_share": 0.8391, "net_reward_2_per_share": 5.4391, "net_risk_per_share": 1.0723, "net_rr": 2.2841, "net_rr_1": 0.7826, "net_rr_2": 5.0726, "net_stop_assumption": 88.5639, "net_target_1_assumption": 90.4752, "net_target_2_assumption": 95.0752, "normalized_atr_score": 100.0, "normalized_liquidity_score": 66.87, "normalized_momentum_score": 43.61, "normalized_quality_score": 64.69, "original_cash_out": 9941.16, "original_position_size": 111, "original_risk_amount": 102.12, "portfolio_exposure_after": 8944.64, "portfolio_exposure_before": 3033.68, "position_size": 66, "position_size_adjusted": true, "position_sizing_explanation": "Position size reduced from 111 to 66 shares. Accepted cash out 5910.96, risk 60.72. Reason: Position size reduced by Financials sector exposure cap (111 -&gt; 66 shares).", "previous_resistance": 93.43, "price": 89.56, "prior_high_20": 93.43, "prior_high_63": 100.3997, "reason": "BUY_SIMULATED: NEUTRAL market regime, STRONG sector, valid setup, net R/R 2.28, no earnings blackout, correlation acceptable, and risk limits allow entry. Position size reduced to 66 shares to fit exposure caps.", "risk_amount": 60.72, "scan_source": "Smart Universe: broad liquid US universe filtered and diversified by the Market Lens UI.", "sector": "Financials", "sector_etf": "XLF", "sector_exposure_after": 5910.96, "sector_exposure_before": 0.0, "sector_exposure_cap": 6000.0, "sector_exposure_limit_exceeded": false, "sector_regime": "STRONG", "sector_score": 72.87, "setup_score": 0.47, "setup_type": "Fib 61.8 Confluence Buy Zone", "sizing_adjustment_reason": "Position size reduced by Financials sector exposure cap (111 -&gt; 66 shares).", "spread_source": "liquidity_fallback", "stock_score": 0.47, "stop_loss": 88.64, "target_1": 90.52, "target_1_atr_distance": 0.4489, "target_2": 95.12, "target_2_atr_distance": 2.6, "target_feasibility_status": "LOW_REWARD_DISTANCE", "theoretical_entry": 89.3, "ticker": "SCHW", "timestamp": "2026-06-10T16:20:17", "warnings": ["Target 1 is close versus daily ATR.", "Position size reduced by Financials sector exposure cap (111 -&gt; 66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58.37</v>
      </c>
      <c r="E2" t="n">
        <v>52</v>
      </c>
      <c r="F2" t="n">
        <v>57.49</v>
      </c>
      <c r="G2" t="n">
        <v>58.1</v>
      </c>
      <c r="H2" t="n">
        <v>65.58</v>
      </c>
      <c r="I2" t="inlineStr">
        <is>
          <t>OPEN</t>
        </is>
      </c>
      <c r="J2" t="n">
        <v>45.76</v>
      </c>
      <c r="K2" t="n">
        <v>45.76</v>
      </c>
      <c r="L2" t="n">
        <v>3035.24</v>
      </c>
      <c r="M2" t="n">
        <v>45.76</v>
      </c>
      <c r="N2" t="inlineStr">
        <is>
          <t>Partial profit taken; stop moved to breakeven.</t>
        </is>
      </c>
      <c r="O2" t="inlineStr">
        <is>
          <t>agent_results/screenshots/market_lens_agent_20260610_143232.png</t>
        </is>
      </c>
      <c r="P2" t="inlineStr">
        <is>
          <t>agent_results/charts/market_lens_agent_20260610_161630_oxy.png</t>
        </is>
      </c>
      <c r="Q2" t="inlineStr">
        <is>
          <t>Smart Universe: broad liquid US universe, diversified by sector | Sector: Energy - Neutral (67/100); XLE sector regime is neutral: 2.8% 3m return, -7.1% vs SPY | Setup: Fib 61.8 Confluence Buy Zone; score 0.54; R/R 1.27x; price 58.37 | Market: NEUTRAL; Sector regime: NEUTRAL; Net R/R: 1.21; Factors: Energy | Agent action: HOLD - HOLD: Existing simulated position remains open. NEUTRAL regime recorded.</t>
        </is>
      </c>
      <c r="R2"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 "factor_exposure_before": {},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 "highest_correlation_value": null, "initial_action": "HOLD", "market_cap": 57972283396.02,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52.92, "normalized_momentum_score": 55.04, "normalized_quality_score": 65.64, "original_cash_out": 0.0, "original_position_size": 0, "original_risk_amount": 0.0, "portfolio_exposure_after": 3033.68, "portfolio_exposure_before": 3033.68,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67.23,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"2026-06-10T16:20:17", "warnings": ["Target 1 is close versus daily ATR."]}</t>
        </is>
      </c>
    </row>
    <row r="3">
      <c r="A3" t="inlineStr">
        <is>
          <t>SCHW</t>
        </is>
      </c>
      <c r="B3" t="inlineStr">
        <is>
          <t>2026-06-10T16:20:17</t>
        </is>
      </c>
      <c r="C3" t="n">
        <v>89.56</v>
      </c>
      <c r="D3" t="n">
        <v>89.56</v>
      </c>
      <c r="E3" t="n">
        <v>66</v>
      </c>
      <c r="F3" t="n">
        <v>88.64</v>
      </c>
      <c r="G3" t="n">
        <v>90.52</v>
      </c>
      <c r="H3" t="n">
        <v>95.12</v>
      </c>
      <c r="I3" t="inlineStr">
        <is>
          <t>OPEN</t>
        </is>
      </c>
      <c r="J3" t="n">
        <v>0</v>
      </c>
      <c r="K3" t="n">
        <v>0</v>
      </c>
      <c r="L3" t="n">
        <v>5910.96</v>
      </c>
      <c r="M3" t="n">
        <v>60.72</v>
      </c>
      <c r="N3" t="inlineStr">
        <is>
          <t>BUY_SIMULATED: NEUTRAL market regime, STRONG sector, valid setup, net R/R 2.28, no earnings blackout, correlation acceptable, and risk limits allow entry. Position size reduced to 66 shares to fit exposure caps.</t>
        </is>
      </c>
      <c r="O3" t="inlineStr">
        <is>
          <t>agent_results/screenshots/market_lens_agent_20260610_161630.png</t>
        </is>
      </c>
      <c r="P3" t="inlineStr">
        <is>
          <t>agent_results/charts/market_lens_agent_20260610_161630_schw.png</t>
        </is>
      </c>
      <c r="Q3" t="inlineStr">
        <is>
          <t>Smart Universe: broad liquid US universe, diversified by sector | Sector: Financials - Strong (73/100); XLF sector regime is strong: 8.1% 3m return, -1.9% vs SPY | Setup: Fib 61.8 Confluence Buy Zone; score 0.47; R/R 2.80x; price 89.56 | Market: NEUTRAL; Sector regime: STRONG; Net R/R: 2.28; Factors: Financials | Agent action: BUY_SIMULATED - BUY_SIMULATED: NEUTRAL market regime, STRONG sector, valid setup, net R/R 2.28, no earnings blackout, correlation acceptable, and risk limits allow entry. Position size reduced to 66 shares to fit exposure caps.</t>
        </is>
      </c>
      <c r="R3" t="inlineStr">
        <is>
          <t>{"adjusted_cash_out": 5910.96, "adjusted_position_size": 66, "adjusted_risk_amount": 60.72, "ask": 0.0, "bid": 0.0, "buy_zone_high": 90.37, "buy_zone_low": 89.3, "cash_available": 96663.13, "company_name": "Charles Schwab Corporation", "correlation_warning": false, "days_to_earnings": 26, "earnings_blackout": false, "earnings_date": "2026-07-16T00:00:00", "estimated_fees": 0.0, "estimated_slippage": 0.1254, "estimated_spread": 0.0269, "executable_entry": 89.56, "execution_liquidity_bucket": "large_liquid", "factor_exposure_after": {"Energy": 3035.24, "Financials": 5910.96}, "factor_exposure_before": {"Energy": 3035.24}, "factor_exposure_cap": 7000.0, "factor_exposure_limit_exceeded": false, "factor_tags": ["Financials"], "final_action": "BUY_SIMULATED", "gross_reward_1_per_share": 0.96, "gross_reward_2_per_share": 5.56, "gross_risk_per_share": 0.92, "gross_rr": 2.7935, "gross_rr_1": 1.0435, "gross_rr_2": 6.0435, "gross_rr_decision": 2.7935, "highest_correlation_ticker": "OXY", "highest_correlation_value": -0.0731, "initial_action": "BUY_SIMULATED", "market_cap": 155583060863.99, "market_cap_bucket": "Large Cap", "market_regime": "NEUTRAL", "market_regime_indicators": {"DXY": {"ema20": 99.3434, "ema200": 98.7941, "ema50": 99.0224, "price": 99.888, "return_1m": 1.63, "return_3m": 0.15, "trend": "bullish"}, "IWM": {"ema20": 284.7332, "ema200": 268.102, "ema50": 277.732, "price": 284.2, "return_1m": 0.58, "return_3m": 15.07, "trend": "mixed"}, "QQQ": {"ema20": 714.8308, "ema200": 652.7741, "ema50": 685.8478, "price": 698.82, "return_1m": -1.19, "return_3m": 17.15, "trend": "mixed"}, "SPY": {"ema20": 741.5003, "ema200": 704.2736, "ema50": 724.515, "price": 730.45, "return_1m": -1.05, "return_3m": 9.97, "trend": "mixed"}, "US10Y": {"ema20": 4.4958, "ema200": 4.3209, "ema50": 4.4254, "price": 4.528, "return_1m": 1.46, "return_3m": 5.97, "trend": "bullish"}, "VIX": {"ema20": 18.0248, "ema200": 18.7308, "ema50": 18.5963, "price": 21.97, "return_1m": 22.94, "return_3m": -19.2, "trend": "mixed"}}, "market_regime_reason": "Market regime is mixed; use lower exposure and higher net R/R.", "market_regime_score": 0.52, "market_structure_status": "SUPPORTED_BY_20D_RESISTANCE", "minimum_net_rr_required": 2.2, "net_entry": 89.6361, "net_reward_1_per_share": 0.8391, "net_reward_2_per_share": 5.4391, "net_risk_per_share": 1.0723, "net_rr": 2.2841, "net_rr_1": 0.7826, "net_rr_2": 5.0726, "net_stop_assumption": 88.5639, "net_target_1_assumption": 90.4752, "net_target_2_assumption": 95.0752, "normalized_atr_score": 100.0, "normalized_liquidity_score": 66.87, "normalized_momentum_score": 43.61, "normalized_quality_score": 64.69, "original_cash_out": 9941.16, "original_position_size": 111, "original_risk_amount": 102.12, "portfolio_exposure_after": 8944.64, "portfolio_exposure_before": 3033.68, "position_size": 66, "position_size_adjusted": true, "position_sizing_explanation": "Position size reduced from 111 to 66 shares. Accepted cash out 5910.96, risk 60.72. Reason: Position size reduced by Financials sector exposure cap (111 -&gt; 66 shares).", "previous_resistance": 93.43, "price": 89.56, "prior_high_20": 93.43, "prior_high_63": 100.3997, "reason": "BUY_SIMULATED: NEUTRAL market regime, STRONG sector, valid setup, net R/R 2.28, no earnings blackout, correlation acceptable, and risk limits allow entry. Position size reduced to 66 shares to fit exposure caps.", "risk_amount": 60.72, "scan_source": "Smart Universe: broad liquid US universe filtered and diversified by the Market Lens UI.", "sector": "Financials", "sector_etf": "XLF", "sector_exposure_after": 5910.96, "sector_exposure_before": 0.0, "sector_exposure_cap": 6000.0, "sector_exposure_limit_exceeded": false, "sector_regime": "STRONG", "sector_score": 72.87, "setup_score": 0.47, "setup_type": "Fib 61.8 Confluence Buy Zone", "sizing_adjustment_reason": "Position size reduced by Financials sector exposure cap (111 -&gt; 66 shares).", "spread_source": "liquidity_fallback", "stock_score": 0.47, "stop_loss": 88.64, "target_1": 90.52, "target_1_atr_distance": 0.4489, "target_2": 95.12, "target_2_atr_distance": 2.6, "target_feasibility_status": "LOW_REWARD_DISTANCE", "theoretical_entry": 89.3, "ticker": "SCHW", "timestamp": "2026-06-10T16:20:17", "warnings": ["Target 1 is close versus daily ATR.", "Position size reduced by Financials sector exposure cap (111 -&gt; 66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2026-06-10T16:20:17</t>
        </is>
      </c>
      <c r="B136" t="inlineStr">
        <is>
          <t>20260610_161630</t>
        </is>
      </c>
      <c r="C136" t="inlineStr">
        <is>
          <t>OXY HAL SCHW NLY BKR TMO LNG NOW ABT GILD PFE DLR CRM THC</t>
        </is>
      </c>
      <c r="D136" t="n">
        <v>13</v>
      </c>
      <c r="E136" t="inlineStr">
        <is>
          <t>OXY:HOLD, HAL:WATCH, SCHW:BUY_SIMULATED, NLY:WATCH, BKR:WATCH, TMO:WATCH, LNG:WATCH, NOW:WATCH, ABT:WATCH, GILD:WATCH, PFE:WATCH, DLR:WATCH, CRM:WATCH, THC:SKIP</t>
        </is>
      </c>
      <c r="F136" t="n">
        <v>90752.17</v>
      </c>
      <c r="G136" t="n">
        <v>8946.200000000001</v>
      </c>
      <c r="H136" t="n">
        <v>106.48</v>
      </c>
      <c r="I136" t="n">
        <v>2</v>
      </c>
      <c r="J136" t="inlineStr">
        <is>
          <t>agent_results/summaries/market_lens_agent_20260610_161630.md</t>
        </is>
      </c>
      <c r="K136" t="inlineStr">
        <is>
          <t>agent_results/screenshots/market_lens_agent_20260610_161630.png</t>
        </is>
      </c>
      <c r="L136" t="inlineStr">
        <is>
          <t>agent_results/decisions/market_lens_agent_20260610_161630.jsonl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2026-06-10T16:20:29Z</dcterms:modified>
</cp:coreProperties>
</file>